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9D437417-EE3F-4F51-AC12-0A9C9B24340D}" xr6:coauthVersionLast="47" xr6:coauthVersionMax="47" xr10:uidLastSave="{00000000-0000-0000-0000-000000000000}"/>
  <bookViews>
    <workbookView xWindow="-120" yWindow="-120" windowWidth="29040" windowHeight="15720" firstSheet="2" activeTab="5" xr2:uid="{00000000-000D-0000-FFFF-FFFF00000000}"/>
  </bookViews>
  <sheets>
    <sheet name="Input_2" sheetId="7" r:id="rId1"/>
    <sheet name="Input" sheetId="4" r:id="rId2"/>
    <sheet name="Validation_1" sheetId="8" r:id="rId3"/>
    <sheet name="Validation_2" sheetId="9" r:id="rId4"/>
    <sheet name="Validation_0" sheetId="10" r:id="rId5"/>
    <sheet name="Validation_355" sheetId="12" r:id="rId6"/>
    <sheet name="Validation_235" sheetId="14" r:id="rId7"/>
    <sheet name="Validation_460" sheetId="11" r:id="rId8"/>
    <sheet name="Validation_690" sheetId="13" r:id="rId9"/>
    <sheet name="Reference" sheetId="5" r:id="rId10"/>
    <sheet name="Material_law" sheetId="3" r:id="rId11"/>
    <sheet name="Abaqus_input" sheetId="2" r:id="rId12"/>
    <sheet name="Data" sheetId="1" r:id="rId13"/>
  </sheet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1" l="1"/>
  <c r="I2" i="13"/>
  <c r="M6" i="13"/>
  <c r="I4" i="13"/>
  <c r="I4" i="14"/>
  <c r="I5" i="14"/>
  <c r="I10" i="14"/>
  <c r="I11" i="14"/>
  <c r="I8" i="14"/>
  <c r="N7" i="14"/>
  <c r="M7" i="14"/>
  <c r="I7" i="14"/>
  <c r="N6" i="14"/>
  <c r="M6" i="14"/>
  <c r="N5" i="14"/>
  <c r="M5" i="14"/>
  <c r="N4" i="14"/>
  <c r="I2" i="14"/>
  <c r="M4" i="14"/>
  <c r="I5" i="13"/>
  <c r="I10" i="13"/>
  <c r="I11" i="13"/>
  <c r="I6" i="13"/>
  <c r="I8" i="13"/>
  <c r="N7" i="13"/>
  <c r="M7" i="13"/>
  <c r="I7" i="13"/>
  <c r="N6" i="13"/>
  <c r="N5" i="13"/>
  <c r="M5" i="13"/>
  <c r="N4" i="13"/>
  <c r="M4" i="13"/>
  <c r="I5" i="11"/>
  <c r="I5" i="12"/>
  <c r="I7" i="12"/>
  <c r="N7" i="12"/>
  <c r="N6" i="12"/>
  <c r="N5" i="12"/>
  <c r="M5" i="12"/>
  <c r="N4" i="12"/>
  <c r="I4" i="12"/>
  <c r="I2" i="12"/>
  <c r="M4" i="12"/>
  <c r="N7" i="11"/>
  <c r="N6" i="11"/>
  <c r="N5" i="11"/>
  <c r="N4" i="11"/>
  <c r="M7" i="11"/>
  <c r="I2" i="11"/>
  <c r="M4" i="11"/>
  <c r="I9" i="10"/>
  <c r="I5" i="10"/>
  <c r="I6" i="10"/>
  <c r="I4" i="10"/>
  <c r="I3" i="10"/>
  <c r="I2" i="10"/>
  <c r="G3" i="9"/>
  <c r="I10" i="12"/>
  <c r="I11" i="12"/>
  <c r="M6" i="12"/>
  <c r="I6" i="12"/>
  <c r="I8" i="12"/>
  <c r="M7" i="12"/>
  <c r="I10" i="11"/>
  <c r="I11" i="11"/>
  <c r="M6" i="11"/>
  <c r="M5" i="11"/>
  <c r="I7" i="11"/>
  <c r="I6" i="11"/>
  <c r="I8" i="11"/>
  <c r="I7" i="10"/>
  <c r="D25" i="4"/>
  <c r="D27" i="4"/>
  <c r="D29" i="4"/>
  <c r="D26" i="4"/>
  <c r="C23" i="4"/>
  <c r="D25" i="1"/>
  <c r="D23" i="1"/>
  <c r="D21" i="1"/>
  <c r="D19" i="1"/>
  <c r="D17" i="1"/>
  <c r="D15" i="1"/>
  <c r="D13" i="1"/>
  <c r="D11" i="1"/>
  <c r="D9" i="1"/>
  <c r="D7" i="1"/>
  <c r="D5" i="1"/>
</calcChain>
</file>

<file path=xl/sharedStrings.xml><?xml version="1.0" encoding="utf-8"?>
<sst xmlns="http://schemas.openxmlformats.org/spreadsheetml/2006/main" count="165" uniqueCount="62">
  <si>
    <r>
      <t>Temperature (</t>
    </r>
    <r>
      <rPr>
        <sz val="10"/>
        <rFont val="Calibri"/>
        <family val="2"/>
      </rPr>
      <t>°</t>
    </r>
    <r>
      <rPr>
        <sz val="10"/>
        <rFont val="Arial"/>
        <family val="2"/>
      </rPr>
      <t>C)</t>
    </r>
  </si>
  <si>
    <r>
      <t>ky,</t>
    </r>
    <r>
      <rPr>
        <sz val="10"/>
        <rFont val="Calibri"/>
        <family val="2"/>
      </rPr>
      <t>θ</t>
    </r>
  </si>
  <si>
    <t>kp,θ</t>
  </si>
  <si>
    <t>kE,θ</t>
  </si>
  <si>
    <t>Summary</t>
  </si>
  <si>
    <t>How to use:</t>
  </si>
  <si>
    <t>Input data</t>
  </si>
  <si>
    <t>Yield strength (MPa)</t>
  </si>
  <si>
    <r>
      <t>Temperature (</t>
    </r>
    <r>
      <rPr>
        <sz val="10"/>
        <rFont val="Arial"/>
        <family val="2"/>
      </rPr>
      <t>°C)</t>
    </r>
  </si>
  <si>
    <t>Results</t>
  </si>
  <si>
    <r>
      <t>ky,</t>
    </r>
    <r>
      <rPr>
        <sz val="10"/>
        <rFont val="Symbol"/>
        <family val="1"/>
        <charset val="2"/>
      </rPr>
      <t>q</t>
    </r>
  </si>
  <si>
    <r>
      <t>kp,</t>
    </r>
    <r>
      <rPr>
        <sz val="10"/>
        <rFont val="Symbol"/>
        <family val="1"/>
        <charset val="2"/>
      </rPr>
      <t>q</t>
    </r>
  </si>
  <si>
    <r>
      <t>kE,</t>
    </r>
    <r>
      <rPr>
        <sz val="10"/>
        <rFont val="Symbol"/>
        <family val="1"/>
        <charset val="2"/>
      </rPr>
      <t>q</t>
    </r>
  </si>
  <si>
    <t>This excel sheet calculates the carbon steel material law in case of fire according to EN1993-1-2:2005 (see Reference tab).</t>
  </si>
  <si>
    <t>Reference</t>
  </si>
  <si>
    <t>The following is the definition of the stress-strain of carbon steel in fire curve according to EN1993-1-2:2005</t>
  </si>
  <si>
    <t xml:space="preserve">Enter yield strenght, temperature and number of point to be used to describe the material law in the blue cells below. </t>
  </si>
  <si>
    <t xml:space="preserve">Number of points </t>
  </si>
  <si>
    <t>Elasticity Modulus (MPa)</t>
  </si>
  <si>
    <r>
      <t>Ea,</t>
    </r>
    <r>
      <rPr>
        <sz val="10"/>
        <rFont val="Symbol"/>
        <family val="1"/>
        <charset val="2"/>
      </rPr>
      <t>q</t>
    </r>
  </si>
  <si>
    <t>The non-linear law is defined with as many points as desired.</t>
  </si>
  <si>
    <t>#</t>
  </si>
  <si>
    <t>σ (Mpa)</t>
  </si>
  <si>
    <t>ε (-)</t>
  </si>
  <si>
    <t>Engineering</t>
  </si>
  <si>
    <t>True</t>
  </si>
  <si>
    <t>Log plastic</t>
  </si>
  <si>
    <t>Abaqus input (plastic)</t>
  </si>
  <si>
    <r>
      <t xml:space="preserve">E </t>
    </r>
    <r>
      <rPr>
        <sz val="14"/>
        <color theme="1"/>
        <rFont val="Times New Roman"/>
        <family val="1"/>
      </rPr>
      <t>(MPa)</t>
    </r>
  </si>
  <si>
    <r>
      <t>f</t>
    </r>
    <r>
      <rPr>
        <i/>
        <vertAlign val="subscript"/>
        <sz val="14"/>
        <color theme="1"/>
        <rFont val="Times New Roman"/>
        <family val="1"/>
      </rPr>
      <t>y</t>
    </r>
    <r>
      <rPr>
        <i/>
        <sz val="14"/>
        <color theme="1"/>
        <rFont val="Times New Roman"/>
        <family val="1"/>
      </rPr>
      <t xml:space="preserve"> </t>
    </r>
    <r>
      <rPr>
        <sz val="14"/>
        <color theme="1"/>
        <rFont val="Times New Roman"/>
        <family val="1"/>
      </rPr>
      <t>(MPa)</t>
    </r>
  </si>
  <si>
    <r>
      <t>ε</t>
    </r>
    <r>
      <rPr>
        <i/>
        <vertAlign val="subscript"/>
        <sz val="14"/>
        <color theme="1"/>
        <rFont val="Times New Roman"/>
        <family val="1"/>
      </rPr>
      <t>y</t>
    </r>
    <r>
      <rPr>
        <i/>
        <sz val="14"/>
        <color theme="1"/>
        <rFont val="Times New Roman"/>
        <family val="1"/>
      </rPr>
      <t xml:space="preserve"> (-)</t>
    </r>
  </si>
  <si>
    <r>
      <t>ε</t>
    </r>
    <r>
      <rPr>
        <i/>
        <vertAlign val="subscript"/>
        <sz val="14"/>
        <color theme="1"/>
        <rFont val="Times New Roman"/>
        <family val="1"/>
      </rPr>
      <t>st</t>
    </r>
    <r>
      <rPr>
        <i/>
        <sz val="14"/>
        <color theme="1"/>
        <rFont val="Times New Roman"/>
        <family val="1"/>
      </rPr>
      <t xml:space="preserve"> (-)</t>
    </r>
  </si>
  <si>
    <r>
      <t>f</t>
    </r>
    <r>
      <rPr>
        <i/>
        <vertAlign val="subscript"/>
        <sz val="14"/>
        <color theme="1"/>
        <rFont val="Times New Roman"/>
        <family val="1"/>
      </rPr>
      <t>u</t>
    </r>
    <r>
      <rPr>
        <i/>
        <sz val="14"/>
        <color theme="1"/>
        <rFont val="Times New Roman"/>
        <family val="1"/>
      </rPr>
      <t xml:space="preserve"> (MPa)</t>
    </r>
  </si>
  <si>
    <r>
      <t>ε</t>
    </r>
    <r>
      <rPr>
        <i/>
        <vertAlign val="subscript"/>
        <sz val="14"/>
        <color theme="1"/>
        <rFont val="Times New Roman"/>
        <family val="1"/>
      </rPr>
      <t>u</t>
    </r>
    <r>
      <rPr>
        <i/>
        <sz val="14"/>
        <color theme="1"/>
        <rFont val="Times New Roman"/>
        <family val="1"/>
      </rPr>
      <t xml:space="preserve"> (-)</t>
    </r>
  </si>
  <si>
    <t>nbr</t>
  </si>
  <si>
    <t>E(MPa)</t>
  </si>
  <si>
    <t>Fy(Mpa)</t>
  </si>
  <si>
    <t>Epsi sh</t>
  </si>
  <si>
    <t>Epsi u</t>
  </si>
  <si>
    <t>C1</t>
  </si>
  <si>
    <t>Esh</t>
  </si>
  <si>
    <t>Fu(Mpa)</t>
  </si>
  <si>
    <t>e</t>
  </si>
  <si>
    <t>f</t>
  </si>
  <si>
    <t>Epsi y</t>
  </si>
  <si>
    <t>c1*ep_u</t>
  </si>
  <si>
    <t>f_c1_ep_u</t>
  </si>
  <si>
    <t>ey</t>
  </si>
  <si>
    <t>Material's Law</t>
  </si>
  <si>
    <t>Abaqus Material's Law</t>
  </si>
  <si>
    <t>ε</t>
  </si>
  <si>
    <t>σ</t>
  </si>
  <si>
    <r>
      <rPr>
        <sz val="14"/>
        <color theme="1"/>
        <rFont val="Aptos Narrow"/>
        <family val="2"/>
      </rPr>
      <t>ε</t>
    </r>
    <r>
      <rPr>
        <vertAlign val="subscript"/>
        <sz val="14"/>
        <color theme="1"/>
        <rFont val="Calibri"/>
        <family val="2"/>
        <scheme val="minor"/>
      </rPr>
      <t>y</t>
    </r>
  </si>
  <si>
    <r>
      <t>F</t>
    </r>
    <r>
      <rPr>
        <vertAlign val="subscript"/>
        <sz val="14"/>
        <color theme="1"/>
        <rFont val="Calibri"/>
        <family val="2"/>
        <scheme val="minor"/>
      </rPr>
      <t>y</t>
    </r>
    <r>
      <rPr>
        <sz val="14"/>
        <color theme="1"/>
        <rFont val="Calibri"/>
        <family val="2"/>
        <scheme val="minor"/>
      </rPr>
      <t>(Mpa)</t>
    </r>
  </si>
  <si>
    <r>
      <t>ε</t>
    </r>
    <r>
      <rPr>
        <vertAlign val="subscript"/>
        <sz val="14"/>
        <color theme="1"/>
        <rFont val="Calibri"/>
        <family val="2"/>
        <scheme val="minor"/>
      </rPr>
      <t>u</t>
    </r>
  </si>
  <si>
    <r>
      <t>F</t>
    </r>
    <r>
      <rPr>
        <vertAlign val="subscript"/>
        <sz val="14"/>
        <color theme="1"/>
        <rFont val="Calibri"/>
        <family val="2"/>
        <scheme val="minor"/>
      </rPr>
      <t>u</t>
    </r>
    <r>
      <rPr>
        <sz val="14"/>
        <color theme="1"/>
        <rFont val="Calibri"/>
        <family val="2"/>
        <scheme val="minor"/>
      </rPr>
      <t>(Mpa)</t>
    </r>
  </si>
  <si>
    <r>
      <t>ε - ε</t>
    </r>
    <r>
      <rPr>
        <vertAlign val="subscript"/>
        <sz val="14"/>
        <color theme="1"/>
        <rFont val="Calibri"/>
        <family val="2"/>
        <scheme val="minor"/>
      </rPr>
      <t>y</t>
    </r>
  </si>
  <si>
    <t>C2</t>
  </si>
  <si>
    <t>Strain</t>
  </si>
  <si>
    <t>C1*Epsi u</t>
  </si>
  <si>
    <t>C2*Epsi u</t>
  </si>
  <si>
    <t>stress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</si>
</sst>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</font>
    <font>
      <b/>
      <u/>
      <sz val="10"/>
      <name val="Arial"/>
      <family val="2"/>
    </font>
    <font>
      <sz val="10"/>
      <name val="Symbol"/>
      <family val="1"/>
      <charset val="2"/>
    </font>
    <font>
      <b/>
      <sz val="10"/>
      <name val="Symbol"/>
      <family val="1"/>
      <charset val="2"/>
    </font>
    <font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i/>
      <sz val="14"/>
      <color theme="1"/>
      <name val="Times New Roman"/>
      <family val="1"/>
    </font>
    <font>
      <i/>
      <vertAlign val="subscript"/>
      <sz val="14"/>
      <color theme="1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4"/>
      <color theme="1"/>
      <name val="Aptos Narrow"/>
      <family val="2"/>
    </font>
    <font>
      <vertAlign val="subscript"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0" xfId="0" applyFont="1" applyFill="1"/>
    <xf numFmtId="0" fontId="5" fillId="0" borderId="0" xfId="0" applyFont="1" applyAlignment="1">
      <alignment horizontal="center"/>
    </xf>
    <xf numFmtId="164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9" fillId="0" borderId="0" xfId="0" applyFont="1"/>
    <xf numFmtId="165" fontId="0" fillId="0" borderId="0" xfId="0" applyNumberFormat="1"/>
    <xf numFmtId="164" fontId="0" fillId="0" borderId="0" xfId="0" applyNumberFormat="1"/>
    <xf numFmtId="0" fontId="10" fillId="6" borderId="0" xfId="0" applyFont="1" applyFill="1"/>
    <xf numFmtId="0" fontId="0" fillId="7" borderId="0" xfId="0" applyFill="1"/>
    <xf numFmtId="164" fontId="0" fillId="7" borderId="0" xfId="0" applyNumberFormat="1" applyFill="1"/>
    <xf numFmtId="0" fontId="13" fillId="0" borderId="0" xfId="0" applyFont="1"/>
    <xf numFmtId="0" fontId="13" fillId="0" borderId="6" xfId="0" applyFont="1" applyBorder="1" applyAlignment="1">
      <alignment horizontal="center"/>
    </xf>
    <xf numFmtId="0" fontId="13" fillId="0" borderId="6" xfId="0" applyFont="1" applyBorder="1"/>
    <xf numFmtId="0" fontId="13" fillId="0" borderId="9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4" xfId="0" applyFont="1" applyBorder="1"/>
    <xf numFmtId="0" fontId="13" fillId="0" borderId="15" xfId="0" applyFont="1" applyBorder="1"/>
    <xf numFmtId="164" fontId="13" fillId="0" borderId="9" xfId="0" applyNumberFormat="1" applyFont="1" applyBorder="1"/>
    <xf numFmtId="0" fontId="13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wrapText="1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Stress-strain relationship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Série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Input_2!$O$3:$O$7</c:f>
              <c:numCache>
                <c:formatCode>General</c:formatCode>
                <c:ptCount val="5"/>
                <c:pt idx="0">
                  <c:v>0</c:v>
                </c:pt>
                <c:pt idx="1">
                  <c:v>5.0000000000000001E-3</c:v>
                </c:pt>
                <c:pt idx="2">
                  <c:v>1.4999999999999999E-2</c:v>
                </c:pt>
                <c:pt idx="3">
                  <c:v>6.1199999999999997E-2</c:v>
                </c:pt>
                <c:pt idx="4">
                  <c:v>0.23</c:v>
                </c:pt>
              </c:numCache>
            </c:numRef>
          </c:xVal>
          <c:yVal>
            <c:numRef>
              <c:f>Input_2!$N$3:$N$7</c:f>
              <c:numCache>
                <c:formatCode>General</c:formatCode>
                <c:ptCount val="5"/>
                <c:pt idx="0">
                  <c:v>0</c:v>
                </c:pt>
                <c:pt idx="1">
                  <c:v>772</c:v>
                </c:pt>
                <c:pt idx="2">
                  <c:v>772</c:v>
                </c:pt>
                <c:pt idx="3">
                  <c:v>826.2</c:v>
                </c:pt>
                <c:pt idx="4">
                  <c:v>826.2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6-4572-93C5-C69BFB2C8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860880"/>
        <c:axId val="1768864240"/>
      </c:scatterChart>
      <c:valAx>
        <c:axId val="176886088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Strain (-)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864240"/>
        <c:crosses val="autoZero"/>
        <c:crossBetween val="midCat"/>
      </c:valAx>
      <c:valAx>
        <c:axId val="176886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Stress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86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Stress-strain relationship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Material_law!$C$2:$C$501</c:f>
              <c:numCache>
                <c:formatCode>General</c:formatCode>
                <c:ptCount val="500"/>
                <c:pt idx="0">
                  <c:v>0</c:v>
                </c:pt>
                <c:pt idx="1">
                  <c:v>1.8956043956043955E-3</c:v>
                </c:pt>
                <c:pt idx="2">
                  <c:v>2.0822476492579583E-3</c:v>
                </c:pt>
                <c:pt idx="3">
                  <c:v>2.2688909029115211E-3</c:v>
                </c:pt>
                <c:pt idx="4">
                  <c:v>2.4555341565650839E-3</c:v>
                </c:pt>
                <c:pt idx="5">
                  <c:v>2.6421774102186467E-3</c:v>
                </c:pt>
                <c:pt idx="6">
                  <c:v>2.8288206638722095E-3</c:v>
                </c:pt>
                <c:pt idx="7">
                  <c:v>3.0154639175257723E-3</c:v>
                </c:pt>
                <c:pt idx="8">
                  <c:v>3.2021071711793351E-3</c:v>
                </c:pt>
                <c:pt idx="9">
                  <c:v>3.3887504248328979E-3</c:v>
                </c:pt>
                <c:pt idx="10">
                  <c:v>3.5753936784864607E-3</c:v>
                </c:pt>
                <c:pt idx="11">
                  <c:v>3.7620369321400234E-3</c:v>
                </c:pt>
                <c:pt idx="12">
                  <c:v>3.9486801857935867E-3</c:v>
                </c:pt>
                <c:pt idx="13">
                  <c:v>4.1353234394471495E-3</c:v>
                </c:pt>
                <c:pt idx="14">
                  <c:v>4.3219666931007122E-3</c:v>
                </c:pt>
                <c:pt idx="15">
                  <c:v>4.508609946754275E-3</c:v>
                </c:pt>
                <c:pt idx="16">
                  <c:v>4.6952532004078378E-3</c:v>
                </c:pt>
                <c:pt idx="17">
                  <c:v>4.8818964540614006E-3</c:v>
                </c:pt>
                <c:pt idx="18">
                  <c:v>5.0685397077149634E-3</c:v>
                </c:pt>
                <c:pt idx="19">
                  <c:v>5.2551829613685262E-3</c:v>
                </c:pt>
                <c:pt idx="20">
                  <c:v>5.441826215022089E-3</c:v>
                </c:pt>
                <c:pt idx="21">
                  <c:v>5.6284694686756518E-3</c:v>
                </c:pt>
                <c:pt idx="22">
                  <c:v>5.8151127223292146E-3</c:v>
                </c:pt>
                <c:pt idx="23">
                  <c:v>6.0017559759827773E-3</c:v>
                </c:pt>
                <c:pt idx="24">
                  <c:v>6.1883992296363401E-3</c:v>
                </c:pt>
                <c:pt idx="25">
                  <c:v>6.3750424832899029E-3</c:v>
                </c:pt>
                <c:pt idx="26">
                  <c:v>6.5616857369434657E-3</c:v>
                </c:pt>
                <c:pt idx="27">
                  <c:v>6.7483289905970285E-3</c:v>
                </c:pt>
                <c:pt idx="28">
                  <c:v>6.9349722442505913E-3</c:v>
                </c:pt>
                <c:pt idx="29">
                  <c:v>7.1216154979041541E-3</c:v>
                </c:pt>
                <c:pt idx="30">
                  <c:v>7.3082587515577169E-3</c:v>
                </c:pt>
                <c:pt idx="31">
                  <c:v>7.4949020052112797E-3</c:v>
                </c:pt>
                <c:pt idx="32">
                  <c:v>7.6815452588648424E-3</c:v>
                </c:pt>
                <c:pt idx="33">
                  <c:v>7.8681885125184061E-3</c:v>
                </c:pt>
                <c:pt idx="34">
                  <c:v>8.0548317661719698E-3</c:v>
                </c:pt>
                <c:pt idx="35">
                  <c:v>8.2414750198255334E-3</c:v>
                </c:pt>
                <c:pt idx="36">
                  <c:v>8.4281182734790971E-3</c:v>
                </c:pt>
                <c:pt idx="37">
                  <c:v>8.6147615271326607E-3</c:v>
                </c:pt>
                <c:pt idx="38">
                  <c:v>8.8014047807862244E-3</c:v>
                </c:pt>
                <c:pt idx="39">
                  <c:v>8.988048034439788E-3</c:v>
                </c:pt>
                <c:pt idx="40">
                  <c:v>9.1746912880933517E-3</c:v>
                </c:pt>
                <c:pt idx="41">
                  <c:v>9.3613345417469154E-3</c:v>
                </c:pt>
                <c:pt idx="42">
                  <c:v>9.547977795400479E-3</c:v>
                </c:pt>
                <c:pt idx="43">
                  <c:v>9.7346210490540427E-3</c:v>
                </c:pt>
                <c:pt idx="44">
                  <c:v>9.9212643027076063E-3</c:v>
                </c:pt>
                <c:pt idx="45">
                  <c:v>1.010790755636117E-2</c:v>
                </c:pt>
                <c:pt idx="46">
                  <c:v>1.0294550810014734E-2</c:v>
                </c:pt>
                <c:pt idx="47">
                  <c:v>1.0481194063668297E-2</c:v>
                </c:pt>
                <c:pt idx="48">
                  <c:v>1.0667837317321861E-2</c:v>
                </c:pt>
                <c:pt idx="49">
                  <c:v>1.0854480570975425E-2</c:v>
                </c:pt>
                <c:pt idx="50">
                  <c:v>1.1041123824628988E-2</c:v>
                </c:pt>
                <c:pt idx="51">
                  <c:v>1.1227767078282552E-2</c:v>
                </c:pt>
                <c:pt idx="52">
                  <c:v>1.1414410331936116E-2</c:v>
                </c:pt>
                <c:pt idx="53">
                  <c:v>1.1601053585589679E-2</c:v>
                </c:pt>
                <c:pt idx="54">
                  <c:v>1.1787696839243243E-2</c:v>
                </c:pt>
                <c:pt idx="55">
                  <c:v>1.1974340092896807E-2</c:v>
                </c:pt>
                <c:pt idx="56">
                  <c:v>1.216098334655037E-2</c:v>
                </c:pt>
                <c:pt idx="57">
                  <c:v>1.2347626600203934E-2</c:v>
                </c:pt>
                <c:pt idx="58">
                  <c:v>1.2534269853857498E-2</c:v>
                </c:pt>
                <c:pt idx="59">
                  <c:v>1.2720913107511061E-2</c:v>
                </c:pt>
                <c:pt idx="60">
                  <c:v>1.2907556361164625E-2</c:v>
                </c:pt>
                <c:pt idx="61">
                  <c:v>1.3094199614818188E-2</c:v>
                </c:pt>
                <c:pt idx="62">
                  <c:v>1.3280842868471752E-2</c:v>
                </c:pt>
                <c:pt idx="63">
                  <c:v>1.3467486122125316E-2</c:v>
                </c:pt>
                <c:pt idx="64">
                  <c:v>1.3654129375778879E-2</c:v>
                </c:pt>
                <c:pt idx="65">
                  <c:v>1.3840772629432443E-2</c:v>
                </c:pt>
                <c:pt idx="66">
                  <c:v>1.4027415883086007E-2</c:v>
                </c:pt>
                <c:pt idx="67">
                  <c:v>1.421405913673957E-2</c:v>
                </c:pt>
                <c:pt idx="68">
                  <c:v>1.4400702390393134E-2</c:v>
                </c:pt>
                <c:pt idx="69">
                  <c:v>1.4587345644046698E-2</c:v>
                </c:pt>
                <c:pt idx="70">
                  <c:v>1.4773988897700261E-2</c:v>
                </c:pt>
                <c:pt idx="71">
                  <c:v>1.4960632151353825E-2</c:v>
                </c:pt>
                <c:pt idx="72">
                  <c:v>1.5147275405007389E-2</c:v>
                </c:pt>
                <c:pt idx="73">
                  <c:v>1.5333918658660952E-2</c:v>
                </c:pt>
                <c:pt idx="74">
                  <c:v>1.5520561912314516E-2</c:v>
                </c:pt>
                <c:pt idx="75">
                  <c:v>1.5707205165968078E-2</c:v>
                </c:pt>
                <c:pt idx="76">
                  <c:v>1.5893848419621642E-2</c:v>
                </c:pt>
                <c:pt idx="77">
                  <c:v>1.6080491673275205E-2</c:v>
                </c:pt>
                <c:pt idx="78">
                  <c:v>1.6267134926928769E-2</c:v>
                </c:pt>
                <c:pt idx="79">
                  <c:v>1.6453778180582333E-2</c:v>
                </c:pt>
                <c:pt idx="80">
                  <c:v>1.6640421434235896E-2</c:v>
                </c:pt>
                <c:pt idx="81">
                  <c:v>1.682706468788946E-2</c:v>
                </c:pt>
                <c:pt idx="82">
                  <c:v>1.7013707941543024E-2</c:v>
                </c:pt>
                <c:pt idx="83">
                  <c:v>1.7200351195196587E-2</c:v>
                </c:pt>
                <c:pt idx="84">
                  <c:v>1.7386994448850151E-2</c:v>
                </c:pt>
                <c:pt idx="85">
                  <c:v>1.7573637702503715E-2</c:v>
                </c:pt>
                <c:pt idx="86">
                  <c:v>1.7760280956157278E-2</c:v>
                </c:pt>
                <c:pt idx="87">
                  <c:v>1.7946924209810842E-2</c:v>
                </c:pt>
                <c:pt idx="88">
                  <c:v>1.8133567463464405E-2</c:v>
                </c:pt>
                <c:pt idx="89">
                  <c:v>1.8320210717117969E-2</c:v>
                </c:pt>
                <c:pt idx="90">
                  <c:v>1.8506853970771533E-2</c:v>
                </c:pt>
                <c:pt idx="91">
                  <c:v>1.8693497224425096E-2</c:v>
                </c:pt>
                <c:pt idx="92">
                  <c:v>1.888014047807866E-2</c:v>
                </c:pt>
                <c:pt idx="93">
                  <c:v>1.9066783731732224E-2</c:v>
                </c:pt>
                <c:pt idx="94">
                  <c:v>1.9253426985385787E-2</c:v>
                </c:pt>
                <c:pt idx="95">
                  <c:v>1.9440070239039351E-2</c:v>
                </c:pt>
                <c:pt idx="96">
                  <c:v>1.9626713492692915E-2</c:v>
                </c:pt>
                <c:pt idx="97">
                  <c:v>1.9813356746346478E-2</c:v>
                </c:pt>
                <c:pt idx="98">
                  <c:v>2.0000000000000042E-2</c:v>
                </c:pt>
                <c:pt idx="99">
                  <c:v>0.15</c:v>
                </c:pt>
              </c:numCache>
            </c:numRef>
          </c:xVal>
          <c:yVal>
            <c:numRef>
              <c:f>Material_law!$B$2:$B$501</c:f>
              <c:numCache>
                <c:formatCode>General</c:formatCode>
                <c:ptCount val="500"/>
                <c:pt idx="0">
                  <c:v>0</c:v>
                </c:pt>
                <c:pt idx="1">
                  <c:v>51.75</c:v>
                </c:pt>
                <c:pt idx="2">
                  <c:v>56.538137547838865</c:v>
                </c:pt>
                <c:pt idx="3">
                  <c:v>60.82614896295393</c:v>
                </c:pt>
                <c:pt idx="4">
                  <c:v>64.733787814360895</c:v>
                </c:pt>
                <c:pt idx="5">
                  <c:v>68.338806064046238</c:v>
                </c:pt>
                <c:pt idx="6">
                  <c:v>71.695106108329796</c:v>
                </c:pt>
                <c:pt idx="7">
                  <c:v>74.841896116278733</c:v>
                </c:pt>
                <c:pt idx="8">
                  <c:v>77.808765142429706</c:v>
                </c:pt>
                <c:pt idx="9">
                  <c:v>80.618702970083746</c:v>
                </c:pt>
                <c:pt idx="10">
                  <c:v>83.289999155979814</c:v>
                </c:pt>
                <c:pt idx="11">
                  <c:v>85.837491525949247</c:v>
                </c:pt>
                <c:pt idx="12">
                  <c:v>88.273417533470123</c:v>
                </c:pt>
                <c:pt idx="13">
                  <c:v>90.60801285660402</c:v>
                </c:pt>
                <c:pt idx="14">
                  <c:v>92.849943377762784</c:v>
                </c:pt>
                <c:pt idx="15">
                  <c:v>95.006623991918303</c:v>
                </c:pt>
                <c:pt idx="16">
                  <c:v>97.084458529376846</c:v>
                </c:pt>
                <c:pt idx="17">
                  <c:v>99.089023435004478</c:v>
                </c:pt>
                <c:pt idx="18">
                  <c:v>101.02521054050067</c:v>
                </c:pt>
                <c:pt idx="19">
                  <c:v>102.89733955353645</c:v>
                </c:pt>
                <c:pt idx="20">
                  <c:v>104.7092477712665</c:v>
                </c:pt>
                <c:pt idx="21">
                  <c:v>106.4643624192019</c:v>
                </c:pt>
                <c:pt idx="22">
                  <c:v>108.16575956406606</c:v>
                </c:pt>
                <c:pt idx="23">
                  <c:v>109.81621252988073</c:v>
                </c:pt>
                <c:pt idx="24">
                  <c:v>111.41823201937699</c:v>
                </c:pt>
                <c:pt idx="25">
                  <c:v>112.97409961641196</c:v>
                </c:pt>
                <c:pt idx="26">
                  <c:v>114.48589595879356</c:v>
                </c:pt>
                <c:pt idx="27">
                  <c:v>115.95552458392629</c:v>
                </c:pt>
                <c:pt idx="28">
                  <c:v>117.38473223401013</c:v>
                </c:pt>
                <c:pt idx="29">
                  <c:v>118.77512624370905</c:v>
                </c:pt>
                <c:pt idx="30">
                  <c:v>120.12818950755045</c:v>
                </c:pt>
                <c:pt idx="31">
                  <c:v>121.44529342704929</c:v>
                </c:pt>
                <c:pt idx="32">
                  <c:v>122.72770916160843</c:v>
                </c:pt>
                <c:pt idx="33">
                  <c:v>123.97661744748127</c:v>
                </c:pt>
                <c:pt idx="34">
                  <c:v>125.19311720169316</c:v>
                </c:pt>
                <c:pt idx="35">
                  <c:v>126.37823308997763</c:v>
                </c:pt>
                <c:pt idx="36">
                  <c:v>127.53292220736654</c:v>
                </c:pt>
                <c:pt idx="37">
                  <c:v>128.6580799954705</c:v>
                </c:pt>
                <c:pt idx="38">
                  <c:v>129.75454550046956</c:v>
                </c:pt>
                <c:pt idx="39">
                  <c:v>130.82310605945639</c:v>
                </c:pt>
                <c:pt idx="40">
                  <c:v>131.86450148930416</c:v>
                </c:pt>
                <c:pt idx="41">
                  <c:v>132.87942784109666</c:v>
                </c:pt>
                <c:pt idx="42">
                  <c:v>133.86854077390936</c:v>
                </c:pt>
                <c:pt idx="43">
                  <c:v>134.83245859401464</c:v>
                </c:pt>
                <c:pt idx="44">
                  <c:v>135.7717649991182</c:v>
                </c:pt>
                <c:pt idx="45">
                  <c:v>136.68701156179404</c:v>
                </c:pt>
                <c:pt idx="46">
                  <c:v>137.57871998168864</c:v>
                </c:pt>
                <c:pt idx="47">
                  <c:v>138.44738413217095</c:v>
                </c:pt>
                <c:pt idx="48">
                  <c:v>139.29347192378725</c:v>
                </c:pt>
                <c:pt idx="49">
                  <c:v>140.11742700404983</c:v>
                </c:pt>
                <c:pt idx="50">
                  <c:v>140.91967031066321</c:v>
                </c:pt>
                <c:pt idx="51">
                  <c:v>141.70060149320798</c:v>
                </c:pt>
                <c:pt idx="52">
                  <c:v>142.4606002165041</c:v>
                </c:pt>
                <c:pt idx="53">
                  <c:v>143.2000273573243</c:v>
                </c:pt>
                <c:pt idx="54">
                  <c:v>143.91922610478028</c:v>
                </c:pt>
                <c:pt idx="55">
                  <c:v>144.61852297353403</c:v>
                </c:pt>
                <c:pt idx="56">
                  <c:v>145.29822873796741</c:v>
                </c:pt>
                <c:pt idx="57">
                  <c:v>145.9586392945493</c:v>
                </c:pt>
                <c:pt idx="58">
                  <c:v>146.60003645886161</c:v>
                </c:pt>
                <c:pt idx="59">
                  <c:v>147.22268870305751</c:v>
                </c:pt>
                <c:pt idx="60">
                  <c:v>147.82685183892292</c:v>
                </c:pt>
                <c:pt idx="61">
                  <c:v>148.41276965118035</c:v>
                </c:pt>
                <c:pt idx="62">
                  <c:v>148.98067448520334</c:v>
                </c:pt>
                <c:pt idx="63">
                  <c:v>149.53078779289356</c:v>
                </c:pt>
                <c:pt idx="64">
                  <c:v>150.06332064010289</c:v>
                </c:pt>
                <c:pt idx="65">
                  <c:v>150.57847417865432</c:v>
                </c:pt>
                <c:pt idx="66">
                  <c:v>151.07644008572183</c:v>
                </c:pt>
                <c:pt idx="67">
                  <c:v>151.55740097306943</c:v>
                </c:pt>
                <c:pt idx="68">
                  <c:v>152.02153076841421</c:v>
                </c:pt>
                <c:pt idx="69">
                  <c:v>152.4689950709697</c:v>
                </c:pt>
                <c:pt idx="70">
                  <c:v>152.89995148303765</c:v>
                </c:pt>
                <c:pt idx="71">
                  <c:v>153.31454991934743</c:v>
                </c:pt>
                <c:pt idx="72">
                  <c:v>153.71293289568951</c:v>
                </c:pt>
                <c:pt idx="73">
                  <c:v>154.09523579825267</c:v>
                </c:pt>
                <c:pt idx="74">
                  <c:v>154.46158713495004</c:v>
                </c:pt>
                <c:pt idx="75">
                  <c:v>154.81210876990713</c:v>
                </c:pt>
                <c:pt idx="76">
                  <c:v>155.14691614218219</c:v>
                </c:pt>
                <c:pt idx="77">
                  <c:v>155.46611846969751</c:v>
                </c:pt>
                <c:pt idx="78">
                  <c:v>155.7698189392749</c:v>
                </c:pt>
                <c:pt idx="79">
                  <c:v>156.05811488359319</c:v>
                </c:pt>
                <c:pt idx="80">
                  <c:v>156.33109794581296</c:v>
                </c:pt>
                <c:pt idx="81">
                  <c:v>156.58885423255197</c:v>
                </c:pt>
                <c:pt idx="82">
                  <c:v>156.83146445583299</c:v>
                </c:pt>
                <c:pt idx="83">
                  <c:v>157.05900406457434</c:v>
                </c:pt>
                <c:pt idx="84">
                  <c:v>157.27154336614018</c:v>
                </c:pt>
                <c:pt idx="85">
                  <c:v>157.46914763842412</c:v>
                </c:pt>
                <c:pt idx="86">
                  <c:v>157.65187723289475</c:v>
                </c:pt>
                <c:pt idx="87">
                  <c:v>157.81978766899397</c:v>
                </c:pt>
                <c:pt idx="88">
                  <c:v>157.97292972023885</c:v>
                </c:pt>
                <c:pt idx="89">
                  <c:v>158.11134949234696</c:v>
                </c:pt>
                <c:pt idx="90">
                  <c:v>158.23508849366897</c:v>
                </c:pt>
                <c:pt idx="91">
                  <c:v>158.34418369818394</c:v>
                </c:pt>
                <c:pt idx="92">
                  <c:v>158.43866760128302</c:v>
                </c:pt>
                <c:pt idx="93">
                  <c:v>158.51856826853972</c:v>
                </c:pt>
                <c:pt idx="94">
                  <c:v>158.58390937763909</c:v>
                </c:pt>
                <c:pt idx="95">
                  <c:v>158.63471025361252</c:v>
                </c:pt>
                <c:pt idx="96">
                  <c:v>158.67098589750162</c:v>
                </c:pt>
                <c:pt idx="97">
                  <c:v>158.69274700854993</c:v>
                </c:pt>
                <c:pt idx="98">
                  <c:v>158.70000000000002</c:v>
                </c:pt>
                <c:pt idx="99">
                  <c:v>158.70000000000002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29-4E01-9F8B-34B89F0E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829352"/>
        <c:axId val="524820168"/>
      </c:scatterChart>
      <c:valAx>
        <c:axId val="524829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Strain</a:t>
                </a:r>
                <a:r>
                  <a:rPr lang="fr-CA" baseline="0"/>
                  <a:t> (-)</a:t>
                </a:r>
                <a:endParaRPr lang="fr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C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20168"/>
        <c:crosses val="autoZero"/>
        <c:crossBetween val="midCat"/>
      </c:valAx>
      <c:valAx>
        <c:axId val="52482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29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48553999"/>
        <c:axId val="1948562639"/>
      </c:scatterChart>
      <c:valAx>
        <c:axId val="1948553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562639"/>
        <c:crosses val="autoZero"/>
        <c:crossBetween val="midCat"/>
      </c:valAx>
      <c:valAx>
        <c:axId val="194856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5539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Validation_1!$M$2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Validation_1!$L$3:$L$7</c:f>
              <c:numCache>
                <c:formatCode>General</c:formatCode>
                <c:ptCount val="5"/>
                <c:pt idx="0">
                  <c:v>0</c:v>
                </c:pt>
                <c:pt idx="1">
                  <c:v>3.3062098501070664E-3</c:v>
                </c:pt>
                <c:pt idx="2">
                  <c:v>0.03</c:v>
                </c:pt>
                <c:pt idx="3">
                  <c:v>3.7499999999999999E-2</c:v>
                </c:pt>
                <c:pt idx="4">
                  <c:v>0.06</c:v>
                </c:pt>
              </c:numCache>
            </c:numRef>
          </c:xVal>
          <c:yVal>
            <c:numRef>
              <c:f>Validation_1!$M$3:$M$7</c:f>
              <c:numCache>
                <c:formatCode>General</c:formatCode>
                <c:ptCount val="5"/>
                <c:pt idx="0">
                  <c:v>0</c:v>
                </c:pt>
                <c:pt idx="1">
                  <c:v>772</c:v>
                </c:pt>
                <c:pt idx="2">
                  <c:v>772</c:v>
                </c:pt>
                <c:pt idx="3">
                  <c:v>805.875</c:v>
                </c:pt>
                <c:pt idx="4">
                  <c:v>826.2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9-458C-8F0C-5ED33D735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82271"/>
        <c:axId val="1177590431"/>
      </c:scatterChart>
      <c:valAx>
        <c:axId val="1177582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590431"/>
        <c:crosses val="autoZero"/>
        <c:crossBetween val="midCat"/>
      </c:valAx>
      <c:valAx>
        <c:axId val="117759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582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Validation_0!$M$2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Validation_0!$L$3:$L$7</c:f>
              <c:numCache>
                <c:formatCode>General</c:formatCode>
                <c:ptCount val="5"/>
                <c:pt idx="0">
                  <c:v>0</c:v>
                </c:pt>
                <c:pt idx="1">
                  <c:v>3.3062098501070664E-3</c:v>
                </c:pt>
                <c:pt idx="2">
                  <c:v>0.03</c:v>
                </c:pt>
                <c:pt idx="3">
                  <c:v>3.7499999999999999E-2</c:v>
                </c:pt>
                <c:pt idx="4">
                  <c:v>0.06</c:v>
                </c:pt>
              </c:numCache>
            </c:numRef>
          </c:xVal>
          <c:yVal>
            <c:numRef>
              <c:f>Validation_0!$M$3:$M$7</c:f>
              <c:numCache>
                <c:formatCode>General</c:formatCode>
                <c:ptCount val="5"/>
                <c:pt idx="0">
                  <c:v>0</c:v>
                </c:pt>
                <c:pt idx="1">
                  <c:v>772</c:v>
                </c:pt>
                <c:pt idx="2">
                  <c:v>772</c:v>
                </c:pt>
                <c:pt idx="3">
                  <c:v>805.875</c:v>
                </c:pt>
                <c:pt idx="4">
                  <c:v>826.2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9B-46C8-BF7E-503E3630C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82271"/>
        <c:axId val="1177590431"/>
      </c:scatterChart>
      <c:valAx>
        <c:axId val="1177582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590431"/>
        <c:crosses val="autoZero"/>
        <c:crossBetween val="midCat"/>
      </c:valAx>
      <c:valAx>
        <c:axId val="117759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582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Validation_355!$N$2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Validation_355!$M$3:$M$7</c:f>
              <c:numCache>
                <c:formatCode>General</c:formatCode>
                <c:ptCount val="5"/>
                <c:pt idx="0">
                  <c:v>0</c:v>
                </c:pt>
                <c:pt idx="1">
                  <c:v>1.6565562295846944E-3</c:v>
                </c:pt>
                <c:pt idx="2">
                  <c:v>1.7448979591836729E-2</c:v>
                </c:pt>
                <c:pt idx="3">
                  <c:v>7.6591836734693872E-2</c:v>
                </c:pt>
                <c:pt idx="4">
                  <c:v>0.16530612244897958</c:v>
                </c:pt>
              </c:numCache>
            </c:numRef>
          </c:xVal>
          <c:yVal>
            <c:numRef>
              <c:f>Validation_355!$N$3:$N$7</c:f>
              <c:numCache>
                <c:formatCode>General</c:formatCode>
                <c:ptCount val="5"/>
                <c:pt idx="0">
                  <c:v>0</c:v>
                </c:pt>
                <c:pt idx="1">
                  <c:v>355</c:v>
                </c:pt>
                <c:pt idx="2">
                  <c:v>355</c:v>
                </c:pt>
                <c:pt idx="3">
                  <c:v>490</c:v>
                </c:pt>
                <c:pt idx="4">
                  <c:v>490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D-41E4-9B5A-D2C29EFAA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20128"/>
        <c:axId val="1897995168"/>
      </c:scatterChart>
      <c:valAx>
        <c:axId val="189802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995168"/>
        <c:crosses val="autoZero"/>
        <c:crossBetween val="midCat"/>
      </c:valAx>
      <c:valAx>
        <c:axId val="18979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02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Validation_235!$N$2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Validation_235!$M$3:$M$7</c:f>
              <c:numCache>
                <c:formatCode>General</c:formatCode>
                <c:ptCount val="5"/>
                <c:pt idx="0">
                  <c:v>0</c:v>
                </c:pt>
                <c:pt idx="1">
                  <c:v>1.1190476190476191E-3</c:v>
                </c:pt>
                <c:pt idx="2">
                  <c:v>1.4999999999999999E-2</c:v>
                </c:pt>
                <c:pt idx="3">
                  <c:v>9.2333333333333323E-2</c:v>
                </c:pt>
                <c:pt idx="4">
                  <c:v>0.20833333333333331</c:v>
                </c:pt>
              </c:numCache>
            </c:numRef>
          </c:xVal>
          <c:yVal>
            <c:numRef>
              <c:f>Validation_235!$N$3:$N$7</c:f>
              <c:numCache>
                <c:formatCode>General</c:formatCode>
                <c:ptCount val="5"/>
                <c:pt idx="0">
                  <c:v>0</c:v>
                </c:pt>
                <c:pt idx="1">
                  <c:v>235</c:v>
                </c:pt>
                <c:pt idx="2">
                  <c:v>235</c:v>
                </c:pt>
                <c:pt idx="3">
                  <c:v>360</c:v>
                </c:pt>
                <c:pt idx="4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F-43D4-B344-16324BB6B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20128"/>
        <c:axId val="1897995168"/>
      </c:scatterChart>
      <c:valAx>
        <c:axId val="189802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995168"/>
        <c:crosses val="autoZero"/>
        <c:crossBetween val="midCat"/>
      </c:valAx>
      <c:valAx>
        <c:axId val="18979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02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Validation_460!$N$2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Validation_460!$M$3:$M$7</c:f>
              <c:numCache>
                <c:formatCode>General</c:formatCode>
                <c:ptCount val="5"/>
                <c:pt idx="0">
                  <c:v>0</c:v>
                </c:pt>
                <c:pt idx="1">
                  <c:v>2.1904761904761906E-3</c:v>
                </c:pt>
                <c:pt idx="2">
                  <c:v>2.166666666666666E-2</c:v>
                </c:pt>
                <c:pt idx="3">
                  <c:v>6.8999999999999978E-2</c:v>
                </c:pt>
                <c:pt idx="4">
                  <c:v>0.13999999999999996</c:v>
                </c:pt>
              </c:numCache>
            </c:numRef>
          </c:xVal>
          <c:yVal>
            <c:numRef>
              <c:f>Validation_460!$N$3:$N$7</c:f>
              <c:numCache>
                <c:formatCode>General</c:formatCode>
                <c:ptCount val="5"/>
                <c:pt idx="0">
                  <c:v>0</c:v>
                </c:pt>
                <c:pt idx="1">
                  <c:v>460</c:v>
                </c:pt>
                <c:pt idx="2">
                  <c:v>460</c:v>
                </c:pt>
                <c:pt idx="3">
                  <c:v>600</c:v>
                </c:pt>
                <c:pt idx="4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E-4CDA-BE57-46E8D691D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20128"/>
        <c:axId val="1897995168"/>
      </c:scatterChart>
      <c:valAx>
        <c:axId val="189802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995168"/>
        <c:crosses val="autoZero"/>
        <c:crossBetween val="midCat"/>
      </c:valAx>
      <c:valAx>
        <c:axId val="18979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02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Validation_690!$N$2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Validation_690!$M$3:$M$7</c:f>
              <c:numCache>
                <c:formatCode>General</c:formatCode>
                <c:ptCount val="5"/>
                <c:pt idx="0">
                  <c:v>0</c:v>
                </c:pt>
                <c:pt idx="1">
                  <c:v>3.2857142857142859E-3</c:v>
                </c:pt>
                <c:pt idx="2">
                  <c:v>0.03</c:v>
                </c:pt>
                <c:pt idx="3">
                  <c:v>3.719999999999999E-2</c:v>
                </c:pt>
                <c:pt idx="4">
                  <c:v>4.7999999999999973E-2</c:v>
                </c:pt>
              </c:numCache>
            </c:numRef>
          </c:xVal>
          <c:yVal>
            <c:numRef>
              <c:f>Validation_690!$N$3:$N$7</c:f>
              <c:numCache>
                <c:formatCode>General</c:formatCode>
                <c:ptCount val="5"/>
                <c:pt idx="0">
                  <c:v>0</c:v>
                </c:pt>
                <c:pt idx="1">
                  <c:v>690</c:v>
                </c:pt>
                <c:pt idx="2">
                  <c:v>690</c:v>
                </c:pt>
                <c:pt idx="3">
                  <c:v>750</c:v>
                </c:pt>
                <c:pt idx="4">
                  <c:v>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69-4445-8C99-CA0C5B7BD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20128"/>
        <c:axId val="1897995168"/>
      </c:scatterChart>
      <c:valAx>
        <c:axId val="189802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995168"/>
        <c:crosses val="autoZero"/>
        <c:crossBetween val="midCat"/>
      </c:valAx>
      <c:valAx>
        <c:axId val="18979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02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Stress-strain relationship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Material_law!$C$2:$C$101</c:f>
              <c:numCache>
                <c:formatCode>General</c:formatCode>
                <c:ptCount val="100"/>
                <c:pt idx="0">
                  <c:v>0</c:v>
                </c:pt>
                <c:pt idx="1">
                  <c:v>1.8956043956043955E-3</c:v>
                </c:pt>
                <c:pt idx="2">
                  <c:v>2.0822476492579583E-3</c:v>
                </c:pt>
                <c:pt idx="3">
                  <c:v>2.2688909029115211E-3</c:v>
                </c:pt>
                <c:pt idx="4">
                  <c:v>2.4555341565650839E-3</c:v>
                </c:pt>
                <c:pt idx="5">
                  <c:v>2.6421774102186467E-3</c:v>
                </c:pt>
                <c:pt idx="6">
                  <c:v>2.8288206638722095E-3</c:v>
                </c:pt>
                <c:pt idx="7">
                  <c:v>3.0154639175257723E-3</c:v>
                </c:pt>
                <c:pt idx="8">
                  <c:v>3.2021071711793351E-3</c:v>
                </c:pt>
                <c:pt idx="9">
                  <c:v>3.3887504248328979E-3</c:v>
                </c:pt>
                <c:pt idx="10">
                  <c:v>3.5753936784864607E-3</c:v>
                </c:pt>
                <c:pt idx="11">
                  <c:v>3.7620369321400234E-3</c:v>
                </c:pt>
                <c:pt idx="12">
                  <c:v>3.9486801857935867E-3</c:v>
                </c:pt>
                <c:pt idx="13">
                  <c:v>4.1353234394471495E-3</c:v>
                </c:pt>
                <c:pt idx="14">
                  <c:v>4.3219666931007122E-3</c:v>
                </c:pt>
                <c:pt idx="15">
                  <c:v>4.508609946754275E-3</c:v>
                </c:pt>
                <c:pt idx="16">
                  <c:v>4.6952532004078378E-3</c:v>
                </c:pt>
                <c:pt idx="17">
                  <c:v>4.8818964540614006E-3</c:v>
                </c:pt>
                <c:pt idx="18">
                  <c:v>5.0685397077149634E-3</c:v>
                </c:pt>
                <c:pt idx="19">
                  <c:v>5.2551829613685262E-3</c:v>
                </c:pt>
                <c:pt idx="20">
                  <c:v>5.441826215022089E-3</c:v>
                </c:pt>
                <c:pt idx="21">
                  <c:v>5.6284694686756518E-3</c:v>
                </c:pt>
                <c:pt idx="22">
                  <c:v>5.8151127223292146E-3</c:v>
                </c:pt>
                <c:pt idx="23">
                  <c:v>6.0017559759827773E-3</c:v>
                </c:pt>
                <c:pt idx="24">
                  <c:v>6.1883992296363401E-3</c:v>
                </c:pt>
                <c:pt idx="25">
                  <c:v>6.3750424832899029E-3</c:v>
                </c:pt>
                <c:pt idx="26">
                  <c:v>6.5616857369434657E-3</c:v>
                </c:pt>
                <c:pt idx="27">
                  <c:v>6.7483289905970285E-3</c:v>
                </c:pt>
                <c:pt idx="28">
                  <c:v>6.9349722442505913E-3</c:v>
                </c:pt>
                <c:pt idx="29">
                  <c:v>7.1216154979041541E-3</c:v>
                </c:pt>
                <c:pt idx="30">
                  <c:v>7.3082587515577169E-3</c:v>
                </c:pt>
                <c:pt idx="31">
                  <c:v>7.4949020052112797E-3</c:v>
                </c:pt>
                <c:pt idx="32">
                  <c:v>7.6815452588648424E-3</c:v>
                </c:pt>
                <c:pt idx="33">
                  <c:v>7.8681885125184061E-3</c:v>
                </c:pt>
                <c:pt idx="34">
                  <c:v>8.0548317661719698E-3</c:v>
                </c:pt>
                <c:pt idx="35">
                  <c:v>8.2414750198255334E-3</c:v>
                </c:pt>
                <c:pt idx="36">
                  <c:v>8.4281182734790971E-3</c:v>
                </c:pt>
                <c:pt idx="37">
                  <c:v>8.6147615271326607E-3</c:v>
                </c:pt>
                <c:pt idx="38">
                  <c:v>8.8014047807862244E-3</c:v>
                </c:pt>
                <c:pt idx="39">
                  <c:v>8.988048034439788E-3</c:v>
                </c:pt>
                <c:pt idx="40">
                  <c:v>9.1746912880933517E-3</c:v>
                </c:pt>
                <c:pt idx="41">
                  <c:v>9.3613345417469154E-3</c:v>
                </c:pt>
                <c:pt idx="42">
                  <c:v>9.547977795400479E-3</c:v>
                </c:pt>
                <c:pt idx="43">
                  <c:v>9.7346210490540427E-3</c:v>
                </c:pt>
                <c:pt idx="44">
                  <c:v>9.9212643027076063E-3</c:v>
                </c:pt>
                <c:pt idx="45">
                  <c:v>1.010790755636117E-2</c:v>
                </c:pt>
                <c:pt idx="46">
                  <c:v>1.0294550810014734E-2</c:v>
                </c:pt>
                <c:pt idx="47">
                  <c:v>1.0481194063668297E-2</c:v>
                </c:pt>
                <c:pt idx="48">
                  <c:v>1.0667837317321861E-2</c:v>
                </c:pt>
                <c:pt idx="49">
                  <c:v>1.0854480570975425E-2</c:v>
                </c:pt>
                <c:pt idx="50">
                  <c:v>1.1041123824628988E-2</c:v>
                </c:pt>
                <c:pt idx="51">
                  <c:v>1.1227767078282552E-2</c:v>
                </c:pt>
                <c:pt idx="52">
                  <c:v>1.1414410331936116E-2</c:v>
                </c:pt>
                <c:pt idx="53">
                  <c:v>1.1601053585589679E-2</c:v>
                </c:pt>
                <c:pt idx="54">
                  <c:v>1.1787696839243243E-2</c:v>
                </c:pt>
                <c:pt idx="55">
                  <c:v>1.1974340092896807E-2</c:v>
                </c:pt>
                <c:pt idx="56">
                  <c:v>1.216098334655037E-2</c:v>
                </c:pt>
                <c:pt idx="57">
                  <c:v>1.2347626600203934E-2</c:v>
                </c:pt>
                <c:pt idx="58">
                  <c:v>1.2534269853857498E-2</c:v>
                </c:pt>
                <c:pt idx="59">
                  <c:v>1.2720913107511061E-2</c:v>
                </c:pt>
                <c:pt idx="60">
                  <c:v>1.2907556361164625E-2</c:v>
                </c:pt>
                <c:pt idx="61">
                  <c:v>1.3094199614818188E-2</c:v>
                </c:pt>
                <c:pt idx="62">
                  <c:v>1.3280842868471752E-2</c:v>
                </c:pt>
                <c:pt idx="63">
                  <c:v>1.3467486122125316E-2</c:v>
                </c:pt>
                <c:pt idx="64">
                  <c:v>1.3654129375778879E-2</c:v>
                </c:pt>
                <c:pt idx="65">
                  <c:v>1.3840772629432443E-2</c:v>
                </c:pt>
                <c:pt idx="66">
                  <c:v>1.4027415883086007E-2</c:v>
                </c:pt>
                <c:pt idx="67">
                  <c:v>1.421405913673957E-2</c:v>
                </c:pt>
                <c:pt idx="68">
                  <c:v>1.4400702390393134E-2</c:v>
                </c:pt>
                <c:pt idx="69">
                  <c:v>1.4587345644046698E-2</c:v>
                </c:pt>
                <c:pt idx="70">
                  <c:v>1.4773988897700261E-2</c:v>
                </c:pt>
                <c:pt idx="71">
                  <c:v>1.4960632151353825E-2</c:v>
                </c:pt>
                <c:pt idx="72">
                  <c:v>1.5147275405007389E-2</c:v>
                </c:pt>
                <c:pt idx="73">
                  <c:v>1.5333918658660952E-2</c:v>
                </c:pt>
                <c:pt idx="74">
                  <c:v>1.5520561912314516E-2</c:v>
                </c:pt>
                <c:pt idx="75">
                  <c:v>1.5707205165968078E-2</c:v>
                </c:pt>
                <c:pt idx="76">
                  <c:v>1.5893848419621642E-2</c:v>
                </c:pt>
                <c:pt idx="77">
                  <c:v>1.6080491673275205E-2</c:v>
                </c:pt>
                <c:pt idx="78">
                  <c:v>1.6267134926928769E-2</c:v>
                </c:pt>
                <c:pt idx="79">
                  <c:v>1.6453778180582333E-2</c:v>
                </c:pt>
                <c:pt idx="80">
                  <c:v>1.6640421434235896E-2</c:v>
                </c:pt>
                <c:pt idx="81">
                  <c:v>1.682706468788946E-2</c:v>
                </c:pt>
                <c:pt idx="82">
                  <c:v>1.7013707941543024E-2</c:v>
                </c:pt>
                <c:pt idx="83">
                  <c:v>1.7200351195196587E-2</c:v>
                </c:pt>
                <c:pt idx="84">
                  <c:v>1.7386994448850151E-2</c:v>
                </c:pt>
                <c:pt idx="85">
                  <c:v>1.7573637702503715E-2</c:v>
                </c:pt>
                <c:pt idx="86">
                  <c:v>1.7760280956157278E-2</c:v>
                </c:pt>
                <c:pt idx="87">
                  <c:v>1.7946924209810842E-2</c:v>
                </c:pt>
                <c:pt idx="88">
                  <c:v>1.8133567463464405E-2</c:v>
                </c:pt>
                <c:pt idx="89">
                  <c:v>1.8320210717117969E-2</c:v>
                </c:pt>
                <c:pt idx="90">
                  <c:v>1.8506853970771533E-2</c:v>
                </c:pt>
                <c:pt idx="91">
                  <c:v>1.8693497224425096E-2</c:v>
                </c:pt>
                <c:pt idx="92">
                  <c:v>1.888014047807866E-2</c:v>
                </c:pt>
                <c:pt idx="93">
                  <c:v>1.9066783731732224E-2</c:v>
                </c:pt>
                <c:pt idx="94">
                  <c:v>1.9253426985385787E-2</c:v>
                </c:pt>
                <c:pt idx="95">
                  <c:v>1.9440070239039351E-2</c:v>
                </c:pt>
                <c:pt idx="96">
                  <c:v>1.9626713492692915E-2</c:v>
                </c:pt>
                <c:pt idx="97">
                  <c:v>1.9813356746346478E-2</c:v>
                </c:pt>
                <c:pt idx="98">
                  <c:v>2.0000000000000042E-2</c:v>
                </c:pt>
                <c:pt idx="99">
                  <c:v>0.15</c:v>
                </c:pt>
              </c:numCache>
            </c:numRef>
          </c:xVal>
          <c:yVal>
            <c:numRef>
              <c:f>Material_law!$B$2:$B$101</c:f>
              <c:numCache>
                <c:formatCode>General</c:formatCode>
                <c:ptCount val="100"/>
                <c:pt idx="0">
                  <c:v>0</c:v>
                </c:pt>
                <c:pt idx="1">
                  <c:v>51.75</c:v>
                </c:pt>
                <c:pt idx="2">
                  <c:v>56.538137547838865</c:v>
                </c:pt>
                <c:pt idx="3">
                  <c:v>60.82614896295393</c:v>
                </c:pt>
                <c:pt idx="4">
                  <c:v>64.733787814360895</c:v>
                </c:pt>
                <c:pt idx="5">
                  <c:v>68.338806064046238</c:v>
                </c:pt>
                <c:pt idx="6">
                  <c:v>71.695106108329796</c:v>
                </c:pt>
                <c:pt idx="7">
                  <c:v>74.841896116278733</c:v>
                </c:pt>
                <c:pt idx="8">
                  <c:v>77.808765142429706</c:v>
                </c:pt>
                <c:pt idx="9">
                  <c:v>80.618702970083746</c:v>
                </c:pt>
                <c:pt idx="10">
                  <c:v>83.289999155979814</c:v>
                </c:pt>
                <c:pt idx="11">
                  <c:v>85.837491525949247</c:v>
                </c:pt>
                <c:pt idx="12">
                  <c:v>88.273417533470123</c:v>
                </c:pt>
                <c:pt idx="13">
                  <c:v>90.60801285660402</c:v>
                </c:pt>
                <c:pt idx="14">
                  <c:v>92.849943377762784</c:v>
                </c:pt>
                <c:pt idx="15">
                  <c:v>95.006623991918303</c:v>
                </c:pt>
                <c:pt idx="16">
                  <c:v>97.084458529376846</c:v>
                </c:pt>
                <c:pt idx="17">
                  <c:v>99.089023435004478</c:v>
                </c:pt>
                <c:pt idx="18">
                  <c:v>101.02521054050067</c:v>
                </c:pt>
                <c:pt idx="19">
                  <c:v>102.89733955353645</c:v>
                </c:pt>
                <c:pt idx="20">
                  <c:v>104.7092477712665</c:v>
                </c:pt>
                <c:pt idx="21">
                  <c:v>106.4643624192019</c:v>
                </c:pt>
                <c:pt idx="22">
                  <c:v>108.16575956406606</c:v>
                </c:pt>
                <c:pt idx="23">
                  <c:v>109.81621252988073</c:v>
                </c:pt>
                <c:pt idx="24">
                  <c:v>111.41823201937699</c:v>
                </c:pt>
                <c:pt idx="25">
                  <c:v>112.97409961641196</c:v>
                </c:pt>
                <c:pt idx="26">
                  <c:v>114.48589595879356</c:v>
                </c:pt>
                <c:pt idx="27">
                  <c:v>115.95552458392629</c:v>
                </c:pt>
                <c:pt idx="28">
                  <c:v>117.38473223401013</c:v>
                </c:pt>
                <c:pt idx="29">
                  <c:v>118.77512624370905</c:v>
                </c:pt>
                <c:pt idx="30">
                  <c:v>120.12818950755045</c:v>
                </c:pt>
                <c:pt idx="31">
                  <c:v>121.44529342704929</c:v>
                </c:pt>
                <c:pt idx="32">
                  <c:v>122.72770916160843</c:v>
                </c:pt>
                <c:pt idx="33">
                  <c:v>123.97661744748127</c:v>
                </c:pt>
                <c:pt idx="34">
                  <c:v>125.19311720169316</c:v>
                </c:pt>
                <c:pt idx="35">
                  <c:v>126.37823308997763</c:v>
                </c:pt>
                <c:pt idx="36">
                  <c:v>127.53292220736654</c:v>
                </c:pt>
                <c:pt idx="37">
                  <c:v>128.6580799954705</c:v>
                </c:pt>
                <c:pt idx="38">
                  <c:v>129.75454550046956</c:v>
                </c:pt>
                <c:pt idx="39">
                  <c:v>130.82310605945639</c:v>
                </c:pt>
                <c:pt idx="40">
                  <c:v>131.86450148930416</c:v>
                </c:pt>
                <c:pt idx="41">
                  <c:v>132.87942784109666</c:v>
                </c:pt>
                <c:pt idx="42">
                  <c:v>133.86854077390936</c:v>
                </c:pt>
                <c:pt idx="43">
                  <c:v>134.83245859401464</c:v>
                </c:pt>
                <c:pt idx="44">
                  <c:v>135.7717649991182</c:v>
                </c:pt>
                <c:pt idx="45">
                  <c:v>136.68701156179404</c:v>
                </c:pt>
                <c:pt idx="46">
                  <c:v>137.57871998168864</c:v>
                </c:pt>
                <c:pt idx="47">
                  <c:v>138.44738413217095</c:v>
                </c:pt>
                <c:pt idx="48">
                  <c:v>139.29347192378725</c:v>
                </c:pt>
                <c:pt idx="49">
                  <c:v>140.11742700404983</c:v>
                </c:pt>
                <c:pt idx="50">
                  <c:v>140.91967031066321</c:v>
                </c:pt>
                <c:pt idx="51">
                  <c:v>141.70060149320798</c:v>
                </c:pt>
                <c:pt idx="52">
                  <c:v>142.4606002165041</c:v>
                </c:pt>
                <c:pt idx="53">
                  <c:v>143.2000273573243</c:v>
                </c:pt>
                <c:pt idx="54">
                  <c:v>143.91922610478028</c:v>
                </c:pt>
                <c:pt idx="55">
                  <c:v>144.61852297353403</c:v>
                </c:pt>
                <c:pt idx="56">
                  <c:v>145.29822873796741</c:v>
                </c:pt>
                <c:pt idx="57">
                  <c:v>145.9586392945493</c:v>
                </c:pt>
                <c:pt idx="58">
                  <c:v>146.60003645886161</c:v>
                </c:pt>
                <c:pt idx="59">
                  <c:v>147.22268870305751</c:v>
                </c:pt>
                <c:pt idx="60">
                  <c:v>147.82685183892292</c:v>
                </c:pt>
                <c:pt idx="61">
                  <c:v>148.41276965118035</c:v>
                </c:pt>
                <c:pt idx="62">
                  <c:v>148.98067448520334</c:v>
                </c:pt>
                <c:pt idx="63">
                  <c:v>149.53078779289356</c:v>
                </c:pt>
                <c:pt idx="64">
                  <c:v>150.06332064010289</c:v>
                </c:pt>
                <c:pt idx="65">
                  <c:v>150.57847417865432</c:v>
                </c:pt>
                <c:pt idx="66">
                  <c:v>151.07644008572183</c:v>
                </c:pt>
                <c:pt idx="67">
                  <c:v>151.55740097306943</c:v>
                </c:pt>
                <c:pt idx="68">
                  <c:v>152.02153076841421</c:v>
                </c:pt>
                <c:pt idx="69">
                  <c:v>152.4689950709697</c:v>
                </c:pt>
                <c:pt idx="70">
                  <c:v>152.89995148303765</c:v>
                </c:pt>
                <c:pt idx="71">
                  <c:v>153.31454991934743</c:v>
                </c:pt>
                <c:pt idx="72">
                  <c:v>153.71293289568951</c:v>
                </c:pt>
                <c:pt idx="73">
                  <c:v>154.09523579825267</c:v>
                </c:pt>
                <c:pt idx="74">
                  <c:v>154.46158713495004</c:v>
                </c:pt>
                <c:pt idx="75">
                  <c:v>154.81210876990713</c:v>
                </c:pt>
                <c:pt idx="76">
                  <c:v>155.14691614218219</c:v>
                </c:pt>
                <c:pt idx="77">
                  <c:v>155.46611846969751</c:v>
                </c:pt>
                <c:pt idx="78">
                  <c:v>155.7698189392749</c:v>
                </c:pt>
                <c:pt idx="79">
                  <c:v>156.05811488359319</c:v>
                </c:pt>
                <c:pt idx="80">
                  <c:v>156.33109794581296</c:v>
                </c:pt>
                <c:pt idx="81">
                  <c:v>156.58885423255197</c:v>
                </c:pt>
                <c:pt idx="82">
                  <c:v>156.83146445583299</c:v>
                </c:pt>
                <c:pt idx="83">
                  <c:v>157.05900406457434</c:v>
                </c:pt>
                <c:pt idx="84">
                  <c:v>157.27154336614018</c:v>
                </c:pt>
                <c:pt idx="85">
                  <c:v>157.46914763842412</c:v>
                </c:pt>
                <c:pt idx="86">
                  <c:v>157.65187723289475</c:v>
                </c:pt>
                <c:pt idx="87">
                  <c:v>157.81978766899397</c:v>
                </c:pt>
                <c:pt idx="88">
                  <c:v>157.97292972023885</c:v>
                </c:pt>
                <c:pt idx="89">
                  <c:v>158.11134949234696</c:v>
                </c:pt>
                <c:pt idx="90">
                  <c:v>158.23508849366897</c:v>
                </c:pt>
                <c:pt idx="91">
                  <c:v>158.34418369818394</c:v>
                </c:pt>
                <c:pt idx="92">
                  <c:v>158.43866760128302</c:v>
                </c:pt>
                <c:pt idx="93">
                  <c:v>158.51856826853972</c:v>
                </c:pt>
                <c:pt idx="94">
                  <c:v>158.58390937763909</c:v>
                </c:pt>
                <c:pt idx="95">
                  <c:v>158.63471025361252</c:v>
                </c:pt>
                <c:pt idx="96">
                  <c:v>158.67098589750162</c:v>
                </c:pt>
                <c:pt idx="97">
                  <c:v>158.69274700854993</c:v>
                </c:pt>
                <c:pt idx="98">
                  <c:v>158.70000000000002</c:v>
                </c:pt>
                <c:pt idx="99">
                  <c:v>158.70000000000002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13-4B8C-894F-F626651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829352"/>
        <c:axId val="524820168"/>
      </c:scatterChart>
      <c:valAx>
        <c:axId val="524829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Strain</a:t>
                </a:r>
                <a:r>
                  <a:rPr lang="fr-CA" baseline="0"/>
                  <a:t> (-)</a:t>
                </a:r>
                <a:endParaRPr lang="fr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C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20168"/>
        <c:crosses val="autoZero"/>
        <c:crossBetween val="midCat"/>
      </c:valAx>
      <c:valAx>
        <c:axId val="52482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29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Stress-strain relationship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97112860892368E-2"/>
          <c:y val="0.16707207207207206"/>
          <c:w val="0.8863252375143249"/>
          <c:h val="0.57435447258281913"/>
        </c:manualLayout>
      </c:layout>
      <c:scatterChart>
        <c:scatterStyle val="lineMarker"/>
        <c:varyColors val="0"/>
        <c:ser>
          <c:idx val="0"/>
          <c:order val="0"/>
          <c:tx>
            <c:v>Engineering stress-strain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Abaqus_input!$C$3:$C$500</c:f>
              <c:numCache>
                <c:formatCode>General</c:formatCode>
                <c:ptCount val="498"/>
                <c:pt idx="0">
                  <c:v>0</c:v>
                </c:pt>
                <c:pt idx="1">
                  <c:v>1.8956043956043955E-3</c:v>
                </c:pt>
                <c:pt idx="2">
                  <c:v>2.0822476492579583E-3</c:v>
                </c:pt>
                <c:pt idx="3">
                  <c:v>2.2688909029115211E-3</c:v>
                </c:pt>
                <c:pt idx="4">
                  <c:v>2.4555341565650839E-3</c:v>
                </c:pt>
                <c:pt idx="5">
                  <c:v>2.6421774102186467E-3</c:v>
                </c:pt>
                <c:pt idx="6">
                  <c:v>2.8288206638722095E-3</c:v>
                </c:pt>
                <c:pt idx="7">
                  <c:v>3.0154639175257723E-3</c:v>
                </c:pt>
                <c:pt idx="8">
                  <c:v>3.2021071711793351E-3</c:v>
                </c:pt>
                <c:pt idx="9">
                  <c:v>3.3887504248328979E-3</c:v>
                </c:pt>
                <c:pt idx="10">
                  <c:v>3.5753936784864607E-3</c:v>
                </c:pt>
                <c:pt idx="11">
                  <c:v>3.7620369321400234E-3</c:v>
                </c:pt>
                <c:pt idx="12">
                  <c:v>3.9486801857935867E-3</c:v>
                </c:pt>
                <c:pt idx="13">
                  <c:v>4.1353234394471495E-3</c:v>
                </c:pt>
                <c:pt idx="14">
                  <c:v>4.3219666931007122E-3</c:v>
                </c:pt>
                <c:pt idx="15">
                  <c:v>4.508609946754275E-3</c:v>
                </c:pt>
                <c:pt idx="16">
                  <c:v>4.6952532004078378E-3</c:v>
                </c:pt>
                <c:pt idx="17">
                  <c:v>4.8818964540614006E-3</c:v>
                </c:pt>
                <c:pt idx="18">
                  <c:v>5.0685397077149634E-3</c:v>
                </c:pt>
                <c:pt idx="19">
                  <c:v>5.2551829613685262E-3</c:v>
                </c:pt>
                <c:pt idx="20">
                  <c:v>5.441826215022089E-3</c:v>
                </c:pt>
                <c:pt idx="21">
                  <c:v>5.6284694686756518E-3</c:v>
                </c:pt>
                <c:pt idx="22">
                  <c:v>5.8151127223292146E-3</c:v>
                </c:pt>
                <c:pt idx="23">
                  <c:v>6.0017559759827773E-3</c:v>
                </c:pt>
                <c:pt idx="24">
                  <c:v>6.1883992296363401E-3</c:v>
                </c:pt>
                <c:pt idx="25">
                  <c:v>6.3750424832899029E-3</c:v>
                </c:pt>
                <c:pt idx="26">
                  <c:v>6.5616857369434657E-3</c:v>
                </c:pt>
                <c:pt idx="27">
                  <c:v>6.7483289905970285E-3</c:v>
                </c:pt>
                <c:pt idx="28">
                  <c:v>6.9349722442505913E-3</c:v>
                </c:pt>
                <c:pt idx="29">
                  <c:v>7.1216154979041541E-3</c:v>
                </c:pt>
                <c:pt idx="30">
                  <c:v>7.3082587515577169E-3</c:v>
                </c:pt>
                <c:pt idx="31">
                  <c:v>7.4949020052112797E-3</c:v>
                </c:pt>
                <c:pt idx="32">
                  <c:v>7.6815452588648424E-3</c:v>
                </c:pt>
                <c:pt idx="33">
                  <c:v>7.8681885125184061E-3</c:v>
                </c:pt>
                <c:pt idx="34">
                  <c:v>8.0548317661719698E-3</c:v>
                </c:pt>
                <c:pt idx="35">
                  <c:v>8.2414750198255334E-3</c:v>
                </c:pt>
                <c:pt idx="36">
                  <c:v>8.4281182734790971E-3</c:v>
                </c:pt>
                <c:pt idx="37">
                  <c:v>8.6147615271326607E-3</c:v>
                </c:pt>
                <c:pt idx="38">
                  <c:v>8.8014047807862244E-3</c:v>
                </c:pt>
                <c:pt idx="39">
                  <c:v>8.988048034439788E-3</c:v>
                </c:pt>
                <c:pt idx="40">
                  <c:v>9.1746912880933517E-3</c:v>
                </c:pt>
                <c:pt idx="41">
                  <c:v>9.3613345417469154E-3</c:v>
                </c:pt>
                <c:pt idx="42">
                  <c:v>9.547977795400479E-3</c:v>
                </c:pt>
                <c:pt idx="43">
                  <c:v>9.7346210490540427E-3</c:v>
                </c:pt>
                <c:pt idx="44">
                  <c:v>9.9212643027076063E-3</c:v>
                </c:pt>
                <c:pt idx="45">
                  <c:v>1.010790755636117E-2</c:v>
                </c:pt>
                <c:pt idx="46">
                  <c:v>1.0294550810014734E-2</c:v>
                </c:pt>
                <c:pt idx="47">
                  <c:v>1.0481194063668297E-2</c:v>
                </c:pt>
                <c:pt idx="48">
                  <c:v>1.0667837317321861E-2</c:v>
                </c:pt>
                <c:pt idx="49">
                  <c:v>1.0854480570975425E-2</c:v>
                </c:pt>
                <c:pt idx="50">
                  <c:v>1.1041123824628988E-2</c:v>
                </c:pt>
                <c:pt idx="51">
                  <c:v>1.1227767078282552E-2</c:v>
                </c:pt>
                <c:pt idx="52">
                  <c:v>1.1414410331936116E-2</c:v>
                </c:pt>
                <c:pt idx="53">
                  <c:v>1.1601053585589679E-2</c:v>
                </c:pt>
                <c:pt idx="54">
                  <c:v>1.1787696839243243E-2</c:v>
                </c:pt>
                <c:pt idx="55">
                  <c:v>1.1974340092896807E-2</c:v>
                </c:pt>
                <c:pt idx="56">
                  <c:v>1.216098334655037E-2</c:v>
                </c:pt>
                <c:pt idx="57">
                  <c:v>1.2347626600203934E-2</c:v>
                </c:pt>
                <c:pt idx="58">
                  <c:v>1.2534269853857498E-2</c:v>
                </c:pt>
                <c:pt idx="59">
                  <c:v>1.2720913107511061E-2</c:v>
                </c:pt>
                <c:pt idx="60">
                  <c:v>1.2907556361164625E-2</c:v>
                </c:pt>
                <c:pt idx="61">
                  <c:v>1.3094199614818188E-2</c:v>
                </c:pt>
                <c:pt idx="62">
                  <c:v>1.3280842868471752E-2</c:v>
                </c:pt>
                <c:pt idx="63">
                  <c:v>1.3467486122125316E-2</c:v>
                </c:pt>
                <c:pt idx="64">
                  <c:v>1.3654129375778879E-2</c:v>
                </c:pt>
                <c:pt idx="65">
                  <c:v>1.3840772629432443E-2</c:v>
                </c:pt>
                <c:pt idx="66">
                  <c:v>1.4027415883086007E-2</c:v>
                </c:pt>
                <c:pt idx="67">
                  <c:v>1.421405913673957E-2</c:v>
                </c:pt>
                <c:pt idx="68">
                  <c:v>1.4400702390393134E-2</c:v>
                </c:pt>
                <c:pt idx="69">
                  <c:v>1.4587345644046698E-2</c:v>
                </c:pt>
                <c:pt idx="70">
                  <c:v>1.4773988897700261E-2</c:v>
                </c:pt>
                <c:pt idx="71">
                  <c:v>1.4960632151353825E-2</c:v>
                </c:pt>
                <c:pt idx="72">
                  <c:v>1.5147275405007389E-2</c:v>
                </c:pt>
                <c:pt idx="73">
                  <c:v>1.5333918658660952E-2</c:v>
                </c:pt>
                <c:pt idx="74">
                  <c:v>1.5520561912314516E-2</c:v>
                </c:pt>
                <c:pt idx="75">
                  <c:v>1.5707205165968078E-2</c:v>
                </c:pt>
                <c:pt idx="76">
                  <c:v>1.5893848419621642E-2</c:v>
                </c:pt>
                <c:pt idx="77">
                  <c:v>1.6080491673275205E-2</c:v>
                </c:pt>
                <c:pt idx="78">
                  <c:v>1.6267134926928769E-2</c:v>
                </c:pt>
                <c:pt idx="79">
                  <c:v>1.6453778180582333E-2</c:v>
                </c:pt>
                <c:pt idx="80">
                  <c:v>1.6640421434235896E-2</c:v>
                </c:pt>
                <c:pt idx="81">
                  <c:v>1.682706468788946E-2</c:v>
                </c:pt>
                <c:pt idx="82">
                  <c:v>1.7013707941543024E-2</c:v>
                </c:pt>
                <c:pt idx="83">
                  <c:v>1.7200351195196587E-2</c:v>
                </c:pt>
                <c:pt idx="84">
                  <c:v>1.7386994448850151E-2</c:v>
                </c:pt>
                <c:pt idx="85">
                  <c:v>1.7573637702503715E-2</c:v>
                </c:pt>
                <c:pt idx="86">
                  <c:v>1.7760280956157278E-2</c:v>
                </c:pt>
                <c:pt idx="87">
                  <c:v>1.7946924209810842E-2</c:v>
                </c:pt>
                <c:pt idx="88">
                  <c:v>1.8133567463464405E-2</c:v>
                </c:pt>
                <c:pt idx="89">
                  <c:v>1.8320210717117969E-2</c:v>
                </c:pt>
                <c:pt idx="90">
                  <c:v>1.8506853970771533E-2</c:v>
                </c:pt>
                <c:pt idx="91">
                  <c:v>1.8693497224425096E-2</c:v>
                </c:pt>
                <c:pt idx="92">
                  <c:v>1.888014047807866E-2</c:v>
                </c:pt>
                <c:pt idx="93">
                  <c:v>1.9066783731732224E-2</c:v>
                </c:pt>
                <c:pt idx="94">
                  <c:v>1.9253426985385787E-2</c:v>
                </c:pt>
                <c:pt idx="95">
                  <c:v>1.9440070239039351E-2</c:v>
                </c:pt>
                <c:pt idx="96">
                  <c:v>1.9626713492692915E-2</c:v>
                </c:pt>
                <c:pt idx="97">
                  <c:v>1.9813356746346478E-2</c:v>
                </c:pt>
                <c:pt idx="98">
                  <c:v>2.0000000000000042E-2</c:v>
                </c:pt>
                <c:pt idx="99">
                  <c:v>0.15</c:v>
                </c:pt>
              </c:numCache>
            </c:numRef>
          </c:xVal>
          <c:yVal>
            <c:numRef>
              <c:f>Abaqus_input!$B$3:$B$500</c:f>
              <c:numCache>
                <c:formatCode>General</c:formatCode>
                <c:ptCount val="498"/>
                <c:pt idx="0">
                  <c:v>0</c:v>
                </c:pt>
                <c:pt idx="1">
                  <c:v>51.75</c:v>
                </c:pt>
                <c:pt idx="2">
                  <c:v>56.538137547838865</c:v>
                </c:pt>
                <c:pt idx="3">
                  <c:v>60.82614896295393</c:v>
                </c:pt>
                <c:pt idx="4">
                  <c:v>64.733787814360895</c:v>
                </c:pt>
                <c:pt idx="5">
                  <c:v>68.338806064046238</c:v>
                </c:pt>
                <c:pt idx="6">
                  <c:v>71.695106108329796</c:v>
                </c:pt>
                <c:pt idx="7">
                  <c:v>74.841896116278733</c:v>
                </c:pt>
                <c:pt idx="8">
                  <c:v>77.808765142429706</c:v>
                </c:pt>
                <c:pt idx="9">
                  <c:v>80.618702970083746</c:v>
                </c:pt>
                <c:pt idx="10">
                  <c:v>83.289999155979814</c:v>
                </c:pt>
                <c:pt idx="11">
                  <c:v>85.837491525949247</c:v>
                </c:pt>
                <c:pt idx="12">
                  <c:v>88.273417533470123</c:v>
                </c:pt>
                <c:pt idx="13">
                  <c:v>90.60801285660402</c:v>
                </c:pt>
                <c:pt idx="14">
                  <c:v>92.849943377762784</c:v>
                </c:pt>
                <c:pt idx="15">
                  <c:v>95.006623991918303</c:v>
                </c:pt>
                <c:pt idx="16">
                  <c:v>97.084458529376846</c:v>
                </c:pt>
                <c:pt idx="17">
                  <c:v>99.089023435004478</c:v>
                </c:pt>
                <c:pt idx="18">
                  <c:v>101.02521054050067</c:v>
                </c:pt>
                <c:pt idx="19">
                  <c:v>102.89733955353645</c:v>
                </c:pt>
                <c:pt idx="20">
                  <c:v>104.7092477712665</c:v>
                </c:pt>
                <c:pt idx="21">
                  <c:v>106.4643624192019</c:v>
                </c:pt>
                <c:pt idx="22">
                  <c:v>108.16575956406606</c:v>
                </c:pt>
                <c:pt idx="23">
                  <c:v>109.81621252988073</c:v>
                </c:pt>
                <c:pt idx="24">
                  <c:v>111.41823201937699</c:v>
                </c:pt>
                <c:pt idx="25">
                  <c:v>112.97409961641196</c:v>
                </c:pt>
                <c:pt idx="26">
                  <c:v>114.48589595879356</c:v>
                </c:pt>
                <c:pt idx="27">
                  <c:v>115.95552458392629</c:v>
                </c:pt>
                <c:pt idx="28">
                  <c:v>117.38473223401013</c:v>
                </c:pt>
                <c:pt idx="29">
                  <c:v>118.77512624370905</c:v>
                </c:pt>
                <c:pt idx="30">
                  <c:v>120.12818950755045</c:v>
                </c:pt>
                <c:pt idx="31">
                  <c:v>121.44529342704929</c:v>
                </c:pt>
                <c:pt idx="32">
                  <c:v>122.72770916160843</c:v>
                </c:pt>
                <c:pt idx="33">
                  <c:v>123.97661744748127</c:v>
                </c:pt>
                <c:pt idx="34">
                  <c:v>125.19311720169316</c:v>
                </c:pt>
                <c:pt idx="35">
                  <c:v>126.37823308997763</c:v>
                </c:pt>
                <c:pt idx="36">
                  <c:v>127.53292220736654</c:v>
                </c:pt>
                <c:pt idx="37">
                  <c:v>128.6580799954705</c:v>
                </c:pt>
                <c:pt idx="38">
                  <c:v>129.75454550046956</c:v>
                </c:pt>
                <c:pt idx="39">
                  <c:v>130.82310605945639</c:v>
                </c:pt>
                <c:pt idx="40">
                  <c:v>131.86450148930416</c:v>
                </c:pt>
                <c:pt idx="41">
                  <c:v>132.87942784109666</c:v>
                </c:pt>
                <c:pt idx="42">
                  <c:v>133.86854077390936</c:v>
                </c:pt>
                <c:pt idx="43">
                  <c:v>134.83245859401464</c:v>
                </c:pt>
                <c:pt idx="44">
                  <c:v>135.7717649991182</c:v>
                </c:pt>
                <c:pt idx="45">
                  <c:v>136.68701156179404</c:v>
                </c:pt>
                <c:pt idx="46">
                  <c:v>137.57871998168864</c:v>
                </c:pt>
                <c:pt idx="47">
                  <c:v>138.44738413217095</c:v>
                </c:pt>
                <c:pt idx="48">
                  <c:v>139.29347192378725</c:v>
                </c:pt>
                <c:pt idx="49">
                  <c:v>140.11742700404983</c:v>
                </c:pt>
                <c:pt idx="50">
                  <c:v>140.91967031066321</c:v>
                </c:pt>
                <c:pt idx="51">
                  <c:v>141.70060149320798</c:v>
                </c:pt>
                <c:pt idx="52">
                  <c:v>142.4606002165041</c:v>
                </c:pt>
                <c:pt idx="53">
                  <c:v>143.2000273573243</c:v>
                </c:pt>
                <c:pt idx="54">
                  <c:v>143.91922610478028</c:v>
                </c:pt>
                <c:pt idx="55">
                  <c:v>144.61852297353403</c:v>
                </c:pt>
                <c:pt idx="56">
                  <c:v>145.29822873796741</c:v>
                </c:pt>
                <c:pt idx="57">
                  <c:v>145.9586392945493</c:v>
                </c:pt>
                <c:pt idx="58">
                  <c:v>146.60003645886161</c:v>
                </c:pt>
                <c:pt idx="59">
                  <c:v>147.22268870305751</c:v>
                </c:pt>
                <c:pt idx="60">
                  <c:v>147.82685183892292</c:v>
                </c:pt>
                <c:pt idx="61">
                  <c:v>148.41276965118035</c:v>
                </c:pt>
                <c:pt idx="62">
                  <c:v>148.98067448520334</c:v>
                </c:pt>
                <c:pt idx="63">
                  <c:v>149.53078779289356</c:v>
                </c:pt>
                <c:pt idx="64">
                  <c:v>150.06332064010289</c:v>
                </c:pt>
                <c:pt idx="65">
                  <c:v>150.57847417865432</c:v>
                </c:pt>
                <c:pt idx="66">
                  <c:v>151.07644008572183</c:v>
                </c:pt>
                <c:pt idx="67">
                  <c:v>151.55740097306943</c:v>
                </c:pt>
                <c:pt idx="68">
                  <c:v>152.02153076841421</c:v>
                </c:pt>
                <c:pt idx="69">
                  <c:v>152.4689950709697</c:v>
                </c:pt>
                <c:pt idx="70">
                  <c:v>152.89995148303765</c:v>
                </c:pt>
                <c:pt idx="71">
                  <c:v>153.31454991934743</c:v>
                </c:pt>
                <c:pt idx="72">
                  <c:v>153.71293289568951</c:v>
                </c:pt>
                <c:pt idx="73">
                  <c:v>154.09523579825267</c:v>
                </c:pt>
                <c:pt idx="74">
                  <c:v>154.46158713495004</c:v>
                </c:pt>
                <c:pt idx="75">
                  <c:v>154.81210876990713</c:v>
                </c:pt>
                <c:pt idx="76">
                  <c:v>155.14691614218219</c:v>
                </c:pt>
                <c:pt idx="77">
                  <c:v>155.46611846969751</c:v>
                </c:pt>
                <c:pt idx="78">
                  <c:v>155.7698189392749</c:v>
                </c:pt>
                <c:pt idx="79">
                  <c:v>156.05811488359319</c:v>
                </c:pt>
                <c:pt idx="80">
                  <c:v>156.33109794581296</c:v>
                </c:pt>
                <c:pt idx="81">
                  <c:v>156.58885423255197</c:v>
                </c:pt>
                <c:pt idx="82">
                  <c:v>156.83146445583299</c:v>
                </c:pt>
                <c:pt idx="83">
                  <c:v>157.05900406457434</c:v>
                </c:pt>
                <c:pt idx="84">
                  <c:v>157.27154336614018</c:v>
                </c:pt>
                <c:pt idx="85">
                  <c:v>157.46914763842412</c:v>
                </c:pt>
                <c:pt idx="86">
                  <c:v>157.65187723289475</c:v>
                </c:pt>
                <c:pt idx="87">
                  <c:v>157.81978766899397</c:v>
                </c:pt>
                <c:pt idx="88">
                  <c:v>157.97292972023885</c:v>
                </c:pt>
                <c:pt idx="89">
                  <c:v>158.11134949234696</c:v>
                </c:pt>
                <c:pt idx="90">
                  <c:v>158.23508849366897</c:v>
                </c:pt>
                <c:pt idx="91">
                  <c:v>158.34418369818394</c:v>
                </c:pt>
                <c:pt idx="92">
                  <c:v>158.43866760128302</c:v>
                </c:pt>
                <c:pt idx="93">
                  <c:v>158.51856826853972</c:v>
                </c:pt>
                <c:pt idx="94">
                  <c:v>158.58390937763909</c:v>
                </c:pt>
                <c:pt idx="95">
                  <c:v>158.63471025361252</c:v>
                </c:pt>
                <c:pt idx="96">
                  <c:v>158.67098589750162</c:v>
                </c:pt>
                <c:pt idx="97">
                  <c:v>158.69274700854993</c:v>
                </c:pt>
                <c:pt idx="98">
                  <c:v>158.70000000000002</c:v>
                </c:pt>
                <c:pt idx="99">
                  <c:v>158.70000000000002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4-4BA8-9F45-1C1920CE9D4C}"/>
            </c:ext>
          </c:extLst>
        </c:ser>
        <c:ser>
          <c:idx val="1"/>
          <c:order val="1"/>
          <c:tx>
            <c:v>True stress-strain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Abaqus_input!$E$3:$E$500</c:f>
              <c:numCache>
                <c:formatCode>General</c:formatCode>
                <c:ptCount val="498"/>
                <c:pt idx="0">
                  <c:v>0</c:v>
                </c:pt>
                <c:pt idx="1">
                  <c:v>1.893810004870907E-3</c:v>
                </c:pt>
                <c:pt idx="2">
                  <c:v>2.0800827763016831E-3</c:v>
                </c:pt>
                <c:pt idx="3">
                  <c:v>2.2663208566492087E-3</c:v>
                </c:pt>
                <c:pt idx="4">
                  <c:v>2.4525242588322354E-3</c:v>
                </c:pt>
                <c:pt idx="5">
                  <c:v>2.6386929957629653E-3</c:v>
                </c:pt>
                <c:pt idx="6">
                  <c:v>2.8248270803463904E-3</c:v>
                </c:pt>
                <c:pt idx="7">
                  <c:v>3.0109265254796322E-3</c:v>
                </c:pt>
                <c:pt idx="8">
                  <c:v>3.1969913440535003E-3</c:v>
                </c:pt>
                <c:pt idx="9">
                  <c:v>3.3830215489507238E-3</c:v>
                </c:pt>
                <c:pt idx="10">
                  <c:v>3.5690171530475072E-3</c:v>
                </c:pt>
                <c:pt idx="11">
                  <c:v>3.7549781692128724E-3</c:v>
                </c:pt>
                <c:pt idx="12">
                  <c:v>3.9409046103079989E-3</c:v>
                </c:pt>
                <c:pt idx="13">
                  <c:v>4.1267964891877774E-3</c:v>
                </c:pt>
                <c:pt idx="14">
                  <c:v>4.31265381869905E-3</c:v>
                </c:pt>
                <c:pt idx="15">
                  <c:v>4.4984766116821558E-3</c:v>
                </c:pt>
                <c:pt idx="16">
                  <c:v>4.6842648809702816E-3</c:v>
                </c:pt>
                <c:pt idx="17">
                  <c:v>4.8700186393887965E-3</c:v>
                </c:pt>
                <c:pt idx="18">
                  <c:v>5.0557378997568092E-3</c:v>
                </c:pt>
                <c:pt idx="19">
                  <c:v>5.2414226748854036E-3</c:v>
                </c:pt>
                <c:pt idx="20">
                  <c:v>5.427072977579191E-3</c:v>
                </c:pt>
                <c:pt idx="21">
                  <c:v>5.6126888206356517E-3</c:v>
                </c:pt>
                <c:pt idx="22">
                  <c:v>5.7982702168444793E-3</c:v>
                </c:pt>
                <c:pt idx="23">
                  <c:v>5.9838171789891323E-3</c:v>
                </c:pt>
                <c:pt idx="24">
                  <c:v>6.1693297198450701E-3</c:v>
                </c:pt>
                <c:pt idx="25">
                  <c:v>6.3548078521813069E-3</c:v>
                </c:pt>
                <c:pt idx="26">
                  <c:v>6.5402515887597514E-3</c:v>
                </c:pt>
                <c:pt idx="27">
                  <c:v>6.7256609423345529E-3</c:v>
                </c:pt>
                <c:pt idx="28">
                  <c:v>6.9110359256536504E-3</c:v>
                </c:pt>
                <c:pt idx="29">
                  <c:v>7.0963765514570126E-3</c:v>
                </c:pt>
                <c:pt idx="30">
                  <c:v>7.2816828324781873E-3</c:v>
                </c:pt>
                <c:pt idx="31">
                  <c:v>7.4669547814436429E-3</c:v>
                </c:pt>
                <c:pt idx="32">
                  <c:v>7.6521924110721177E-3</c:v>
                </c:pt>
                <c:pt idx="33">
                  <c:v>7.8373957340761614E-3</c:v>
                </c:pt>
                <c:pt idx="34">
                  <c:v>8.0225647631603832E-3</c:v>
                </c:pt>
                <c:pt idx="35">
                  <c:v>8.2076995110232157E-3</c:v>
                </c:pt>
                <c:pt idx="36">
                  <c:v>8.3927999903551601E-3</c:v>
                </c:pt>
                <c:pt idx="37">
                  <c:v>8.5778662138403326E-3</c:v>
                </c:pt>
                <c:pt idx="38">
                  <c:v>8.7628981941558041E-3</c:v>
                </c:pt>
                <c:pt idx="39">
                  <c:v>8.9478959439709578E-3</c:v>
                </c:pt>
                <c:pt idx="40">
                  <c:v>9.1328594759490182E-3</c:v>
                </c:pt>
                <c:pt idx="41">
                  <c:v>9.3177888027453117E-3</c:v>
                </c:pt>
                <c:pt idx="42">
                  <c:v>9.5026839370088018E-3</c:v>
                </c:pt>
                <c:pt idx="43">
                  <c:v>9.6875448913814333E-3</c:v>
                </c:pt>
                <c:pt idx="44">
                  <c:v>9.8723716784974887E-3</c:v>
                </c:pt>
                <c:pt idx="45">
                  <c:v>1.0057164310985122E-2</c:v>
                </c:pt>
                <c:pt idx="46">
                  <c:v>1.0241922801464607E-2</c:v>
                </c:pt>
                <c:pt idx="47">
                  <c:v>1.0426647162549887E-2</c:v>
                </c:pt>
                <c:pt idx="48">
                  <c:v>1.0611337406847913E-2</c:v>
                </c:pt>
                <c:pt idx="49">
                  <c:v>1.0795993546957993E-2</c:v>
                </c:pt>
                <c:pt idx="50">
                  <c:v>1.098061559547334E-2</c:v>
                </c:pt>
                <c:pt idx="51">
                  <c:v>1.1165203564979307E-2</c:v>
                </c:pt>
                <c:pt idx="52">
                  <c:v>1.1349757468054946E-2</c:v>
                </c:pt>
                <c:pt idx="53">
                  <c:v>1.1534277317272338E-2</c:v>
                </c:pt>
                <c:pt idx="54">
                  <c:v>1.1718763125195954E-2</c:v>
                </c:pt>
                <c:pt idx="55">
                  <c:v>1.1903214904384186E-2</c:v>
                </c:pt>
                <c:pt idx="56">
                  <c:v>1.2087632667387603E-2</c:v>
                </c:pt>
                <c:pt idx="57">
                  <c:v>1.2272016426750488E-2</c:v>
                </c:pt>
                <c:pt idx="58">
                  <c:v>1.2456366195010185E-2</c:v>
                </c:pt>
                <c:pt idx="59">
                  <c:v>1.2640681984696454E-2</c:v>
                </c:pt>
                <c:pt idx="60">
                  <c:v>1.2824963808332996E-2</c:v>
                </c:pt>
                <c:pt idx="61">
                  <c:v>1.3009211678435719E-2</c:v>
                </c:pt>
                <c:pt idx="62">
                  <c:v>1.319342560751427E-2</c:v>
                </c:pt>
                <c:pt idx="63">
                  <c:v>1.3377605608071384E-2</c:v>
                </c:pt>
                <c:pt idx="64">
                  <c:v>1.3561751692602231E-2</c:v>
                </c:pt>
                <c:pt idx="65">
                  <c:v>1.3745863873595958E-2</c:v>
                </c:pt>
                <c:pt idx="66">
                  <c:v>1.3929942163533935E-2</c:v>
                </c:pt>
                <c:pt idx="67">
                  <c:v>1.4113986574891522E-2</c:v>
                </c:pt>
                <c:pt idx="68">
                  <c:v>1.4297997120136309E-2</c:v>
                </c:pt>
                <c:pt idx="69">
                  <c:v>1.448197381172967E-2</c:v>
                </c:pt>
                <c:pt idx="70">
                  <c:v>1.4665916662126095E-2</c:v>
                </c:pt>
                <c:pt idx="71">
                  <c:v>1.4849825683772551E-2</c:v>
                </c:pt>
                <c:pt idx="72">
                  <c:v>1.5033700889110012E-2</c:v>
                </c:pt>
                <c:pt idx="73">
                  <c:v>1.5217542290571715E-2</c:v>
                </c:pt>
                <c:pt idx="74">
                  <c:v>1.5401349900584699E-2</c:v>
                </c:pt>
                <c:pt idx="75">
                  <c:v>1.558512373156915E-2</c:v>
                </c:pt>
                <c:pt idx="76">
                  <c:v>1.5768863795937754E-2</c:v>
                </c:pt>
                <c:pt idx="77">
                  <c:v>1.5952570106097227E-2</c:v>
                </c:pt>
                <c:pt idx="78">
                  <c:v>1.613624267444658E-2</c:v>
                </c:pt>
                <c:pt idx="79">
                  <c:v>1.631988151337864E-2</c:v>
                </c:pt>
                <c:pt idx="80">
                  <c:v>1.6503486635279417E-2</c:v>
                </c:pt>
                <c:pt idx="81">
                  <c:v>1.6687058052527438E-2</c:v>
                </c:pt>
                <c:pt idx="82">
                  <c:v>1.6870595777495296E-2</c:v>
                </c:pt>
                <c:pt idx="83">
                  <c:v>1.7054099822547887E-2</c:v>
                </c:pt>
                <c:pt idx="84">
                  <c:v>1.7237570200043965E-2</c:v>
                </c:pt>
                <c:pt idx="85">
                  <c:v>1.7421006922335482E-2</c:v>
                </c:pt>
                <c:pt idx="86">
                  <c:v>1.7604410001766938E-2</c:v>
                </c:pt>
                <c:pt idx="87">
                  <c:v>1.7787779450676913E-2</c:v>
                </c:pt>
                <c:pt idx="88">
                  <c:v>1.7971115281396333E-2</c:v>
                </c:pt>
                <c:pt idx="89">
                  <c:v>1.8154417506249992E-2</c:v>
                </c:pt>
                <c:pt idx="90">
                  <c:v>1.833768613755591E-2</c:v>
                </c:pt>
                <c:pt idx="91">
                  <c:v>1.8520921187624682E-2</c:v>
                </c:pt>
                <c:pt idx="92">
                  <c:v>1.8704122668761012E-2</c:v>
                </c:pt>
                <c:pt idx="93">
                  <c:v>1.8887290593261965E-2</c:v>
                </c:pt>
                <c:pt idx="94">
                  <c:v>1.9070424973418505E-2</c:v>
                </c:pt>
                <c:pt idx="95">
                  <c:v>1.9253525821514846E-2</c:v>
                </c:pt>
                <c:pt idx="96">
                  <c:v>1.9436593149827801E-2</c:v>
                </c:pt>
                <c:pt idx="97">
                  <c:v>1.9619626970628318E-2</c:v>
                </c:pt>
                <c:pt idx="98">
                  <c:v>1.980262729617973E-2</c:v>
                </c:pt>
                <c:pt idx="99">
                  <c:v>0.13976194237515863</c:v>
                </c:pt>
              </c:numCache>
            </c:numRef>
          </c:xVal>
          <c:yVal>
            <c:numRef>
              <c:f>Abaqus_input!$D$3:$D$500</c:f>
              <c:numCache>
                <c:formatCode>General</c:formatCode>
                <c:ptCount val="498"/>
                <c:pt idx="0">
                  <c:v>0</c:v>
                </c:pt>
                <c:pt idx="1">
                  <c:v>51.848097527472532</c:v>
                </c:pt>
                <c:pt idx="2">
                  <c:v>56.655863951841269</c:v>
                </c:pt>
                <c:pt idx="3">
                  <c:v>60.964156858995125</c:v>
                </c:pt>
                <c:pt idx="4">
                  <c:v>64.892743841422899</c:v>
                </c:pt>
                <c:pt idx="5">
                  <c:v>68.519369313669969</c:v>
                </c:pt>
                <c:pt idx="6">
                  <c:v>71.89791870598755</c:v>
                </c:pt>
                <c:pt idx="7">
                  <c:v>75.067579153536585</c:v>
                </c:pt>
                <c:pt idx="8">
                  <c:v>78.057917147272889</c:v>
                </c:pt>
                <c:pt idx="9">
                  <c:v>80.89189963402309</c:v>
                </c:pt>
                <c:pt idx="10">
                  <c:v>83.587793692443242</c:v>
                </c:pt>
                <c:pt idx="11">
                  <c:v>86.160415339232131</c:v>
                </c:pt>
                <c:pt idx="12">
                  <c:v>88.621981028216823</c:v>
                </c:pt>
                <c:pt idx="13">
                  <c:v>90.982706295971667</c:v>
                </c:pt>
                <c:pt idx="14">
                  <c:v>93.251237740497757</c:v>
                </c:pt>
                <c:pt idx="15">
                  <c:v>95.434971801855795</c:v>
                </c:pt>
                <c:pt idx="16">
                  <c:v>97.540294643996774</c:v>
                </c:pt>
                <c:pt idx="17">
                  <c:v>99.572765787148228</c:v>
                </c:pt>
                <c:pt idx="18">
                  <c:v>101.53726083160547</c:v>
                </c:pt>
                <c:pt idx="19">
                  <c:v>103.43808389912834</c:v>
                </c:pt>
                <c:pt idx="20">
                  <c:v>105.27905730074342</c:v>
                </c:pt>
                <c:pt idx="21">
                  <c:v>107.06359383258041</c:v>
                </c:pt>
                <c:pt idx="22">
                  <c:v>108.79475564862746</c:v>
                </c:pt>
                <c:pt idx="23">
                  <c:v>110.47530263969175</c:v>
                </c:pt>
                <c:pt idx="24">
                  <c:v>112.10773252057314</c:v>
                </c:pt>
                <c:pt idx="25">
                  <c:v>113.69431430097801</c:v>
                </c:pt>
                <c:pt idx="26">
                  <c:v>115.23711642938757</c:v>
                </c:pt>
                <c:pt idx="27">
                  <c:v>116.73803061209588</c:v>
                </c:pt>
                <c:pt idx="28">
                  <c:v>118.19879209395178</c:v>
                </c:pt>
                <c:pt idx="29">
                  <c:v>119.62099702353177</c:v>
                </c:pt>
                <c:pt idx="30">
                  <c:v>121.00611739982777</c:v>
                </c:pt>
                <c:pt idx="31">
                  <c:v>122.35551400027916</c:v>
                </c:pt>
                <c:pt idx="32">
                  <c:v>123.67044761405012</c:v>
                </c:pt>
                <c:pt idx="33">
                  <c:v>124.95208884470244</c:v>
                </c:pt>
                <c:pt idx="34">
                  <c:v>126.20152669903544</c:v>
                </c:pt>
                <c:pt idx="35">
                  <c:v>127.41977614103838</c:v>
                </c:pt>
                <c:pt idx="36">
                  <c:v>128.60778475949263</c:v>
                </c:pt>
                <c:pt idx="37">
                  <c:v>129.76643867317023</c:v>
                </c:pt>
                <c:pt idx="38">
                  <c:v>130.89656777756613</c:v>
                </c:pt>
                <c:pt idx="39">
                  <c:v>131.99895042073339</c:v>
                </c:pt>
                <c:pt idx="40">
                  <c:v>133.07431758232687</c:v>
                </c:pt>
                <c:pt idx="41">
                  <c:v>134.12335661883307</c:v>
                </c:pt>
                <c:pt idx="42">
                  <c:v>135.1467146287213</c:v>
                </c:pt>
                <c:pt idx="43">
                  <c:v>136.14500148353966</c:v>
                </c:pt>
                <c:pt idx="44">
                  <c:v>137.11879256451957</c:v>
                </c:pt>
                <c:pt idx="45">
                  <c:v>138.06863123881593</c:v>
                </c:pt>
                <c:pt idx="46">
                  <c:v>138.99503110491693</c:v>
                </c:pt>
                <c:pt idx="47">
                  <c:v>139.89847803286744</c:v>
                </c:pt>
                <c:pt idx="48">
                  <c:v>140.77943202163516</c:v>
                </c:pt>
                <c:pt idx="49">
                  <c:v>141.63832889312036</c:v>
                </c:pt>
                <c:pt idx="50">
                  <c:v>142.47558183988914</c:v>
                </c:pt>
                <c:pt idx="51">
                  <c:v>143.29158284162625</c:v>
                </c:pt>
                <c:pt idx="52">
                  <c:v>144.08670396350917</c:v>
                </c:pt>
                <c:pt idx="53">
                  <c:v>144.86129854815454</c:v>
                </c:pt>
                <c:pt idx="54">
                  <c:v>145.61570231144194</c:v>
                </c:pt>
                <c:pt idx="55">
                  <c:v>146.35023435135153</c:v>
                </c:pt>
                <c:pt idx="56">
                  <c:v>147.0651980779331</c:v>
                </c:pt>
                <c:pt idx="57">
                  <c:v>147.76088207163224</c:v>
                </c:pt>
                <c:pt idx="58">
                  <c:v>148.43756087642234</c:v>
                </c:pt>
                <c:pt idx="59">
                  <c:v>149.09549573350324</c:v>
                </c:pt>
                <c:pt idx="60">
                  <c:v>149.73493526072735</c:v>
                </c:pt>
                <c:pt idx="61">
                  <c:v>150.35611608238094</c:v>
                </c:pt>
                <c:pt idx="62">
                  <c:v>150.95926341348024</c:v>
                </c:pt>
                <c:pt idx="63">
                  <c:v>151.54459160232483</c:v>
                </c:pt>
                <c:pt idx="64">
                  <c:v>152.11230463468183</c:v>
                </c:pt>
                <c:pt idx="65">
                  <c:v>152.66259660264794</c:v>
                </c:pt>
                <c:pt idx="66">
                  <c:v>153.19565214094038</c:v>
                </c:pt>
                <c:pt idx="67">
                  <c:v>153.71164683311122</c:v>
                </c:pt>
                <c:pt idx="68">
                  <c:v>154.21074758994214</c:v>
                </c:pt>
                <c:pt idx="69">
                  <c:v>154.69311300207036</c:v>
                </c:pt>
                <c:pt idx="70">
                  <c:v>155.15889366870698</c:v>
                </c:pt>
                <c:pt idx="71">
                  <c:v>155.60823250414114</c:v>
                </c:pt>
                <c:pt idx="72">
                  <c:v>156.04126502357195</c:v>
                </c:pt>
                <c:pt idx="73">
                  <c:v>156.45811960967026</c:v>
                </c:pt>
                <c:pt idx="74">
                  <c:v>156.85891776115238</c:v>
                </c:pt>
                <c:pt idx="75">
                  <c:v>157.24377432453224</c:v>
                </c:pt>
                <c:pt idx="76">
                  <c:v>157.61279771011777</c:v>
                </c:pt>
                <c:pt idx="77">
                  <c:v>157.96609009322592</c:v>
                </c:pt>
                <c:pt idx="78">
                  <c:v>158.30374760150335</c:v>
                </c:pt>
                <c:pt idx="79">
                  <c:v>158.62586048916765</c:v>
                </c:pt>
                <c:pt idx="80">
                  <c:v>158.93251329890811</c:v>
                </c:pt>
                <c:pt idx="81">
                  <c:v>159.2237850121256</c:v>
                </c:pt>
                <c:pt idx="82">
                  <c:v>159.49974918812902</c:v>
                </c:pt>
                <c:pt idx="83">
                  <c:v>159.76047409285283</c:v>
                </c:pt>
                <c:pt idx="84">
                  <c:v>160.00602281760933</c:v>
                </c:pt>
                <c:pt idx="85">
                  <c:v>160.23645338834385</c:v>
                </c:pt>
                <c:pt idx="86">
                  <c:v>160.45181886581656</c:v>
                </c:pt>
                <c:pt idx="87">
                  <c:v>160.65216743709786</c:v>
                </c:pt>
                <c:pt idx="88">
                  <c:v>160.83754249872192</c:v>
                </c:pt>
                <c:pt idx="89">
                  <c:v>161.00798273181462</c:v>
                </c:pt>
                <c:pt idx="90">
                  <c:v>161.16352216947342</c:v>
                </c:pt>
                <c:pt idx="91">
                  <c:v>161.3041902566498</c:v>
                </c:pt>
                <c:pt idx="92">
                  <c:v>161.43001190275487</c:v>
                </c:pt>
                <c:pt idx="93">
                  <c:v>161.5410075271798</c:v>
                </c:pt>
                <c:pt idx="94">
                  <c:v>161.63719309789849</c:v>
                </c:pt>
                <c:pt idx="95">
                  <c:v>161.71858016329242</c:v>
                </c:pt>
                <c:pt idx="96">
                  <c:v>161.785175877315</c:v>
                </c:pt>
                <c:pt idx="97">
                  <c:v>161.83698301808803</c:v>
                </c:pt>
                <c:pt idx="98">
                  <c:v>161.87400000000002</c:v>
                </c:pt>
                <c:pt idx="99">
                  <c:v>182.505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54-4BA8-9F45-1C1920CE9D4C}"/>
            </c:ext>
          </c:extLst>
        </c:ser>
        <c:ser>
          <c:idx val="2"/>
          <c:order val="2"/>
          <c:tx>
            <c:v>Logarithmic plastic-strain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Abaqus_input!$F$3:$F$500</c:f>
              <c:numCache>
                <c:formatCode>0.00000000</c:formatCode>
                <c:ptCount val="498"/>
                <c:pt idx="0" formatCode="General">
                  <c:v>0</c:v>
                </c:pt>
                <c:pt idx="1">
                  <c:v>0</c:v>
                </c:pt>
                <c:pt idx="2" formatCode="General">
                  <c:v>4.776404439365417E-6</c:v>
                </c:pt>
                <c:pt idx="3" formatCode="General">
                  <c:v>3.3201557784918578E-5</c:v>
                </c:pt>
                <c:pt idx="4" formatCode="General">
                  <c:v>7.5500674897330776E-5</c:v>
                </c:pt>
                <c:pt idx="5" formatCode="General">
                  <c:v>1.288259879362267E-4</c:v>
                </c:pt>
                <c:pt idx="6" formatCode="General">
                  <c:v>1.9120368452267078E-4</c:v>
                </c:pt>
                <c:pt idx="7" formatCode="General">
                  <c:v>2.6119835135741303E-4</c:v>
                </c:pt>
                <c:pt idx="8" formatCode="General">
                  <c:v>3.3772697968453011E-4</c:v>
                </c:pt>
                <c:pt idx="9" formatCode="General">
                  <c:v>4.1994830228321133E-4</c:v>
                </c:pt>
                <c:pt idx="10" formatCode="General">
                  <c:v>5.0719320826936656E-4</c:v>
                </c:pt>
                <c:pt idx="11" formatCode="General">
                  <c:v>5.9891899927762933E-4</c:v>
                </c:pt>
                <c:pt idx="12" formatCode="General">
                  <c:v>6.9467819901800542E-4</c:v>
                </c:pt>
                <c:pt idx="13" formatCode="General">
                  <c:v>7.9409662486647084E-4</c:v>
                </c:pt>
                <c:pt idx="14" formatCode="General">
                  <c:v>8.9685756446836315E-4</c:v>
                </c:pt>
                <c:pt idx="15" formatCode="General">
                  <c:v>1.0026900987936652E-3</c:v>
                </c:pt>
                <c:pt idx="16" formatCode="General">
                  <c:v>1.1113603152561142E-3</c:v>
                </c:pt>
                <c:pt idx="17" formatCode="General">
                  <c:v>1.2226645812514988E-3</c:v>
                </c:pt>
                <c:pt idx="18" formatCode="General">
                  <c:v>1.3364243161815173E-3</c:v>
                </c:pt>
                <c:pt idx="19" formatCode="General">
                  <c:v>1.4524818727195301E-3</c:v>
                </c:pt>
                <c:pt idx="20" formatCode="General">
                  <c:v>1.5706972522772345E-3</c:v>
                </c:pt>
                <c:pt idx="21" formatCode="General">
                  <c:v>1.6909454568048675E-3</c:v>
                </c:pt>
                <c:pt idx="22" formatCode="General">
                  <c:v>1.8131143322793709E-3</c:v>
                </c:pt>
                <c:pt idx="23" formatCode="General">
                  <c:v>1.9371027965828409E-3</c:v>
                </c:pt>
                <c:pt idx="24" formatCode="General">
                  <c:v>2.0628193711061272E-3</c:v>
                </c:pt>
                <c:pt idx="25" formatCode="General">
                  <c:v>2.1901809547095847E-3</c:v>
                </c:pt>
                <c:pt idx="26" formatCode="General">
                  <c:v>2.3191117928114888E-3</c:v>
                </c:pt>
                <c:pt idx="27" formatCode="General">
                  <c:v>2.4495426048951434E-3</c:v>
                </c:pt>
                <c:pt idx="28" formatCode="General">
                  <c:v>2.5814098416261123E-3</c:v>
                </c:pt>
                <c:pt idx="29" formatCode="General">
                  <c:v>2.7146550487635408E-3</c:v>
                </c:pt>
                <c:pt idx="30" formatCode="General">
                  <c:v>2.8492243196639828E-3</c:v>
                </c:pt>
                <c:pt idx="31" formatCode="General">
                  <c:v>2.9850678217264578E-3</c:v>
                </c:pt>
                <c:pt idx="32" formatCode="General">
                  <c:v>3.1221393849164359E-3</c:v>
                </c:pt>
                <c:pt idx="33" formatCode="General">
                  <c:v>3.2603961426951192E-3</c:v>
                </c:pt>
                <c:pt idx="34" formatCode="General">
                  <c:v>3.3997982174081695E-3</c:v>
                </c:pt>
                <c:pt idx="35" formatCode="General">
                  <c:v>3.5403084435859126E-3</c:v>
                </c:pt>
                <c:pt idx="36" formatCode="General">
                  <c:v>3.6818921237070784E-3</c:v>
                </c:pt>
                <c:pt idx="37" formatCode="General">
                  <c:v>3.824516811892705E-3</c:v>
                </c:pt>
                <c:pt idx="38" formatCode="General">
                  <c:v>3.9681521217174841E-3</c:v>
                </c:pt>
                <c:pt idx="39" formatCode="General">
                  <c:v>4.1127695549331043E-3</c:v>
                </c:pt>
                <c:pt idx="40" formatCode="General">
                  <c:v>4.2583423483912577E-3</c:v>
                </c:pt>
                <c:pt idx="41" formatCode="General">
                  <c:v>4.4048453368539901E-3</c:v>
                </c:pt>
                <c:pt idx="42" formatCode="General">
                  <c:v>4.5522548297296335E-3</c:v>
                </c:pt>
                <c:pt idx="43" formatCode="General">
                  <c:v>4.7005485000429842E-3</c:v>
                </c:pt>
                <c:pt idx="44" formatCode="General">
                  <c:v>4.8497052841927424E-3</c:v>
                </c:pt>
                <c:pt idx="45" formatCode="General">
                  <c:v>4.9997052912482748E-3</c:v>
                </c:pt>
                <c:pt idx="46" formatCode="General">
                  <c:v>5.1505297206984194E-3</c:v>
                </c:pt>
                <c:pt idx="47" formatCode="General">
                  <c:v>5.3021607877195781E-3</c:v>
                </c:pt>
                <c:pt idx="48" formatCode="General">
                  <c:v>5.4545816551396656E-3</c:v>
                </c:pt>
                <c:pt idx="49" formatCode="General">
                  <c:v>5.6077763713858189E-3</c:v>
                </c:pt>
                <c:pt idx="50" formatCode="General">
                  <c:v>5.761729813792419E-3</c:v>
                </c:pt>
                <c:pt idx="51" formatCode="General">
                  <c:v>5.9164276367146091E-3</c:v>
                </c:pt>
                <c:pt idx="52" formatCode="General">
                  <c:v>6.071856223970361E-3</c:v>
                </c:pt>
                <c:pt idx="53" formatCode="General">
                  <c:v>6.2280026451787653E-3</c:v>
                </c:pt>
                <c:pt idx="54" formatCode="General">
                  <c:v>6.3848546156193269E-3</c:v>
                </c:pt>
                <c:pt idx="55" formatCode="General">
                  <c:v>6.5424004592797343E-3</c:v>
                </c:pt>
                <c:pt idx="56" formatCode="General">
                  <c:v>6.7006290747893202E-3</c:v>
                </c:pt>
                <c:pt idx="57" formatCode="General">
                  <c:v>6.8595299039800762E-3</c:v>
                </c:pt>
                <c:pt idx="58" formatCode="General">
                  <c:v>7.0190929028335425E-3</c:v>
                </c:pt>
                <c:pt idx="59" formatCode="General">
                  <c:v>7.1793085146047595E-3</c:v>
                </c:pt>
                <c:pt idx="60" formatCode="General">
                  <c:v>7.3401676449363898E-3</c:v>
                </c:pt>
                <c:pt idx="61" formatCode="General">
                  <c:v>7.5016616387880656E-3</c:v>
                </c:pt>
                <c:pt idx="62" formatCode="General">
                  <c:v>7.6637822590351398E-3</c:v>
                </c:pt>
                <c:pt idx="63" formatCode="General">
                  <c:v>7.8265216665942827E-3</c:v>
                </c:pt>
                <c:pt idx="64" formatCode="General">
                  <c:v>7.9898724019545446E-3</c:v>
                </c:pt>
                <c:pt idx="65" formatCode="General">
                  <c:v>8.1538273680044591E-3</c:v>
                </c:pt>
                <c:pt idx="66" formatCode="General">
                  <c:v>8.3183798140489401E-3</c:v>
                </c:pt>
                <c:pt idx="67" formatCode="General">
                  <c:v>8.4835233209314027E-3</c:v>
                </c:pt>
                <c:pt idx="68" formatCode="General">
                  <c:v>8.6492517871713942E-3</c:v>
                </c:pt>
                <c:pt idx="69" formatCode="General">
                  <c:v>8.8155594160494368E-3</c:v>
                </c:pt>
                <c:pt idx="70" formatCode="General">
                  <c:v>8.9824407035653982E-3</c:v>
                </c:pt>
                <c:pt idx="71" formatCode="General">
                  <c:v>9.1498904272106045E-3</c:v>
                </c:pt>
                <c:pt idx="72" formatCode="General">
                  <c:v>9.3179036354993187E-3</c:v>
                </c:pt>
                <c:pt idx="73" formatCode="General">
                  <c:v>9.4864756382028407E-3</c:v>
                </c:pt>
                <c:pt idx="74" formatCode="General">
                  <c:v>9.655601997245784E-3</c:v>
                </c:pt>
                <c:pt idx="75" formatCode="General">
                  <c:v>9.8252785182163203E-3</c:v>
                </c:pt>
                <c:pt idx="76" formatCode="General">
                  <c:v>9.9955012424535854E-3</c:v>
                </c:pt>
                <c:pt idx="77" formatCode="General">
                  <c:v>1.0166266439678696E-2</c:v>
                </c:pt>
                <c:pt idx="78" formatCode="General">
                  <c:v>1.0337570601131441E-2</c:v>
                </c:pt>
                <c:pt idx="79" formatCode="General">
                  <c:v>1.0509410433189349E-2</c:v>
                </c:pt>
                <c:pt idx="80" formatCode="General">
                  <c:v>1.068178285143663E-2</c:v>
                </c:pt>
                <c:pt idx="81" formatCode="General">
                  <c:v>1.0854684975160199E-2</c:v>
                </c:pt>
                <c:pt idx="82" formatCode="General">
                  <c:v>1.1028114122252474E-2</c:v>
                </c:pt>
                <c:pt idx="83" formatCode="General">
                  <c:v>1.120206780449467E-2</c:v>
                </c:pt>
                <c:pt idx="84" formatCode="General">
                  <c:v>1.1376543723208458E-2</c:v>
                </c:pt>
                <c:pt idx="85" formatCode="General">
                  <c:v>1.1551539765253289E-2</c:v>
                </c:pt>
                <c:pt idx="86" formatCode="General">
                  <c:v>1.1727053999356075E-2</c:v>
                </c:pt>
                <c:pt idx="87" formatCode="General">
                  <c:v>1.190308467276124E-2</c:v>
                </c:pt>
                <c:pt idx="88" formatCode="General">
                  <c:v>1.2079630208183076E-2</c:v>
                </c:pt>
                <c:pt idx="89" formatCode="General">
                  <c:v>1.2256689201055318E-2</c:v>
                </c:pt>
                <c:pt idx="90" formatCode="General">
                  <c:v>1.2434260417062377E-2</c:v>
                </c:pt>
                <c:pt idx="91" formatCode="General">
                  <c:v>1.2612342789945202E-2</c:v>
                </c:pt>
                <c:pt idx="92" formatCode="General">
                  <c:v>1.2790935419575853E-2</c:v>
                </c:pt>
                <c:pt idx="93" formatCode="General">
                  <c:v>1.2970037570288345E-2</c:v>
                </c:pt>
                <c:pt idx="94" formatCode="General">
                  <c:v>1.3149648669466179E-2</c:v>
                </c:pt>
                <c:pt idx="95" formatCode="General">
                  <c:v>1.332976830637593E-2</c:v>
                </c:pt>
                <c:pt idx="96" formatCode="General">
                  <c:v>1.3510396231244833E-2</c:v>
                </c:pt>
                <c:pt idx="97" formatCode="General">
                  <c:v>1.3691532354581138E-2</c:v>
                </c:pt>
                <c:pt idx="98" formatCode="General">
                  <c:v>1.3873176746729179E-2</c:v>
                </c:pt>
                <c:pt idx="99" formatCode="General">
                  <c:v>0.13307677753999378</c:v>
                </c:pt>
              </c:numCache>
            </c:numRef>
          </c:xVal>
          <c:yVal>
            <c:numRef>
              <c:f>Abaqus_input!$D$3:$D$500</c:f>
              <c:numCache>
                <c:formatCode>General</c:formatCode>
                <c:ptCount val="498"/>
                <c:pt idx="0">
                  <c:v>0</c:v>
                </c:pt>
                <c:pt idx="1">
                  <c:v>51.848097527472532</c:v>
                </c:pt>
                <c:pt idx="2">
                  <c:v>56.655863951841269</c:v>
                </c:pt>
                <c:pt idx="3">
                  <c:v>60.964156858995125</c:v>
                </c:pt>
                <c:pt idx="4">
                  <c:v>64.892743841422899</c:v>
                </c:pt>
                <c:pt idx="5">
                  <c:v>68.519369313669969</c:v>
                </c:pt>
                <c:pt idx="6">
                  <c:v>71.89791870598755</c:v>
                </c:pt>
                <c:pt idx="7">
                  <c:v>75.067579153536585</c:v>
                </c:pt>
                <c:pt idx="8">
                  <c:v>78.057917147272889</c:v>
                </c:pt>
                <c:pt idx="9">
                  <c:v>80.89189963402309</c:v>
                </c:pt>
                <c:pt idx="10">
                  <c:v>83.587793692443242</c:v>
                </c:pt>
                <c:pt idx="11">
                  <c:v>86.160415339232131</c:v>
                </c:pt>
                <c:pt idx="12">
                  <c:v>88.621981028216823</c:v>
                </c:pt>
                <c:pt idx="13">
                  <c:v>90.982706295971667</c:v>
                </c:pt>
                <c:pt idx="14">
                  <c:v>93.251237740497757</c:v>
                </c:pt>
                <c:pt idx="15">
                  <c:v>95.434971801855795</c:v>
                </c:pt>
                <c:pt idx="16">
                  <c:v>97.540294643996774</c:v>
                </c:pt>
                <c:pt idx="17">
                  <c:v>99.572765787148228</c:v>
                </c:pt>
                <c:pt idx="18">
                  <c:v>101.53726083160547</c:v>
                </c:pt>
                <c:pt idx="19">
                  <c:v>103.43808389912834</c:v>
                </c:pt>
                <c:pt idx="20">
                  <c:v>105.27905730074342</c:v>
                </c:pt>
                <c:pt idx="21">
                  <c:v>107.06359383258041</c:v>
                </c:pt>
                <c:pt idx="22">
                  <c:v>108.79475564862746</c:v>
                </c:pt>
                <c:pt idx="23">
                  <c:v>110.47530263969175</c:v>
                </c:pt>
                <c:pt idx="24">
                  <c:v>112.10773252057314</c:v>
                </c:pt>
                <c:pt idx="25">
                  <c:v>113.69431430097801</c:v>
                </c:pt>
                <c:pt idx="26">
                  <c:v>115.23711642938757</c:v>
                </c:pt>
                <c:pt idx="27">
                  <c:v>116.73803061209588</c:v>
                </c:pt>
                <c:pt idx="28">
                  <c:v>118.19879209395178</c:v>
                </c:pt>
                <c:pt idx="29">
                  <c:v>119.62099702353177</c:v>
                </c:pt>
                <c:pt idx="30">
                  <c:v>121.00611739982777</c:v>
                </c:pt>
                <c:pt idx="31">
                  <c:v>122.35551400027916</c:v>
                </c:pt>
                <c:pt idx="32">
                  <c:v>123.67044761405012</c:v>
                </c:pt>
                <c:pt idx="33">
                  <c:v>124.95208884470244</c:v>
                </c:pt>
                <c:pt idx="34">
                  <c:v>126.20152669903544</c:v>
                </c:pt>
                <c:pt idx="35">
                  <c:v>127.41977614103838</c:v>
                </c:pt>
                <c:pt idx="36">
                  <c:v>128.60778475949263</c:v>
                </c:pt>
                <c:pt idx="37">
                  <c:v>129.76643867317023</c:v>
                </c:pt>
                <c:pt idx="38">
                  <c:v>130.89656777756613</c:v>
                </c:pt>
                <c:pt idx="39">
                  <c:v>131.99895042073339</c:v>
                </c:pt>
                <c:pt idx="40">
                  <c:v>133.07431758232687</c:v>
                </c:pt>
                <c:pt idx="41">
                  <c:v>134.12335661883307</c:v>
                </c:pt>
                <c:pt idx="42">
                  <c:v>135.1467146287213</c:v>
                </c:pt>
                <c:pt idx="43">
                  <c:v>136.14500148353966</c:v>
                </c:pt>
                <c:pt idx="44">
                  <c:v>137.11879256451957</c:v>
                </c:pt>
                <c:pt idx="45">
                  <c:v>138.06863123881593</c:v>
                </c:pt>
                <c:pt idx="46">
                  <c:v>138.99503110491693</c:v>
                </c:pt>
                <c:pt idx="47">
                  <c:v>139.89847803286744</c:v>
                </c:pt>
                <c:pt idx="48">
                  <c:v>140.77943202163516</c:v>
                </c:pt>
                <c:pt idx="49">
                  <c:v>141.63832889312036</c:v>
                </c:pt>
                <c:pt idx="50">
                  <c:v>142.47558183988914</c:v>
                </c:pt>
                <c:pt idx="51">
                  <c:v>143.29158284162625</c:v>
                </c:pt>
                <c:pt idx="52">
                  <c:v>144.08670396350917</c:v>
                </c:pt>
                <c:pt idx="53">
                  <c:v>144.86129854815454</c:v>
                </c:pt>
                <c:pt idx="54">
                  <c:v>145.61570231144194</c:v>
                </c:pt>
                <c:pt idx="55">
                  <c:v>146.35023435135153</c:v>
                </c:pt>
                <c:pt idx="56">
                  <c:v>147.0651980779331</c:v>
                </c:pt>
                <c:pt idx="57">
                  <c:v>147.76088207163224</c:v>
                </c:pt>
                <c:pt idx="58">
                  <c:v>148.43756087642234</c:v>
                </c:pt>
                <c:pt idx="59">
                  <c:v>149.09549573350324</c:v>
                </c:pt>
                <c:pt idx="60">
                  <c:v>149.73493526072735</c:v>
                </c:pt>
                <c:pt idx="61">
                  <c:v>150.35611608238094</c:v>
                </c:pt>
                <c:pt idx="62">
                  <c:v>150.95926341348024</c:v>
                </c:pt>
                <c:pt idx="63">
                  <c:v>151.54459160232483</c:v>
                </c:pt>
                <c:pt idx="64">
                  <c:v>152.11230463468183</c:v>
                </c:pt>
                <c:pt idx="65">
                  <c:v>152.66259660264794</c:v>
                </c:pt>
                <c:pt idx="66">
                  <c:v>153.19565214094038</c:v>
                </c:pt>
                <c:pt idx="67">
                  <c:v>153.71164683311122</c:v>
                </c:pt>
                <c:pt idx="68">
                  <c:v>154.21074758994214</c:v>
                </c:pt>
                <c:pt idx="69">
                  <c:v>154.69311300207036</c:v>
                </c:pt>
                <c:pt idx="70">
                  <c:v>155.15889366870698</c:v>
                </c:pt>
                <c:pt idx="71">
                  <c:v>155.60823250414114</c:v>
                </c:pt>
                <c:pt idx="72">
                  <c:v>156.04126502357195</c:v>
                </c:pt>
                <c:pt idx="73">
                  <c:v>156.45811960967026</c:v>
                </c:pt>
                <c:pt idx="74">
                  <c:v>156.85891776115238</c:v>
                </c:pt>
                <c:pt idx="75">
                  <c:v>157.24377432453224</c:v>
                </c:pt>
                <c:pt idx="76">
                  <c:v>157.61279771011777</c:v>
                </c:pt>
                <c:pt idx="77">
                  <c:v>157.96609009322592</c:v>
                </c:pt>
                <c:pt idx="78">
                  <c:v>158.30374760150335</c:v>
                </c:pt>
                <c:pt idx="79">
                  <c:v>158.62586048916765</c:v>
                </c:pt>
                <c:pt idx="80">
                  <c:v>158.93251329890811</c:v>
                </c:pt>
                <c:pt idx="81">
                  <c:v>159.2237850121256</c:v>
                </c:pt>
                <c:pt idx="82">
                  <c:v>159.49974918812902</c:v>
                </c:pt>
                <c:pt idx="83">
                  <c:v>159.76047409285283</c:v>
                </c:pt>
                <c:pt idx="84">
                  <c:v>160.00602281760933</c:v>
                </c:pt>
                <c:pt idx="85">
                  <c:v>160.23645338834385</c:v>
                </c:pt>
                <c:pt idx="86">
                  <c:v>160.45181886581656</c:v>
                </c:pt>
                <c:pt idx="87">
                  <c:v>160.65216743709786</c:v>
                </c:pt>
                <c:pt idx="88">
                  <c:v>160.83754249872192</c:v>
                </c:pt>
                <c:pt idx="89">
                  <c:v>161.00798273181462</c:v>
                </c:pt>
                <c:pt idx="90">
                  <c:v>161.16352216947342</c:v>
                </c:pt>
                <c:pt idx="91">
                  <c:v>161.3041902566498</c:v>
                </c:pt>
                <c:pt idx="92">
                  <c:v>161.43001190275487</c:v>
                </c:pt>
                <c:pt idx="93">
                  <c:v>161.5410075271798</c:v>
                </c:pt>
                <c:pt idx="94">
                  <c:v>161.63719309789849</c:v>
                </c:pt>
                <c:pt idx="95">
                  <c:v>161.71858016329242</c:v>
                </c:pt>
                <c:pt idx="96">
                  <c:v>161.785175877315</c:v>
                </c:pt>
                <c:pt idx="97">
                  <c:v>161.83698301808803</c:v>
                </c:pt>
                <c:pt idx="98">
                  <c:v>161.87400000000002</c:v>
                </c:pt>
                <c:pt idx="99">
                  <c:v>182.505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54-4BA8-9F45-1C1920CE9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091816"/>
        <c:axId val="592093128"/>
      </c:scatterChart>
      <c:valAx>
        <c:axId val="592091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Strain (-)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93128"/>
        <c:crosses val="autoZero"/>
        <c:crossBetween val="midCat"/>
      </c:valAx>
      <c:valAx>
        <c:axId val="59209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Sress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91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7921767178603968E-2"/>
          <c:y val="0.88618145704759876"/>
          <c:w val="0.85696193785312524"/>
          <c:h val="9.74115059941831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Abaqus_input!$Y$8</c:f>
              <c:strCache>
                <c:ptCount val="1"/>
                <c:pt idx="0">
                  <c:v>σ (Mpa)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Abaqus_input!$X$9:$X$41</c:f>
              <c:numCache>
                <c:formatCode>0.0000</c:formatCode>
                <c:ptCount val="33"/>
                <c:pt idx="0">
                  <c:v>0</c:v>
                </c:pt>
                <c:pt idx="1">
                  <c:v>4.776404439365417E-6</c:v>
                </c:pt>
                <c:pt idx="2">
                  <c:v>3.3201557784918578E-5</c:v>
                </c:pt>
                <c:pt idx="3">
                  <c:v>7.5500674897330776E-5</c:v>
                </c:pt>
                <c:pt idx="4">
                  <c:v>1.288259879362267E-4</c:v>
                </c:pt>
                <c:pt idx="5">
                  <c:v>1.9120368452267078E-4</c:v>
                </c:pt>
                <c:pt idx="6">
                  <c:v>2.6119835135741303E-4</c:v>
                </c:pt>
                <c:pt idx="7">
                  <c:v>3.3772697968453011E-4</c:v>
                </c:pt>
                <c:pt idx="8">
                  <c:v>4.1994830228321133E-4</c:v>
                </c:pt>
                <c:pt idx="9">
                  <c:v>5.0719320826936656E-4</c:v>
                </c:pt>
                <c:pt idx="10">
                  <c:v>5.9891899927762933E-4</c:v>
                </c:pt>
                <c:pt idx="11">
                  <c:v>6.9467819901800542E-4</c:v>
                </c:pt>
                <c:pt idx="12">
                  <c:v>7.9409662486647084E-4</c:v>
                </c:pt>
                <c:pt idx="13">
                  <c:v>8.9685756446836315E-4</c:v>
                </c:pt>
                <c:pt idx="14">
                  <c:v>1.0026900987936652E-3</c:v>
                </c:pt>
                <c:pt idx="15">
                  <c:v>1.1113603152561142E-3</c:v>
                </c:pt>
                <c:pt idx="16">
                  <c:v>1.2226645812514988E-3</c:v>
                </c:pt>
                <c:pt idx="17">
                  <c:v>1.3364243161815173E-3</c:v>
                </c:pt>
                <c:pt idx="18">
                  <c:v>1.4524818727195301E-3</c:v>
                </c:pt>
                <c:pt idx="19">
                  <c:v>1.5706972522772345E-3</c:v>
                </c:pt>
                <c:pt idx="20">
                  <c:v>1.6909454568048675E-3</c:v>
                </c:pt>
                <c:pt idx="21">
                  <c:v>1.8131143322793709E-3</c:v>
                </c:pt>
                <c:pt idx="22">
                  <c:v>1.9371027965828409E-3</c:v>
                </c:pt>
                <c:pt idx="23">
                  <c:v>2.0628193711061272E-3</c:v>
                </c:pt>
                <c:pt idx="24">
                  <c:v>2.1901809547095847E-3</c:v>
                </c:pt>
                <c:pt idx="25">
                  <c:v>2.3191117928114888E-3</c:v>
                </c:pt>
                <c:pt idx="26">
                  <c:v>2.4495426048951434E-3</c:v>
                </c:pt>
                <c:pt idx="27">
                  <c:v>2.5814098416261123E-3</c:v>
                </c:pt>
                <c:pt idx="28">
                  <c:v>2.7146550487635408E-3</c:v>
                </c:pt>
                <c:pt idx="29">
                  <c:v>2.8492243196639828E-3</c:v>
                </c:pt>
                <c:pt idx="30">
                  <c:v>2.9850678217264578E-3</c:v>
                </c:pt>
                <c:pt idx="31">
                  <c:v>3.1221393849164359E-3</c:v>
                </c:pt>
                <c:pt idx="32">
                  <c:v>3.2603961426951192E-3</c:v>
                </c:pt>
              </c:numCache>
            </c:numRef>
          </c:xVal>
          <c:yVal>
            <c:numRef>
              <c:f>Abaqus_input!$Y$9:$Y$41</c:f>
              <c:numCache>
                <c:formatCode>0.0000</c:formatCode>
                <c:ptCount val="33"/>
                <c:pt idx="0">
                  <c:v>51.848097527472532</c:v>
                </c:pt>
                <c:pt idx="1">
                  <c:v>56.655863951841269</c:v>
                </c:pt>
                <c:pt idx="2">
                  <c:v>60.964156858995125</c:v>
                </c:pt>
                <c:pt idx="3">
                  <c:v>64.892743841422899</c:v>
                </c:pt>
                <c:pt idx="4">
                  <c:v>68.519369313669969</c:v>
                </c:pt>
                <c:pt idx="5">
                  <c:v>71.89791870598755</c:v>
                </c:pt>
                <c:pt idx="6">
                  <c:v>75.067579153536585</c:v>
                </c:pt>
                <c:pt idx="7">
                  <c:v>78.057917147272889</c:v>
                </c:pt>
                <c:pt idx="8">
                  <c:v>80.89189963402309</c:v>
                </c:pt>
                <c:pt idx="9">
                  <c:v>83.587793692443242</c:v>
                </c:pt>
                <c:pt idx="10">
                  <c:v>86.160415339232131</c:v>
                </c:pt>
                <c:pt idx="11">
                  <c:v>88.621981028216823</c:v>
                </c:pt>
                <c:pt idx="12">
                  <c:v>90.982706295971667</c:v>
                </c:pt>
                <c:pt idx="13">
                  <c:v>93.251237740497757</c:v>
                </c:pt>
                <c:pt idx="14">
                  <c:v>95.434971801855795</c:v>
                </c:pt>
                <c:pt idx="15">
                  <c:v>97.540294643996774</c:v>
                </c:pt>
                <c:pt idx="16">
                  <c:v>99.572765787148228</c:v>
                </c:pt>
                <c:pt idx="17">
                  <c:v>101.53726083160547</c:v>
                </c:pt>
                <c:pt idx="18">
                  <c:v>103.43808389912834</c:v>
                </c:pt>
                <c:pt idx="19">
                  <c:v>105.27905730074342</c:v>
                </c:pt>
                <c:pt idx="20">
                  <c:v>107.06359383258041</c:v>
                </c:pt>
                <c:pt idx="21">
                  <c:v>108.79475564862746</c:v>
                </c:pt>
                <c:pt idx="22">
                  <c:v>110.47530263969175</c:v>
                </c:pt>
                <c:pt idx="23">
                  <c:v>112.10773252057314</c:v>
                </c:pt>
                <c:pt idx="24">
                  <c:v>113.69431430097801</c:v>
                </c:pt>
                <c:pt idx="25">
                  <c:v>115.23711642938757</c:v>
                </c:pt>
                <c:pt idx="26">
                  <c:v>116.73803061209588</c:v>
                </c:pt>
                <c:pt idx="27">
                  <c:v>118.19879209395178</c:v>
                </c:pt>
                <c:pt idx="28">
                  <c:v>119.62099702353177</c:v>
                </c:pt>
                <c:pt idx="29">
                  <c:v>121.00611739982777</c:v>
                </c:pt>
                <c:pt idx="30">
                  <c:v>122.35551400027916</c:v>
                </c:pt>
                <c:pt idx="31">
                  <c:v>123.67044761405012</c:v>
                </c:pt>
                <c:pt idx="32">
                  <c:v>124.95208884470244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6B-499E-971B-16B8D63F5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122879"/>
        <c:axId val="1170124799"/>
      </c:scatterChart>
      <c:valAx>
        <c:axId val="1170122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124799"/>
        <c:crosses val="autoZero"/>
        <c:crossBetween val="midCat"/>
      </c:valAx>
      <c:valAx>
        <c:axId val="117012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122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5</xdr:row>
          <xdr:rowOff>9525</xdr:rowOff>
        </xdr:from>
        <xdr:to>
          <xdr:col>11</xdr:col>
          <xdr:colOff>95250</xdr:colOff>
          <xdr:row>9</xdr:row>
          <xdr:rowOff>19050</xdr:rowOff>
        </xdr:to>
        <xdr:sp macro="" textlink="">
          <xdr:nvSpPr>
            <xdr:cNvPr id="7169" name="compute_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190501</xdr:colOff>
      <xdr:row>13</xdr:row>
      <xdr:rowOff>86410</xdr:rowOff>
    </xdr:from>
    <xdr:to>
      <xdr:col>9</xdr:col>
      <xdr:colOff>222251</xdr:colOff>
      <xdr:row>25</xdr:row>
      <xdr:rowOff>50800</xdr:rowOff>
    </xdr:to>
    <xdr:pic>
      <xdr:nvPicPr>
        <xdr:cNvPr id="3" name="Picture 2" descr="A diagram of a model with a yield stage&#10;&#10;AI-generated content may be incorrect.">
          <a:extLst>
            <a:ext uri="{FF2B5EF4-FFF2-40B4-BE49-F238E27FC236}">
              <a16:creationId xmlns:a16="http://schemas.microsoft.com/office/drawing/2014/main" id="{AB54B342-09BB-4E41-930A-F10C72461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1" y="2562910"/>
          <a:ext cx="5765800" cy="2174190"/>
        </a:xfrm>
        <a:prstGeom prst="rect">
          <a:avLst/>
        </a:prstGeom>
      </xdr:spPr>
    </xdr:pic>
    <xdr:clientData/>
  </xdr:twoCellAnchor>
  <xdr:twoCellAnchor>
    <xdr:from>
      <xdr:col>15</xdr:col>
      <xdr:colOff>558801</xdr:colOff>
      <xdr:row>5</xdr:row>
      <xdr:rowOff>174625</xdr:rowOff>
    </xdr:from>
    <xdr:to>
      <xdr:col>24</xdr:col>
      <xdr:colOff>342901</xdr:colOff>
      <xdr:row>21</xdr:row>
      <xdr:rowOff>31750</xdr:rowOff>
    </xdr:to>
    <xdr:graphicFrame macro="">
      <xdr:nvGraphicFramePr>
        <xdr:cNvPr id="9" name="Plot_1">
          <a:extLst>
            <a:ext uri="{FF2B5EF4-FFF2-40B4-BE49-F238E27FC236}">
              <a16:creationId xmlns:a16="http://schemas.microsoft.com/office/drawing/2014/main" id="{DF2F9557-B842-EC60-653D-ABB989B060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22</xdr:row>
      <xdr:rowOff>114300</xdr:rowOff>
    </xdr:from>
    <xdr:to>
      <xdr:col>7</xdr:col>
      <xdr:colOff>609600</xdr:colOff>
      <xdr:row>24</xdr:row>
      <xdr:rowOff>171450</xdr:rowOff>
    </xdr:to>
    <xdr:sp macro="[0]!get_relationship" textlink="">
      <xdr:nvSpPr>
        <xdr:cNvPr id="4" name="Rectangle 3">
          <a:extLst>
            <a:ext uri="{FF2B5EF4-FFF2-40B4-BE49-F238E27FC236}">
              <a16:creationId xmlns:a16="http://schemas.microsoft.com/office/drawing/2014/main" id="{CA5225D7-033D-4EBA-8F7F-C0D21E9E84AC}"/>
            </a:ext>
          </a:extLst>
        </xdr:cNvPr>
        <xdr:cNvSpPr/>
      </xdr:nvSpPr>
      <xdr:spPr>
        <a:xfrm>
          <a:off x="4038600" y="5314950"/>
          <a:ext cx="1905000" cy="4476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ysClr val="windowText" lastClr="000000"/>
              </a:solidFill>
            </a:rPr>
            <a:t>1.</a:t>
          </a:r>
          <a:r>
            <a:rPr lang="fr-CA" sz="1400" baseline="0">
              <a:solidFill>
                <a:sysClr val="windowText" lastClr="000000"/>
              </a:solidFill>
            </a:rPr>
            <a:t> </a:t>
          </a:r>
          <a:r>
            <a:rPr lang="fr-CA" sz="1400">
              <a:solidFill>
                <a:sysClr val="windowText" lastClr="000000"/>
              </a:solidFill>
            </a:rPr>
            <a:t>Get stress-strain relationship</a:t>
          </a:r>
        </a:p>
      </xdr:txBody>
    </xdr:sp>
    <xdr:clientData/>
  </xdr:twoCellAnchor>
  <xdr:twoCellAnchor>
    <xdr:from>
      <xdr:col>5</xdr:col>
      <xdr:colOff>228600</xdr:colOff>
      <xdr:row>25</xdr:row>
      <xdr:rowOff>142875</xdr:rowOff>
    </xdr:from>
    <xdr:to>
      <xdr:col>7</xdr:col>
      <xdr:colOff>600075</xdr:colOff>
      <xdr:row>28</xdr:row>
      <xdr:rowOff>0</xdr:rowOff>
    </xdr:to>
    <xdr:sp macro="[0]!get_abaqus_data" textlink="">
      <xdr:nvSpPr>
        <xdr:cNvPr id="5" name="Rectangle 4">
          <a:extLst>
            <a:ext uri="{FF2B5EF4-FFF2-40B4-BE49-F238E27FC236}">
              <a16:creationId xmlns:a16="http://schemas.microsoft.com/office/drawing/2014/main" id="{5E610880-E7D2-4FCE-87CD-AEF435875690}"/>
            </a:ext>
          </a:extLst>
        </xdr:cNvPr>
        <xdr:cNvSpPr/>
      </xdr:nvSpPr>
      <xdr:spPr>
        <a:xfrm>
          <a:off x="4038600" y="5934075"/>
          <a:ext cx="1895475" cy="457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ysClr val="windowText" lastClr="000000"/>
              </a:solidFill>
            </a:rPr>
            <a:t>2.</a:t>
          </a:r>
          <a:r>
            <a:rPr lang="fr-CA" sz="1400" baseline="0">
              <a:solidFill>
                <a:sysClr val="windowText" lastClr="000000"/>
              </a:solidFill>
            </a:rPr>
            <a:t> </a:t>
          </a:r>
          <a:r>
            <a:rPr lang="fr-CA" sz="1400">
              <a:solidFill>
                <a:sysClr val="windowText" lastClr="000000"/>
              </a:solidFill>
            </a:rPr>
            <a:t>Get</a:t>
          </a:r>
          <a:r>
            <a:rPr lang="fr-CA" sz="1400" baseline="0">
              <a:solidFill>
                <a:sysClr val="windowText" lastClr="000000"/>
              </a:solidFill>
            </a:rPr>
            <a:t> Abaqus input data</a:t>
          </a:r>
          <a:endParaRPr lang="fr-CA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638175</xdr:colOff>
      <xdr:row>30</xdr:row>
      <xdr:rowOff>95249</xdr:rowOff>
    </xdr:from>
    <xdr:to>
      <xdr:col>10</xdr:col>
      <xdr:colOff>104775</xdr:colOff>
      <xdr:row>48</xdr:row>
      <xdr:rowOff>180974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613FC935-6EC3-4BAD-86CA-34CBB1AD6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4</xdr:row>
          <xdr:rowOff>66675</xdr:rowOff>
        </xdr:from>
        <xdr:to>
          <xdr:col>13</xdr:col>
          <xdr:colOff>447675</xdr:colOff>
          <xdr:row>4</xdr:row>
          <xdr:rowOff>142875</xdr:rowOff>
        </xdr:to>
        <xdr:sp macro="" textlink="">
          <xdr:nvSpPr>
            <xdr:cNvPr id="1027" name="Stress_Strai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293214</xdr:colOff>
      <xdr:row>19</xdr:row>
      <xdr:rowOff>95250</xdr:rowOff>
    </xdr:from>
    <xdr:to>
      <xdr:col>25</xdr:col>
      <xdr:colOff>720725</xdr:colOff>
      <xdr:row>34</xdr:row>
      <xdr:rowOff>19050</xdr:rowOff>
    </xdr:to>
    <xdr:pic>
      <xdr:nvPicPr>
        <xdr:cNvPr id="3" name="Picture 2" descr="A diagram of a model with a yield stage&#10;&#10;AI-generated content may be incorrect.">
          <a:extLst>
            <a:ext uri="{FF2B5EF4-FFF2-40B4-BE49-F238E27FC236}">
              <a16:creationId xmlns:a16="http://schemas.microsoft.com/office/drawing/2014/main" id="{648CBB2F-6AB8-F5DC-FA9A-2825961AE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5214" y="4572000"/>
          <a:ext cx="7275986" cy="2990850"/>
        </a:xfrm>
        <a:prstGeom prst="rect">
          <a:avLst/>
        </a:prstGeom>
      </xdr:spPr>
    </xdr:pic>
    <xdr:clientData/>
  </xdr:twoCellAnchor>
  <xdr:oneCellAnchor>
    <xdr:from>
      <xdr:col>18</xdr:col>
      <xdr:colOff>587375</xdr:colOff>
      <xdr:row>12</xdr:row>
      <xdr:rowOff>69850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0680558-1677-66E9-BEDC-0E72D7737366}"/>
            </a:ext>
          </a:extLst>
        </xdr:cNvPr>
        <xdr:cNvSpPr txBox="1"/>
      </xdr:nvSpPr>
      <xdr:spPr>
        <a:xfrm>
          <a:off x="14303375" y="31686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16</xdr:col>
      <xdr:colOff>619125</xdr:colOff>
      <xdr:row>6</xdr:row>
      <xdr:rowOff>142875</xdr:rowOff>
    </xdr:from>
    <xdr:to>
      <xdr:col>23</xdr:col>
      <xdr:colOff>701953</xdr:colOff>
      <xdr:row>19</xdr:row>
      <xdr:rowOff>139848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0976DC7-1D57-EA6B-CCAA-79ED1F784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11125" y="1733550"/>
          <a:ext cx="5416828" cy="2883048"/>
        </a:xfrm>
        <a:prstGeom prst="rect">
          <a:avLst/>
        </a:prstGeom>
      </xdr:spPr>
    </xdr:pic>
    <xdr:clientData/>
  </xdr:twoCellAnchor>
  <xdr:twoCellAnchor>
    <xdr:from>
      <xdr:col>12</xdr:col>
      <xdr:colOff>533400</xdr:colOff>
      <xdr:row>29</xdr:row>
      <xdr:rowOff>166687</xdr:rowOff>
    </xdr:from>
    <xdr:to>
      <xdr:col>18</xdr:col>
      <xdr:colOff>533400</xdr:colOff>
      <xdr:row>44</xdr:row>
      <xdr:rowOff>52387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78850A5-C69D-3C6F-F433-C0613F5CE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371475</xdr:colOff>
      <xdr:row>3</xdr:row>
      <xdr:rowOff>114300</xdr:rowOff>
    </xdr:from>
    <xdr:to>
      <xdr:col>24</xdr:col>
      <xdr:colOff>301903</xdr:colOff>
      <xdr:row>18</xdr:row>
      <xdr:rowOff>149373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74AD04-9678-7B88-7E5F-8E47E92CC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685800"/>
          <a:ext cx="5416828" cy="2883048"/>
        </a:xfrm>
        <a:prstGeom prst="rect">
          <a:avLst/>
        </a:prstGeom>
      </xdr:spPr>
    </xdr:pic>
    <xdr:clientData/>
  </xdr:twoCellAnchor>
  <xdr:twoCellAnchor>
    <xdr:from>
      <xdr:col>0</xdr:col>
      <xdr:colOff>352425</xdr:colOff>
      <xdr:row>15</xdr:row>
      <xdr:rowOff>117475</xdr:rowOff>
    </xdr:from>
    <xdr:to>
      <xdr:col>8</xdr:col>
      <xdr:colOff>47625</xdr:colOff>
      <xdr:row>30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FFFEAD-59C2-38CB-9CB9-98BD9B8CD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393700</xdr:colOff>
      <xdr:row>1</xdr:row>
      <xdr:rowOff>136149</xdr:rowOff>
    </xdr:from>
    <xdr:to>
      <xdr:col>23</xdr:col>
      <xdr:colOff>325129</xdr:colOff>
      <xdr:row>12</xdr:row>
      <xdr:rowOff>15876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06755E-24CF-7DE7-414C-9F9EE7E7D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4000" y="320299"/>
          <a:ext cx="4198629" cy="2530852"/>
        </a:xfrm>
        <a:prstGeom prst="rect">
          <a:avLst/>
        </a:prstGeom>
      </xdr:spPr>
    </xdr:pic>
    <xdr:clientData/>
  </xdr:twoCellAnchor>
  <xdr:twoCellAnchor editAs="oneCell">
    <xdr:from>
      <xdr:col>11</xdr:col>
      <xdr:colOff>590550</xdr:colOff>
      <xdr:row>12</xdr:row>
      <xdr:rowOff>76200</xdr:rowOff>
    </xdr:from>
    <xdr:to>
      <xdr:col>23</xdr:col>
      <xdr:colOff>149225</xdr:colOff>
      <xdr:row>22</xdr:row>
      <xdr:rowOff>53974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BFEF827-4010-35FE-647A-9A6575A9D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6550" y="2921000"/>
          <a:ext cx="6864350" cy="1847849"/>
        </a:xfrm>
        <a:prstGeom prst="rect">
          <a:avLst/>
        </a:prstGeom>
      </xdr:spPr>
    </xdr:pic>
    <xdr:clientData/>
  </xdr:twoCellAnchor>
  <xdr:twoCellAnchor editAs="oneCell">
    <xdr:from>
      <xdr:col>11</xdr:col>
      <xdr:colOff>133350</xdr:colOff>
      <xdr:row>2</xdr:row>
      <xdr:rowOff>29778</xdr:rowOff>
    </xdr:from>
    <xdr:to>
      <xdr:col>16</xdr:col>
      <xdr:colOff>510308</xdr:colOff>
      <xdr:row>11</xdr:row>
      <xdr:rowOff>116885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EFE38E8-ED82-0E96-68C8-278BCD905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05650" y="398078"/>
          <a:ext cx="3415433" cy="2322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127000</xdr:rowOff>
    </xdr:from>
    <xdr:to>
      <xdr:col>8</xdr:col>
      <xdr:colOff>333653</xdr:colOff>
      <xdr:row>27</xdr:row>
      <xdr:rowOff>162073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4CC358-556F-459B-B9D4-532BEF88A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13000"/>
          <a:ext cx="5413653" cy="2892573"/>
        </a:xfrm>
        <a:prstGeom prst="rect">
          <a:avLst/>
        </a:prstGeom>
      </xdr:spPr>
    </xdr:pic>
    <xdr:clientData/>
  </xdr:twoCellAnchor>
  <xdr:twoCellAnchor>
    <xdr:from>
      <xdr:col>14</xdr:col>
      <xdr:colOff>520700</xdr:colOff>
      <xdr:row>12</xdr:row>
      <xdr:rowOff>79375</xdr:rowOff>
    </xdr:from>
    <xdr:to>
      <xdr:col>22</xdr:col>
      <xdr:colOff>215900</xdr:colOff>
      <xdr:row>26</xdr:row>
      <xdr:rowOff>155575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E0FE65-3817-4156-9143-C310230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127000</xdr:rowOff>
    </xdr:from>
    <xdr:to>
      <xdr:col>8</xdr:col>
      <xdr:colOff>340003</xdr:colOff>
      <xdr:row>28</xdr:row>
      <xdr:rowOff>168423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50D7D8-86CC-45F8-B5C8-3542B271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20950"/>
          <a:ext cx="5483503" cy="2803673"/>
        </a:xfrm>
        <a:prstGeom prst="rect">
          <a:avLst/>
        </a:prstGeom>
      </xdr:spPr>
    </xdr:pic>
    <xdr:clientData/>
  </xdr:twoCellAnchor>
  <xdr:twoCellAnchor>
    <xdr:from>
      <xdr:col>12</xdr:col>
      <xdr:colOff>752475</xdr:colOff>
      <xdr:row>10</xdr:row>
      <xdr:rowOff>88900</xdr:rowOff>
    </xdr:from>
    <xdr:to>
      <xdr:col>20</xdr:col>
      <xdr:colOff>257175</xdr:colOff>
      <xdr:row>24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AADCDA-C3FA-45B0-ABE7-5F6179A8E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127000</xdr:rowOff>
    </xdr:from>
    <xdr:to>
      <xdr:col>8</xdr:col>
      <xdr:colOff>340003</xdr:colOff>
      <xdr:row>28</xdr:row>
      <xdr:rowOff>168423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30B69B-2D2D-4A36-AC00-29474E493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03500"/>
          <a:ext cx="5416828" cy="2898923"/>
        </a:xfrm>
        <a:prstGeom prst="rect">
          <a:avLst/>
        </a:prstGeom>
      </xdr:spPr>
    </xdr:pic>
    <xdr:clientData/>
  </xdr:twoCellAnchor>
  <xdr:twoCellAnchor>
    <xdr:from>
      <xdr:col>12</xdr:col>
      <xdr:colOff>752475</xdr:colOff>
      <xdr:row>10</xdr:row>
      <xdr:rowOff>88900</xdr:rowOff>
    </xdr:from>
    <xdr:to>
      <xdr:col>20</xdr:col>
      <xdr:colOff>257175</xdr:colOff>
      <xdr:row>24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AEF33C-2726-4A4B-BC83-37AA72850B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127000</xdr:rowOff>
    </xdr:from>
    <xdr:to>
      <xdr:col>8</xdr:col>
      <xdr:colOff>340003</xdr:colOff>
      <xdr:row>28</xdr:row>
      <xdr:rowOff>168423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932719-BB68-4B3D-B24D-86AC9093B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16175"/>
          <a:ext cx="5416828" cy="2892573"/>
        </a:xfrm>
        <a:prstGeom prst="rect">
          <a:avLst/>
        </a:prstGeom>
      </xdr:spPr>
    </xdr:pic>
    <xdr:clientData/>
  </xdr:twoCellAnchor>
  <xdr:twoCellAnchor>
    <xdr:from>
      <xdr:col>12</xdr:col>
      <xdr:colOff>752475</xdr:colOff>
      <xdr:row>10</xdr:row>
      <xdr:rowOff>88900</xdr:rowOff>
    </xdr:from>
    <xdr:to>
      <xdr:col>20</xdr:col>
      <xdr:colOff>257175</xdr:colOff>
      <xdr:row>24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BC155B-2E3D-3CA8-84B9-DB8FE3E6A4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127000</xdr:rowOff>
    </xdr:from>
    <xdr:to>
      <xdr:col>8</xdr:col>
      <xdr:colOff>340003</xdr:colOff>
      <xdr:row>28</xdr:row>
      <xdr:rowOff>168423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C4E97A-1977-4E49-B3B2-86F329FCF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03500"/>
          <a:ext cx="5416828" cy="2898923"/>
        </a:xfrm>
        <a:prstGeom prst="rect">
          <a:avLst/>
        </a:prstGeom>
      </xdr:spPr>
    </xdr:pic>
    <xdr:clientData/>
  </xdr:twoCellAnchor>
  <xdr:twoCellAnchor>
    <xdr:from>
      <xdr:col>12</xdr:col>
      <xdr:colOff>752475</xdr:colOff>
      <xdr:row>10</xdr:row>
      <xdr:rowOff>88900</xdr:rowOff>
    </xdr:from>
    <xdr:to>
      <xdr:col>20</xdr:col>
      <xdr:colOff>257175</xdr:colOff>
      <xdr:row>24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62F09E-A0A4-49F2-8CE3-9E3405D9F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485775</xdr:colOff>
      <xdr:row>4</xdr:row>
      <xdr:rowOff>180975</xdr:rowOff>
    </xdr:from>
    <xdr:ext cx="5458587" cy="7421011"/>
    <xdr:pic>
      <xdr:nvPicPr>
        <xdr:cNvPr id="2" name="Picture 1">
          <a:extLst>
            <a:ext uri="{FF2B5EF4-FFF2-40B4-BE49-F238E27FC236}">
              <a16:creationId xmlns:a16="http://schemas.microsoft.com/office/drawing/2014/main" id="{54C30DDD-0044-4DA6-8E66-EDA07B68B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9775" y="1095375"/>
          <a:ext cx="5458587" cy="7421011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728662</xdr:colOff>
      <xdr:row>1</xdr:row>
      <xdr:rowOff>141286</xdr:rowOff>
    </xdr:from>
    <xdr:to>
      <xdr:col>9</xdr:col>
      <xdr:colOff>728662</xdr:colOff>
      <xdr:row>16</xdr:row>
      <xdr:rowOff>34924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B4FCEC7-567D-4769-9B5B-C06E6ECAD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47624</xdr:colOff>
      <xdr:row>1</xdr:row>
      <xdr:rowOff>114300</xdr:rowOff>
    </xdr:from>
    <xdr:to>
      <xdr:col>18</xdr:col>
      <xdr:colOff>266699</xdr:colOff>
      <xdr:row>16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1365EE0-738D-40FF-8690-DD590ECE9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533400</xdr:colOff>
      <xdr:row>20</xdr:row>
      <xdr:rowOff>109537</xdr:rowOff>
    </xdr:from>
    <xdr:to>
      <xdr:col>18</xdr:col>
      <xdr:colOff>533400</xdr:colOff>
      <xdr:row>34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DBFEEB-1F75-E3F9-0A3C-38BB45505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0B02B-17EF-4D3A-93B7-03EF04DA402B}">
  <sheetPr codeName="Sheet2"/>
  <dimension ref="C2:O7"/>
  <sheetViews>
    <sheetView workbookViewId="0">
      <selection activeCell="C4" sqref="C4"/>
    </sheetView>
  </sheetViews>
  <sheetFormatPr defaultRowHeight="15" x14ac:dyDescent="0.25"/>
  <cols>
    <col min="3" max="3" width="11.5703125" bestFit="1" customWidth="1"/>
    <col min="4" max="4" width="13.42578125" bestFit="1" customWidth="1"/>
    <col min="7" max="7" width="13.42578125" bestFit="1" customWidth="1"/>
  </cols>
  <sheetData>
    <row r="2" spans="3:15" ht="20.25" x14ac:dyDescent="0.35">
      <c r="C2" s="21" t="s">
        <v>28</v>
      </c>
      <c r="D2" s="21" t="s">
        <v>29</v>
      </c>
      <c r="E2" s="21" t="s">
        <v>30</v>
      </c>
      <c r="F2" s="21" t="s">
        <v>31</v>
      </c>
      <c r="G2" s="21" t="s">
        <v>32</v>
      </c>
      <c r="H2" s="21" t="s">
        <v>33</v>
      </c>
      <c r="J2" s="21" t="s">
        <v>34</v>
      </c>
      <c r="K2">
        <v>3</v>
      </c>
      <c r="M2" t="s">
        <v>21</v>
      </c>
      <c r="N2" s="18" t="s">
        <v>22</v>
      </c>
      <c r="O2" s="18" t="s">
        <v>23</v>
      </c>
    </row>
    <row r="3" spans="3:15" x14ac:dyDescent="0.25">
      <c r="C3">
        <v>233500</v>
      </c>
      <c r="D3">
        <v>772</v>
      </c>
      <c r="E3">
        <v>5.0000000000000001E-3</v>
      </c>
      <c r="F3">
        <v>1.4999999999999999E-2</v>
      </c>
      <c r="G3">
        <v>826.2</v>
      </c>
      <c r="H3">
        <v>6.1199999999999997E-2</v>
      </c>
      <c r="M3">
        <v>1</v>
      </c>
      <c r="N3">
        <v>0</v>
      </c>
      <c r="O3">
        <v>0</v>
      </c>
    </row>
    <row r="4" spans="3:15" x14ac:dyDescent="0.25">
      <c r="M4">
        <v>2</v>
      </c>
      <c r="N4">
        <v>772</v>
      </c>
      <c r="O4">
        <v>5.0000000000000001E-3</v>
      </c>
    </row>
    <row r="5" spans="3:15" x14ac:dyDescent="0.25">
      <c r="M5">
        <v>3</v>
      </c>
      <c r="N5">
        <v>772</v>
      </c>
      <c r="O5">
        <v>1.4999999999999999E-2</v>
      </c>
    </row>
    <row r="6" spans="3:15" x14ac:dyDescent="0.25">
      <c r="M6">
        <v>4</v>
      </c>
      <c r="N6">
        <v>826.2</v>
      </c>
      <c r="O6">
        <v>6.1199999999999997E-2</v>
      </c>
    </row>
    <row r="7" spans="3:15" x14ac:dyDescent="0.25">
      <c r="M7">
        <v>5</v>
      </c>
      <c r="N7">
        <v>826.2</v>
      </c>
      <c r="O7">
        <v>0.23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pute_1">
          <controlPr defaultSize="0" autoLine="0" autoPict="0" r:id="rId4">
            <anchor moveWithCells="1">
              <from>
                <xdr:col>9</xdr:col>
                <xdr:colOff>209550</xdr:colOff>
                <xdr:row>5</xdr:row>
                <xdr:rowOff>9525</xdr:rowOff>
              </from>
              <to>
                <xdr:col>11</xdr:col>
                <xdr:colOff>95250</xdr:colOff>
                <xdr:row>9</xdr:row>
                <xdr:rowOff>19050</xdr:rowOff>
              </to>
            </anchor>
          </controlPr>
        </control>
      </mc:Choice>
      <mc:Fallback>
        <control shapeId="7169" r:id="rId3" name="compute_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O51"/>
  <sheetViews>
    <sheetView workbookViewId="0">
      <selection activeCell="AB64" sqref="AB64:AC69"/>
    </sheetView>
  </sheetViews>
  <sheetFormatPr defaultColWidth="11.42578125" defaultRowHeight="15" x14ac:dyDescent="0.25"/>
  <sheetData>
    <row r="1" spans="2:11" ht="15.75" thickBot="1" x14ac:dyDescent="0.3"/>
    <row r="2" spans="2:11" ht="26.25" x14ac:dyDescent="0.25">
      <c r="B2" s="37" t="s">
        <v>4</v>
      </c>
      <c r="C2" s="38"/>
      <c r="D2" s="38"/>
      <c r="E2" s="38"/>
      <c r="F2" s="38"/>
      <c r="G2" s="38"/>
      <c r="H2" s="38"/>
      <c r="I2" s="38"/>
      <c r="J2" s="38"/>
      <c r="K2" s="39"/>
    </row>
    <row r="3" spans="2:11" x14ac:dyDescent="0.25">
      <c r="B3" s="4"/>
      <c r="C3" s="5"/>
      <c r="D3" s="5"/>
      <c r="E3" s="5"/>
      <c r="F3" s="5"/>
      <c r="G3" s="5"/>
      <c r="H3" s="5"/>
      <c r="I3" s="5"/>
      <c r="J3" s="5"/>
      <c r="K3" s="6"/>
    </row>
    <row r="4" spans="2:11" ht="31.5" customHeight="1" x14ac:dyDescent="0.25">
      <c r="B4" s="4"/>
      <c r="C4" s="40" t="s">
        <v>13</v>
      </c>
      <c r="D4" s="40"/>
      <c r="E4" s="40"/>
      <c r="F4" s="40"/>
      <c r="G4" s="40"/>
      <c r="H4" s="40"/>
      <c r="I4" s="40"/>
      <c r="J4" s="40"/>
      <c r="K4" s="6"/>
    </row>
    <row r="5" spans="2:11" ht="21.75" customHeight="1" x14ac:dyDescent="0.25">
      <c r="B5" s="4"/>
      <c r="C5" s="5" t="s">
        <v>20</v>
      </c>
      <c r="D5" s="5"/>
      <c r="E5" s="5"/>
      <c r="F5" s="5"/>
      <c r="G5" s="5"/>
      <c r="H5" s="5"/>
      <c r="I5" s="5"/>
      <c r="J5" s="5"/>
      <c r="K5" s="6"/>
    </row>
    <row r="6" spans="2:11" x14ac:dyDescent="0.25">
      <c r="B6" s="4"/>
      <c r="C6" s="5"/>
      <c r="D6" s="5"/>
      <c r="E6" s="5"/>
      <c r="F6" s="5"/>
      <c r="G6" s="5"/>
      <c r="H6" s="5"/>
      <c r="I6" s="5"/>
      <c r="J6" s="5"/>
      <c r="K6" s="6"/>
    </row>
    <row r="7" spans="2:11" x14ac:dyDescent="0.25">
      <c r="B7" s="4"/>
      <c r="C7" s="10" t="s">
        <v>5</v>
      </c>
      <c r="D7" s="5"/>
      <c r="E7" s="5"/>
      <c r="F7" s="5"/>
      <c r="G7" s="5"/>
      <c r="H7" s="5"/>
      <c r="I7" s="5"/>
      <c r="J7" s="5"/>
      <c r="K7" s="6"/>
    </row>
    <row r="8" spans="2:11" x14ac:dyDescent="0.25">
      <c r="B8" s="4"/>
      <c r="C8" s="10"/>
      <c r="D8" s="5"/>
      <c r="E8" s="5"/>
      <c r="F8" s="5"/>
      <c r="G8" s="5"/>
      <c r="H8" s="5"/>
      <c r="I8" s="5"/>
      <c r="J8" s="5"/>
      <c r="K8" s="6"/>
    </row>
    <row r="9" spans="2:11" ht="29.25" customHeight="1" x14ac:dyDescent="0.25">
      <c r="B9" s="4"/>
      <c r="C9" s="40" t="s">
        <v>16</v>
      </c>
      <c r="D9" s="40"/>
      <c r="E9" s="40"/>
      <c r="F9" s="40"/>
      <c r="G9" s="40"/>
      <c r="H9" s="40"/>
      <c r="I9" s="40"/>
      <c r="J9" s="40"/>
      <c r="K9" s="6"/>
    </row>
    <row r="10" spans="2:11" ht="15.75" thickBot="1" x14ac:dyDescent="0.3">
      <c r="B10" s="7"/>
      <c r="C10" s="8"/>
      <c r="D10" s="8"/>
      <c r="E10" s="8"/>
      <c r="F10" s="8"/>
      <c r="G10" s="8"/>
      <c r="H10" s="8"/>
      <c r="I10" s="8"/>
      <c r="J10" s="8"/>
      <c r="K10" s="9"/>
    </row>
    <row r="11" spans="2:11" ht="15.75" thickBot="1" x14ac:dyDescent="0.3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2:11" ht="26.25" x14ac:dyDescent="0.25">
      <c r="B12" s="37" t="s">
        <v>6</v>
      </c>
      <c r="C12" s="38"/>
      <c r="D12" s="38"/>
      <c r="E12" s="38"/>
      <c r="F12" s="38"/>
      <c r="G12" s="38"/>
      <c r="H12" s="38"/>
      <c r="I12" s="38"/>
      <c r="J12" s="38"/>
      <c r="K12" s="39"/>
    </row>
    <row r="13" spans="2:11" ht="15.75" thickBot="1" x14ac:dyDescent="0.3">
      <c r="B13" s="4"/>
      <c r="C13" s="5"/>
      <c r="D13" s="5"/>
      <c r="E13" s="5"/>
      <c r="F13" s="5"/>
      <c r="G13" s="5"/>
      <c r="H13" s="5"/>
      <c r="I13" s="5"/>
      <c r="J13" s="5"/>
      <c r="K13" s="6"/>
    </row>
    <row r="14" spans="2:11" ht="15.75" thickBot="1" x14ac:dyDescent="0.3">
      <c r="B14" s="4"/>
      <c r="C14" s="5" t="s">
        <v>7</v>
      </c>
      <c r="D14" s="5"/>
      <c r="E14" s="16">
        <v>690</v>
      </c>
      <c r="F14" s="5"/>
      <c r="G14" s="5" t="s">
        <v>18</v>
      </c>
      <c r="H14" s="5"/>
      <c r="I14" s="16">
        <v>210000</v>
      </c>
      <c r="J14" s="5"/>
      <c r="K14" s="6"/>
    </row>
    <row r="15" spans="2:11" ht="15.75" thickBot="1" x14ac:dyDescent="0.3">
      <c r="B15" s="4"/>
      <c r="C15" s="5"/>
      <c r="D15" s="5"/>
      <c r="E15" s="5"/>
      <c r="F15" s="5"/>
      <c r="G15" s="5"/>
      <c r="H15" s="5"/>
      <c r="I15" s="5"/>
      <c r="J15" s="5"/>
      <c r="K15" s="6"/>
    </row>
    <row r="16" spans="2:11" ht="15.75" thickBot="1" x14ac:dyDescent="0.3">
      <c r="B16" s="4"/>
      <c r="C16" s="5" t="s">
        <v>8</v>
      </c>
      <c r="D16" s="5"/>
      <c r="E16" s="16">
        <v>700</v>
      </c>
      <c r="F16" s="14"/>
      <c r="G16" s="5"/>
      <c r="H16" s="5"/>
      <c r="I16" s="5"/>
      <c r="J16" s="5"/>
      <c r="K16" s="6"/>
    </row>
    <row r="17" spans="2:15" ht="15.75" thickBot="1" x14ac:dyDescent="0.3">
      <c r="B17" s="4"/>
      <c r="C17" s="5"/>
      <c r="D17" s="5"/>
      <c r="E17" s="15"/>
      <c r="F17" s="14"/>
      <c r="G17" s="5"/>
      <c r="H17" s="5"/>
      <c r="I17" s="5"/>
      <c r="J17" s="5"/>
      <c r="K17" s="6"/>
    </row>
    <row r="18" spans="2:15" ht="15.75" thickBot="1" x14ac:dyDescent="0.3">
      <c r="B18" s="4"/>
      <c r="C18" s="5" t="s">
        <v>17</v>
      </c>
      <c r="D18" s="5"/>
      <c r="E18" s="16">
        <v>100</v>
      </c>
      <c r="F18" s="14"/>
      <c r="G18" s="5"/>
      <c r="H18" s="5"/>
      <c r="I18" s="5"/>
      <c r="J18" s="5"/>
      <c r="K18" s="6"/>
    </row>
    <row r="19" spans="2:15" ht="15.75" thickBot="1" x14ac:dyDescent="0.3">
      <c r="B19" s="7"/>
      <c r="C19" s="8"/>
      <c r="D19" s="8"/>
      <c r="E19" s="8"/>
      <c r="F19" s="8"/>
      <c r="G19" s="8"/>
      <c r="H19" s="8"/>
      <c r="I19" s="8"/>
      <c r="J19" s="8"/>
      <c r="K19" s="9"/>
    </row>
    <row r="20" spans="2:15" ht="15.75" thickBot="1" x14ac:dyDescent="0.3"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2:15" ht="26.25" x14ac:dyDescent="0.25">
      <c r="B21" s="37" t="s">
        <v>9</v>
      </c>
      <c r="C21" s="38"/>
      <c r="D21" s="38"/>
      <c r="E21" s="38"/>
      <c r="F21" s="38"/>
      <c r="G21" s="38"/>
      <c r="H21" s="38"/>
      <c r="I21" s="38"/>
      <c r="J21" s="38"/>
      <c r="K21" s="39"/>
    </row>
    <row r="22" spans="2:15" x14ac:dyDescent="0.25">
      <c r="B22" s="4"/>
      <c r="C22" s="5"/>
      <c r="D22" s="5"/>
      <c r="E22" s="5"/>
      <c r="F22" s="5"/>
      <c r="G22" s="5"/>
      <c r="H22" s="5"/>
      <c r="I22" s="5"/>
      <c r="J22" s="5"/>
      <c r="K22" s="6"/>
    </row>
    <row r="23" spans="2:15" x14ac:dyDescent="0.25">
      <c r="B23" s="4"/>
      <c r="C23" s="10" t="str">
        <f>"Reduction factors at "&amp;E16&amp;"°C"</f>
        <v>Reduction factors at 700°C</v>
      </c>
      <c r="D23" s="5"/>
      <c r="E23" s="5"/>
      <c r="F23" s="5"/>
      <c r="G23" s="5"/>
      <c r="H23" s="5"/>
      <c r="I23" s="5"/>
      <c r="J23" s="5"/>
      <c r="K23" s="6"/>
    </row>
    <row r="24" spans="2:15" ht="15.75" thickBot="1" x14ac:dyDescent="0.3">
      <c r="B24" s="4"/>
      <c r="C24" s="5"/>
      <c r="D24" s="5"/>
      <c r="E24" s="5"/>
      <c r="F24" s="5"/>
      <c r="G24" s="5"/>
      <c r="H24" s="5"/>
      <c r="I24" s="5"/>
      <c r="J24" s="5"/>
      <c r="K24" s="6"/>
    </row>
    <row r="25" spans="2:15" ht="15.75" thickBot="1" x14ac:dyDescent="0.3">
      <c r="B25" s="4"/>
      <c r="C25" s="5" t="s">
        <v>10</v>
      </c>
      <c r="D25" s="17">
        <f>VLOOKUP(E16,Data!B3:E26,2,FALSE)</f>
        <v>0.23</v>
      </c>
      <c r="E25" s="5"/>
      <c r="F25" s="5"/>
      <c r="G25" s="5"/>
      <c r="H25" s="5"/>
      <c r="I25" s="5"/>
      <c r="J25" s="5"/>
      <c r="K25" s="6"/>
    </row>
    <row r="26" spans="2:15" ht="15.75" thickBot="1" x14ac:dyDescent="0.3">
      <c r="B26" s="4"/>
      <c r="C26" s="5" t="s">
        <v>11</v>
      </c>
      <c r="D26" s="17">
        <f>VLOOKUP(E16,Data!B3:E26,3,FALSE)</f>
        <v>7.4999999999999997E-2</v>
      </c>
      <c r="E26" s="5"/>
      <c r="F26" s="5"/>
      <c r="G26" s="5"/>
      <c r="H26" s="5"/>
      <c r="I26" s="5"/>
      <c r="J26" s="5"/>
      <c r="K26" s="6"/>
    </row>
    <row r="27" spans="2:15" ht="15.75" thickBot="1" x14ac:dyDescent="0.3">
      <c r="B27" s="4"/>
      <c r="C27" s="5" t="s">
        <v>12</v>
      </c>
      <c r="D27" s="17">
        <f>VLOOKUP(E16,Data!B3:E26,4,FALSE)</f>
        <v>0.13</v>
      </c>
      <c r="E27" s="5"/>
      <c r="F27" s="5"/>
      <c r="G27" s="5"/>
      <c r="H27" s="5"/>
      <c r="I27" s="5"/>
      <c r="J27" s="5"/>
      <c r="K27" s="6"/>
    </row>
    <row r="28" spans="2:15" ht="15.75" thickBot="1" x14ac:dyDescent="0.3">
      <c r="B28" s="4"/>
      <c r="C28" s="5"/>
      <c r="D28" s="5"/>
      <c r="E28" s="5"/>
      <c r="F28" s="5"/>
      <c r="G28" s="5"/>
      <c r="H28" s="5"/>
      <c r="I28" s="5"/>
      <c r="J28" s="5"/>
      <c r="K28" s="6"/>
    </row>
    <row r="29" spans="2:15" ht="15.75" thickBot="1" x14ac:dyDescent="0.3">
      <c r="B29" s="4"/>
      <c r="C29" s="5" t="s">
        <v>19</v>
      </c>
      <c r="D29" s="17">
        <f>I14*D27</f>
        <v>27300</v>
      </c>
      <c r="E29" s="5"/>
      <c r="F29" s="5"/>
      <c r="G29" s="5"/>
      <c r="H29" s="5"/>
      <c r="I29" s="5"/>
      <c r="J29" s="5"/>
      <c r="K29" s="6"/>
      <c r="O29" s="5"/>
    </row>
    <row r="30" spans="2:15" x14ac:dyDescent="0.25">
      <c r="B30" s="4"/>
      <c r="C30" s="5"/>
      <c r="D30" s="5"/>
      <c r="E30" s="5"/>
      <c r="F30" s="5"/>
      <c r="G30" s="5"/>
      <c r="H30" s="5"/>
      <c r="I30" s="5"/>
      <c r="J30" s="5"/>
      <c r="K30" s="6"/>
    </row>
    <row r="31" spans="2:15" x14ac:dyDescent="0.25">
      <c r="B31" s="4"/>
      <c r="C31" s="5"/>
      <c r="D31" s="11"/>
      <c r="E31" s="11"/>
      <c r="F31" s="5"/>
      <c r="G31" s="5"/>
      <c r="H31" s="5"/>
      <c r="I31" s="5"/>
      <c r="J31" s="5"/>
      <c r="K31" s="6"/>
    </row>
    <row r="32" spans="2:15" x14ac:dyDescent="0.25">
      <c r="B32" s="4"/>
      <c r="C32" s="5"/>
      <c r="D32" s="12"/>
      <c r="E32" s="13"/>
      <c r="F32" s="5"/>
      <c r="G32" s="5"/>
      <c r="H32" s="5"/>
      <c r="I32" s="5"/>
      <c r="J32" s="5"/>
      <c r="K32" s="6"/>
    </row>
    <row r="33" spans="2:11" x14ac:dyDescent="0.25">
      <c r="B33" s="4"/>
      <c r="C33" s="5"/>
      <c r="D33" s="12"/>
      <c r="E33" s="13"/>
      <c r="F33" s="5"/>
      <c r="G33" s="5"/>
      <c r="H33" s="5"/>
      <c r="I33" s="5"/>
      <c r="J33" s="5"/>
      <c r="K33" s="6"/>
    </row>
    <row r="34" spans="2:11" x14ac:dyDescent="0.25">
      <c r="B34" s="4"/>
      <c r="C34" s="5"/>
      <c r="D34" s="12"/>
      <c r="E34" s="13"/>
      <c r="F34" s="5"/>
      <c r="G34" s="5"/>
      <c r="H34" s="5"/>
      <c r="I34" s="5"/>
      <c r="J34" s="5"/>
      <c r="K34" s="6"/>
    </row>
    <row r="35" spans="2:11" x14ac:dyDescent="0.25">
      <c r="B35" s="4"/>
      <c r="C35" s="5"/>
      <c r="D35" s="12"/>
      <c r="E35" s="13"/>
      <c r="F35" s="5"/>
      <c r="G35" s="5"/>
      <c r="H35" s="5"/>
      <c r="I35" s="5"/>
      <c r="J35" s="5"/>
      <c r="K35" s="6"/>
    </row>
    <row r="36" spans="2:11" x14ac:dyDescent="0.25">
      <c r="B36" s="4"/>
      <c r="C36" s="5"/>
      <c r="D36" s="12"/>
      <c r="E36" s="13"/>
      <c r="F36" s="5"/>
      <c r="G36" s="5"/>
      <c r="H36" s="5"/>
      <c r="I36" s="5"/>
      <c r="J36" s="5"/>
      <c r="K36" s="6"/>
    </row>
    <row r="37" spans="2:11" x14ac:dyDescent="0.25">
      <c r="B37" s="4"/>
      <c r="C37" s="5"/>
      <c r="D37" s="12"/>
      <c r="E37" s="13"/>
      <c r="F37" s="5"/>
      <c r="G37" s="5"/>
      <c r="H37" s="5"/>
      <c r="I37" s="5"/>
      <c r="J37" s="5"/>
      <c r="K37" s="6"/>
    </row>
    <row r="38" spans="2:11" x14ac:dyDescent="0.25">
      <c r="B38" s="4"/>
      <c r="C38" s="5"/>
      <c r="D38" s="12"/>
      <c r="E38" s="13"/>
      <c r="F38" s="5"/>
      <c r="G38" s="5"/>
      <c r="H38" s="5"/>
      <c r="I38" s="5"/>
      <c r="J38" s="5"/>
      <c r="K38" s="6"/>
    </row>
    <row r="39" spans="2:11" x14ac:dyDescent="0.25">
      <c r="B39" s="4"/>
      <c r="C39" s="5"/>
      <c r="D39" s="12"/>
      <c r="E39" s="13"/>
      <c r="F39" s="5"/>
      <c r="G39" s="5"/>
      <c r="H39" s="5"/>
      <c r="I39" s="5"/>
      <c r="J39" s="5"/>
      <c r="K39" s="6"/>
    </row>
    <row r="40" spans="2:11" x14ac:dyDescent="0.25">
      <c r="B40" s="4"/>
      <c r="C40" s="5"/>
      <c r="D40" s="12"/>
      <c r="E40" s="13"/>
      <c r="F40" s="5"/>
      <c r="G40" s="5"/>
      <c r="H40" s="5"/>
      <c r="I40" s="5"/>
      <c r="J40" s="5"/>
      <c r="K40" s="6"/>
    </row>
    <row r="41" spans="2:11" x14ac:dyDescent="0.25">
      <c r="B41" s="4"/>
      <c r="C41" s="5"/>
      <c r="D41" s="5"/>
      <c r="E41" s="5"/>
      <c r="F41" s="5"/>
      <c r="G41" s="5"/>
      <c r="H41" s="5"/>
      <c r="I41" s="5"/>
      <c r="J41" s="5"/>
      <c r="K41" s="6"/>
    </row>
    <row r="42" spans="2:11" x14ac:dyDescent="0.25">
      <c r="B42" s="4"/>
      <c r="C42" s="5"/>
      <c r="D42" s="5"/>
      <c r="E42" s="5"/>
      <c r="F42" s="5"/>
      <c r="G42" s="5"/>
      <c r="H42" s="5"/>
      <c r="I42" s="5"/>
      <c r="J42" s="5"/>
      <c r="K42" s="6"/>
    </row>
    <row r="43" spans="2:11" x14ac:dyDescent="0.25">
      <c r="B43" s="4"/>
      <c r="C43" s="5"/>
      <c r="D43" s="5"/>
      <c r="E43" s="5"/>
      <c r="F43" s="5"/>
      <c r="G43" s="5"/>
      <c r="H43" s="5"/>
      <c r="I43" s="5"/>
      <c r="J43" s="5"/>
      <c r="K43" s="6"/>
    </row>
    <row r="44" spans="2:11" x14ac:dyDescent="0.25">
      <c r="B44" s="4"/>
      <c r="C44" s="5"/>
      <c r="D44" s="5"/>
      <c r="E44" s="5"/>
      <c r="F44" s="5"/>
      <c r="G44" s="5"/>
      <c r="H44" s="5"/>
      <c r="I44" s="5"/>
      <c r="J44" s="5"/>
      <c r="K44" s="6"/>
    </row>
    <row r="45" spans="2:11" x14ac:dyDescent="0.25">
      <c r="B45" s="4"/>
      <c r="C45" s="5"/>
      <c r="D45" s="5"/>
      <c r="E45" s="5"/>
      <c r="F45" s="5"/>
      <c r="G45" s="5"/>
      <c r="H45" s="5"/>
      <c r="I45" s="5"/>
      <c r="J45" s="5"/>
      <c r="K45" s="6"/>
    </row>
    <row r="46" spans="2:11" x14ac:dyDescent="0.25">
      <c r="B46" s="4"/>
      <c r="C46" s="5"/>
      <c r="D46" s="5"/>
      <c r="E46" s="5"/>
      <c r="F46" s="5"/>
      <c r="G46" s="5"/>
      <c r="H46" s="5"/>
      <c r="I46" s="5"/>
      <c r="J46" s="5"/>
      <c r="K46" s="6"/>
    </row>
    <row r="47" spans="2:11" x14ac:dyDescent="0.25">
      <c r="B47" s="4"/>
      <c r="C47" s="5"/>
      <c r="D47" s="5"/>
      <c r="E47" s="5"/>
      <c r="F47" s="5"/>
      <c r="G47" s="5"/>
      <c r="H47" s="5"/>
      <c r="I47" s="5"/>
      <c r="J47" s="5"/>
      <c r="K47" s="6"/>
    </row>
    <row r="48" spans="2:11" x14ac:dyDescent="0.25">
      <c r="B48" s="4"/>
      <c r="C48" s="5"/>
      <c r="D48" s="5"/>
      <c r="E48" s="5"/>
      <c r="F48" s="5"/>
      <c r="G48" s="5"/>
      <c r="H48" s="5"/>
      <c r="I48" s="5"/>
      <c r="J48" s="5"/>
      <c r="K48" s="6"/>
    </row>
    <row r="49" spans="2:11" x14ac:dyDescent="0.25">
      <c r="B49" s="4"/>
      <c r="C49" s="5"/>
      <c r="D49" s="5"/>
      <c r="E49" s="5"/>
      <c r="F49" s="5"/>
      <c r="G49" s="5"/>
      <c r="H49" s="5"/>
      <c r="I49" s="5"/>
      <c r="J49" s="5"/>
      <c r="K49" s="6"/>
    </row>
    <row r="50" spans="2:11" x14ac:dyDescent="0.25">
      <c r="B50" s="4"/>
      <c r="C50" s="5"/>
      <c r="D50" s="5"/>
      <c r="E50" s="5"/>
      <c r="F50" s="5"/>
      <c r="G50" s="5"/>
      <c r="H50" s="5"/>
      <c r="I50" s="5"/>
      <c r="J50" s="5"/>
      <c r="K50" s="6"/>
    </row>
    <row r="51" spans="2:11" ht="15.75" thickBot="1" x14ac:dyDescent="0.3">
      <c r="B51" s="7"/>
      <c r="C51" s="8"/>
      <c r="D51" s="8"/>
      <c r="E51" s="8"/>
      <c r="F51" s="8"/>
      <c r="G51" s="8"/>
      <c r="H51" s="8"/>
      <c r="I51" s="8"/>
      <c r="J51" s="8"/>
      <c r="K51" s="9"/>
    </row>
  </sheetData>
  <mergeCells count="5">
    <mergeCell ref="B2:K2"/>
    <mergeCell ref="B12:K12"/>
    <mergeCell ref="B21:K21"/>
    <mergeCell ref="C4:J4"/>
    <mergeCell ref="C9:J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Stress_Strain">
          <controlPr defaultSize="0" autoLine="0" r:id="rId4">
            <anchor moveWithCells="1">
              <from>
                <xdr:col>13</xdr:col>
                <xdr:colOff>257175</xdr:colOff>
                <xdr:row>4</xdr:row>
                <xdr:rowOff>66675</xdr:rowOff>
              </from>
              <to>
                <xdr:col>13</xdr:col>
                <xdr:colOff>447675</xdr:colOff>
                <xdr:row>4</xdr:row>
                <xdr:rowOff>142875</xdr:rowOff>
              </to>
            </anchor>
          </controlPr>
        </control>
      </mc:Choice>
      <mc:Fallback>
        <control shapeId="1027" r:id="rId3" name="Stress_Strai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Data!$B$3:$B$26</xm:f>
          </x14:formula1>
          <xm:sqref>E16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9DEF-9478-45C0-AA13-2C179D1555D7}">
  <sheetPr codeName="Sheet1"/>
  <dimension ref="C2:P14"/>
  <sheetViews>
    <sheetView workbookViewId="0">
      <selection activeCell="K20" sqref="K20"/>
    </sheetView>
  </sheetViews>
  <sheetFormatPr defaultRowHeight="15" x14ac:dyDescent="0.25"/>
  <cols>
    <col min="7" max="7" width="9.42578125" bestFit="1" customWidth="1"/>
  </cols>
  <sheetData>
    <row r="2" spans="3:16" x14ac:dyDescent="0.25">
      <c r="G2" t="s">
        <v>44</v>
      </c>
      <c r="H2">
        <v>3.3062098501070664E-3</v>
      </c>
      <c r="L2" t="s">
        <v>42</v>
      </c>
      <c r="M2" t="s">
        <v>43</v>
      </c>
      <c r="O2" t="s">
        <v>47</v>
      </c>
      <c r="P2">
        <v>3.3062098501070664E-3</v>
      </c>
    </row>
    <row r="3" spans="3:16" x14ac:dyDescent="0.25">
      <c r="C3" t="s">
        <v>35</v>
      </c>
      <c r="D3">
        <v>233500</v>
      </c>
      <c r="G3" t="s">
        <v>37</v>
      </c>
      <c r="H3">
        <v>0.03</v>
      </c>
      <c r="K3">
        <v>1</v>
      </c>
      <c r="L3">
        <v>0</v>
      </c>
      <c r="M3">
        <v>0</v>
      </c>
    </row>
    <row r="4" spans="3:16" x14ac:dyDescent="0.25">
      <c r="C4" t="s">
        <v>36</v>
      </c>
      <c r="D4">
        <v>772</v>
      </c>
      <c r="G4" t="s">
        <v>38</v>
      </c>
      <c r="H4">
        <v>0.06</v>
      </c>
      <c r="K4">
        <v>2</v>
      </c>
      <c r="L4">
        <v>3.3062098501070664E-3</v>
      </c>
      <c r="M4">
        <v>772</v>
      </c>
    </row>
    <row r="5" spans="3:16" x14ac:dyDescent="0.25">
      <c r="C5" t="s">
        <v>41</v>
      </c>
      <c r="D5">
        <v>826.2</v>
      </c>
      <c r="G5" t="s">
        <v>39</v>
      </c>
      <c r="H5">
        <v>0.625</v>
      </c>
      <c r="K5">
        <v>3</v>
      </c>
      <c r="L5">
        <v>0.03</v>
      </c>
      <c r="M5">
        <v>772</v>
      </c>
    </row>
    <row r="6" spans="3:16" x14ac:dyDescent="0.25">
      <c r="G6" t="s">
        <v>40</v>
      </c>
      <c r="H6">
        <v>4516.6666666666706</v>
      </c>
      <c r="K6">
        <v>4</v>
      </c>
      <c r="L6">
        <v>3.7499999999999999E-2</v>
      </c>
      <c r="M6">
        <v>805.875</v>
      </c>
    </row>
    <row r="7" spans="3:16" x14ac:dyDescent="0.25">
      <c r="G7" t="s">
        <v>45</v>
      </c>
      <c r="H7">
        <v>3.7499999999999999E-2</v>
      </c>
      <c r="K7">
        <v>5</v>
      </c>
      <c r="L7">
        <v>0.06</v>
      </c>
      <c r="M7">
        <v>826.2</v>
      </c>
    </row>
    <row r="8" spans="3:16" x14ac:dyDescent="0.25">
      <c r="G8" t="s">
        <v>46</v>
      </c>
      <c r="H8">
        <v>805.875</v>
      </c>
    </row>
    <row r="9" spans="3:16" x14ac:dyDescent="0.25">
      <c r="L9" t="s">
        <v>42</v>
      </c>
      <c r="M9" t="s">
        <v>43</v>
      </c>
    </row>
    <row r="10" spans="3:16" x14ac:dyDescent="0.25">
      <c r="L10">
        <v>0</v>
      </c>
      <c r="M10">
        <v>0</v>
      </c>
    </row>
    <row r="11" spans="3:16" x14ac:dyDescent="0.25">
      <c r="L11">
        <v>0</v>
      </c>
      <c r="M11">
        <v>772</v>
      </c>
    </row>
    <row r="12" spans="3:16" x14ac:dyDescent="0.25">
      <c r="L12">
        <v>2.6693790149892933E-2</v>
      </c>
      <c r="M12">
        <v>772</v>
      </c>
    </row>
    <row r="13" spans="3:16" x14ac:dyDescent="0.25">
      <c r="L13">
        <v>3.4193790149892933E-2</v>
      </c>
      <c r="M13">
        <v>805.875</v>
      </c>
    </row>
    <row r="14" spans="3:16" x14ac:dyDescent="0.25">
      <c r="L14">
        <v>5.6693790149892932E-2</v>
      </c>
      <c r="M14">
        <v>826.2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7913C-59C2-471D-9D94-E61C93674844}">
  <sheetPr codeName="Sheet3"/>
  <dimension ref="C3:I13"/>
  <sheetViews>
    <sheetView zoomScaleNormal="100" workbookViewId="0">
      <selection activeCell="D9" sqref="D9"/>
    </sheetView>
  </sheetViews>
  <sheetFormatPr defaultRowHeight="15" x14ac:dyDescent="0.25"/>
  <cols>
    <col min="3" max="3" width="10.28515625" bestFit="1" customWidth="1"/>
    <col min="7" max="7" width="15.140625" bestFit="1" customWidth="1"/>
    <col min="8" max="8" width="11.85546875" bestFit="1" customWidth="1"/>
  </cols>
  <sheetData>
    <row r="3" spans="3:9" ht="20.25" x14ac:dyDescent="0.35">
      <c r="C3" s="24" t="s">
        <v>35</v>
      </c>
      <c r="D3" s="24">
        <v>197100</v>
      </c>
      <c r="E3" s="24"/>
      <c r="F3" s="24" t="s">
        <v>52</v>
      </c>
      <c r="G3" s="24">
        <f>D4/D3</f>
        <v>6.0218163368848301E-3</v>
      </c>
      <c r="H3" s="24"/>
    </row>
    <row r="4" spans="3:9" ht="20.25" x14ac:dyDescent="0.35">
      <c r="C4" s="24" t="s">
        <v>53</v>
      </c>
      <c r="D4" s="24">
        <v>1186.9000000000001</v>
      </c>
      <c r="E4" s="24"/>
      <c r="F4" s="24" t="s">
        <v>54</v>
      </c>
      <c r="G4" s="24">
        <v>3.4000000000000002E-2</v>
      </c>
      <c r="H4" s="24"/>
    </row>
    <row r="5" spans="3:9" ht="20.25" x14ac:dyDescent="0.35">
      <c r="C5" s="24" t="s">
        <v>55</v>
      </c>
      <c r="D5" s="24">
        <v>1418.3</v>
      </c>
      <c r="E5" s="24"/>
      <c r="F5" s="24"/>
      <c r="G5" s="24"/>
      <c r="H5" s="24"/>
    </row>
    <row r="6" spans="3:9" ht="18.75" x14ac:dyDescent="0.3">
      <c r="C6" s="24"/>
      <c r="D6" s="24"/>
      <c r="E6" s="24"/>
      <c r="F6" s="24"/>
      <c r="G6" s="24"/>
      <c r="H6" s="24"/>
    </row>
    <row r="7" spans="3:9" ht="19.5" thickBot="1" x14ac:dyDescent="0.35">
      <c r="C7" s="24"/>
      <c r="D7" s="24"/>
      <c r="E7" s="24"/>
      <c r="F7" s="24"/>
      <c r="G7" s="24"/>
      <c r="H7" s="24"/>
    </row>
    <row r="8" spans="3:9" ht="19.5" thickBot="1" x14ac:dyDescent="0.35">
      <c r="C8" s="41" t="s">
        <v>48</v>
      </c>
      <c r="D8" s="42"/>
      <c r="E8" s="24"/>
      <c r="F8" s="41" t="s">
        <v>49</v>
      </c>
      <c r="G8" s="42"/>
      <c r="H8" s="24"/>
    </row>
    <row r="9" spans="3:9" ht="21" thickBot="1" x14ac:dyDescent="0.4">
      <c r="C9" s="29" t="s">
        <v>51</v>
      </c>
      <c r="D9" s="28" t="s">
        <v>50</v>
      </c>
      <c r="E9" s="24"/>
      <c r="F9" s="32" t="s">
        <v>51</v>
      </c>
      <c r="G9" s="28" t="s">
        <v>56</v>
      </c>
      <c r="H9" s="24"/>
      <c r="I9" s="36"/>
    </row>
    <row r="10" spans="3:9" ht="18.75" x14ac:dyDescent="0.3">
      <c r="C10" s="30">
        <v>0</v>
      </c>
      <c r="D10" s="25">
        <v>0</v>
      </c>
      <c r="E10" s="24"/>
      <c r="F10" s="33">
        <v>0</v>
      </c>
      <c r="G10" s="26">
        <v>0</v>
      </c>
      <c r="H10" s="24"/>
    </row>
    <row r="11" spans="3:9" ht="18.75" x14ac:dyDescent="0.3">
      <c r="C11" s="30">
        <v>1186.9000000000001</v>
      </c>
      <c r="D11" s="25">
        <v>6.0218163368848301E-3</v>
      </c>
      <c r="E11" s="24"/>
      <c r="F11" s="33">
        <v>1186.9000000000001</v>
      </c>
      <c r="G11" s="26">
        <v>0</v>
      </c>
      <c r="H11" s="24"/>
    </row>
    <row r="12" spans="3:9" ht="19.5" thickBot="1" x14ac:dyDescent="0.35">
      <c r="C12" s="31">
        <v>1186.9000000000001</v>
      </c>
      <c r="D12" s="27">
        <v>3.4000000000000002E-2</v>
      </c>
      <c r="E12" s="24"/>
      <c r="F12" s="34">
        <v>1186.9000000000001</v>
      </c>
      <c r="G12" s="35">
        <v>2.7978183663115171E-2</v>
      </c>
      <c r="H12" s="24"/>
    </row>
    <row r="13" spans="3:9" ht="18.75" x14ac:dyDescent="0.3">
      <c r="C13" s="24"/>
      <c r="D13" s="24"/>
      <c r="E13" s="24"/>
      <c r="F13" s="24"/>
      <c r="G13" s="24"/>
      <c r="H13" s="24"/>
    </row>
  </sheetData>
  <mergeCells count="2">
    <mergeCell ref="C8:D8"/>
    <mergeCell ref="F8:G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9DE17-DB90-4884-984C-770DBD31A1EE}">
  <sheetPr codeName="Sheet4"/>
  <dimension ref="C2:P14"/>
  <sheetViews>
    <sheetView zoomScaleNormal="100" workbookViewId="0">
      <selection activeCell="K32" sqref="K32"/>
    </sheetView>
  </sheetViews>
  <sheetFormatPr defaultRowHeight="15" x14ac:dyDescent="0.25"/>
  <cols>
    <col min="7" max="7" width="9.42578125" bestFit="1" customWidth="1"/>
    <col min="8" max="8" width="11.85546875" bestFit="1" customWidth="1"/>
    <col min="9" max="9" width="12" bestFit="1" customWidth="1"/>
  </cols>
  <sheetData>
    <row r="2" spans="3:16" x14ac:dyDescent="0.25">
      <c r="G2" t="s">
        <v>44</v>
      </c>
      <c r="H2">
        <v>3.3062098501070664E-3</v>
      </c>
      <c r="I2">
        <f>D4/D3</f>
        <v>2.3498366775548296E-3</v>
      </c>
      <c r="L2" t="s">
        <v>42</v>
      </c>
      <c r="M2" t="s">
        <v>43</v>
      </c>
      <c r="O2" t="s">
        <v>47</v>
      </c>
      <c r="P2">
        <v>3.3062098501070664E-3</v>
      </c>
    </row>
    <row r="3" spans="3:16" x14ac:dyDescent="0.25">
      <c r="C3" t="s">
        <v>35</v>
      </c>
      <c r="D3">
        <v>214300</v>
      </c>
      <c r="G3" t="s">
        <v>37</v>
      </c>
      <c r="H3">
        <v>0.03</v>
      </c>
      <c r="I3">
        <f>0.1*D4/D5-0.055</f>
        <v>2.8928333333333327E-2</v>
      </c>
      <c r="K3">
        <v>1</v>
      </c>
      <c r="L3">
        <v>0</v>
      </c>
      <c r="M3">
        <v>0</v>
      </c>
    </row>
    <row r="4" spans="3:16" x14ac:dyDescent="0.25">
      <c r="C4" t="s">
        <v>36</v>
      </c>
      <c r="D4">
        <v>503.57</v>
      </c>
      <c r="G4" t="s">
        <v>38</v>
      </c>
      <c r="H4">
        <v>0.06</v>
      </c>
      <c r="I4">
        <f>MIN(0.06,0.6*(1-D4/D5))</f>
        <v>0.06</v>
      </c>
      <c r="K4">
        <v>2</v>
      </c>
      <c r="L4">
        <v>3.3062098501070664E-3</v>
      </c>
      <c r="M4">
        <v>772</v>
      </c>
    </row>
    <row r="5" spans="3:16" x14ac:dyDescent="0.25">
      <c r="C5" t="s">
        <v>41</v>
      </c>
      <c r="D5">
        <v>600</v>
      </c>
      <c r="G5" t="s">
        <v>39</v>
      </c>
      <c r="H5">
        <v>0.625</v>
      </c>
      <c r="I5">
        <f>(I3+0.25*(I4-I3))/I4</f>
        <v>0.61160416666666662</v>
      </c>
      <c r="K5">
        <v>3</v>
      </c>
      <c r="L5">
        <v>0.03</v>
      </c>
      <c r="M5">
        <v>772</v>
      </c>
    </row>
    <row r="6" spans="3:16" x14ac:dyDescent="0.25">
      <c r="G6" t="s">
        <v>40</v>
      </c>
      <c r="H6">
        <v>4516.6666666666706</v>
      </c>
      <c r="I6">
        <f>(D5-D4)/(0.4*(I4-I3))</f>
        <v>7758.6761787265987</v>
      </c>
      <c r="K6">
        <v>4</v>
      </c>
      <c r="L6">
        <v>3.7499999999999999E-2</v>
      </c>
      <c r="M6">
        <v>805.875</v>
      </c>
    </row>
    <row r="7" spans="3:16" x14ac:dyDescent="0.25">
      <c r="G7" t="s">
        <v>45</v>
      </c>
      <c r="H7">
        <v>3.7499999999999999E-2</v>
      </c>
      <c r="I7">
        <f>I5*I4</f>
        <v>3.6696249999999993E-2</v>
      </c>
      <c r="K7">
        <v>5</v>
      </c>
      <c r="L7">
        <v>0.06</v>
      </c>
      <c r="M7">
        <v>826.2</v>
      </c>
    </row>
    <row r="8" spans="3:16" x14ac:dyDescent="0.25">
      <c r="G8" t="s">
        <v>46</v>
      </c>
      <c r="H8">
        <v>805.875</v>
      </c>
    </row>
    <row r="9" spans="3:16" x14ac:dyDescent="0.25">
      <c r="G9" t="s">
        <v>57</v>
      </c>
      <c r="I9">
        <f>(I3+0.4*(I4-I3))/I4</f>
        <v>0.68928333333333336</v>
      </c>
      <c r="L9" t="s">
        <v>42</v>
      </c>
      <c r="M9" t="s">
        <v>43</v>
      </c>
    </row>
    <row r="10" spans="3:16" x14ac:dyDescent="0.25">
      <c r="L10">
        <v>0</v>
      </c>
      <c r="M10">
        <v>0</v>
      </c>
    </row>
    <row r="11" spans="3:16" x14ac:dyDescent="0.25">
      <c r="L11">
        <v>0</v>
      </c>
      <c r="M11">
        <v>772</v>
      </c>
    </row>
    <row r="12" spans="3:16" x14ac:dyDescent="0.25">
      <c r="L12">
        <v>2.6693790149892933E-2</v>
      </c>
      <c r="M12">
        <v>772</v>
      </c>
    </row>
    <row r="13" spans="3:16" x14ac:dyDescent="0.25">
      <c r="L13">
        <v>3.4193790149892933E-2</v>
      </c>
      <c r="M13">
        <v>805.875</v>
      </c>
    </row>
    <row r="14" spans="3:16" x14ac:dyDescent="0.25">
      <c r="L14">
        <v>5.6693790149892932E-2</v>
      </c>
      <c r="M14">
        <v>826.2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2C68A-70F9-40AF-8257-4E1C718E8FFB}">
  <sheetPr codeName="Sheet6"/>
  <dimension ref="C2:N11"/>
  <sheetViews>
    <sheetView tabSelected="1" zoomScaleNormal="100" workbookViewId="0">
      <selection activeCell="L18" sqref="L18"/>
    </sheetView>
  </sheetViews>
  <sheetFormatPr defaultRowHeight="15" x14ac:dyDescent="0.25"/>
  <cols>
    <col min="7" max="7" width="9.42578125" bestFit="1" customWidth="1"/>
    <col min="8" max="8" width="11.85546875" bestFit="1" customWidth="1"/>
    <col min="9" max="9" width="12" bestFit="1" customWidth="1"/>
    <col min="13" max="13" width="12" bestFit="1" customWidth="1"/>
  </cols>
  <sheetData>
    <row r="2" spans="3:14" x14ac:dyDescent="0.25">
      <c r="G2" t="s">
        <v>44</v>
      </c>
      <c r="I2">
        <f>D5/D4</f>
        <v>1.6565562295846944E-3</v>
      </c>
      <c r="L2" t="s">
        <v>58</v>
      </c>
      <c r="M2" t="s">
        <v>58</v>
      </c>
      <c r="N2" t="s">
        <v>61</v>
      </c>
    </row>
    <row r="3" spans="3:14" x14ac:dyDescent="0.25">
      <c r="K3">
        <v>0</v>
      </c>
      <c r="M3">
        <v>0</v>
      </c>
      <c r="N3">
        <v>0</v>
      </c>
    </row>
    <row r="4" spans="3:14" x14ac:dyDescent="0.25">
      <c r="C4" t="s">
        <v>35</v>
      </c>
      <c r="D4">
        <v>214300</v>
      </c>
      <c r="G4" t="s">
        <v>37</v>
      </c>
      <c r="I4">
        <f>0.1*D5/D6-0.055</f>
        <v>1.7448979591836729E-2</v>
      </c>
      <c r="K4">
        <v>1</v>
      </c>
      <c r="L4" t="s">
        <v>44</v>
      </c>
      <c r="M4">
        <f>I2</f>
        <v>1.6565562295846944E-3</v>
      </c>
      <c r="N4">
        <f>D5</f>
        <v>355</v>
      </c>
    </row>
    <row r="5" spans="3:14" x14ac:dyDescent="0.25">
      <c r="C5" t="s">
        <v>36</v>
      </c>
      <c r="D5">
        <v>355</v>
      </c>
      <c r="G5" t="s">
        <v>38</v>
      </c>
      <c r="I5">
        <f>0.6*(1-D5/D6)</f>
        <v>0.16530612244897958</v>
      </c>
      <c r="K5">
        <v>2</v>
      </c>
      <c r="L5" t="s">
        <v>37</v>
      </c>
      <c r="M5">
        <f>I4</f>
        <v>1.7448979591836729E-2</v>
      </c>
      <c r="N5">
        <f>D5</f>
        <v>355</v>
      </c>
    </row>
    <row r="6" spans="3:14" x14ac:dyDescent="0.25">
      <c r="C6" t="s">
        <v>41</v>
      </c>
      <c r="D6">
        <v>490</v>
      </c>
      <c r="G6" t="s">
        <v>39</v>
      </c>
      <c r="I6">
        <f>(I4+0.25*(I5-I4))/I5</f>
        <v>0.32916666666666666</v>
      </c>
      <c r="K6">
        <v>3</v>
      </c>
      <c r="L6" t="s">
        <v>60</v>
      </c>
      <c r="M6">
        <f>I11</f>
        <v>7.6591836734693872E-2</v>
      </c>
      <c r="N6">
        <f>D6</f>
        <v>490</v>
      </c>
    </row>
    <row r="7" spans="3:14" x14ac:dyDescent="0.25">
      <c r="G7" t="s">
        <v>40</v>
      </c>
      <c r="I7">
        <f>(D6-D5)/(0.4*(I5-I4))</f>
        <v>2282.608695652174</v>
      </c>
      <c r="K7">
        <v>4</v>
      </c>
      <c r="L7" t="s">
        <v>38</v>
      </c>
      <c r="M7">
        <f>I5</f>
        <v>0.16530612244897958</v>
      </c>
      <c r="N7">
        <f>D6</f>
        <v>490</v>
      </c>
    </row>
    <row r="8" spans="3:14" x14ac:dyDescent="0.25">
      <c r="G8" t="s">
        <v>59</v>
      </c>
      <c r="I8">
        <f>I6*I5</f>
        <v>5.4413265306122442E-2</v>
      </c>
      <c r="K8">
        <v>5</v>
      </c>
    </row>
    <row r="9" spans="3:14" x14ac:dyDescent="0.25">
      <c r="G9" t="s">
        <v>46</v>
      </c>
    </row>
    <row r="10" spans="3:14" x14ac:dyDescent="0.25">
      <c r="G10" t="s">
        <v>57</v>
      </c>
      <c r="I10">
        <f>(I4+0.4*(I5-I4))/I5</f>
        <v>0.46333333333333332</v>
      </c>
    </row>
    <row r="11" spans="3:14" x14ac:dyDescent="0.25">
      <c r="G11" t="s">
        <v>60</v>
      </c>
      <c r="I11">
        <f>I10*I5</f>
        <v>7.6591836734693872E-2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E505F-6F27-4CB8-B9F9-146D377C7123}">
  <sheetPr codeName="Sheet8"/>
  <dimension ref="C2:N11"/>
  <sheetViews>
    <sheetView zoomScale="115" zoomScaleNormal="115" workbookViewId="0">
      <selection activeCell="I4" sqref="I4"/>
    </sheetView>
  </sheetViews>
  <sheetFormatPr defaultRowHeight="15" x14ac:dyDescent="0.25"/>
  <cols>
    <col min="7" max="7" width="9.42578125" bestFit="1" customWidth="1"/>
    <col min="8" max="8" width="11.85546875" bestFit="1" customWidth="1"/>
    <col min="9" max="9" width="12" bestFit="1" customWidth="1"/>
    <col min="13" max="13" width="12" bestFit="1" customWidth="1"/>
  </cols>
  <sheetData>
    <row r="2" spans="3:14" x14ac:dyDescent="0.25">
      <c r="G2" t="s">
        <v>44</v>
      </c>
      <c r="I2">
        <f>D5/D4</f>
        <v>1.1190476190476191E-3</v>
      </c>
      <c r="L2" t="s">
        <v>58</v>
      </c>
      <c r="M2" t="s">
        <v>58</v>
      </c>
      <c r="N2" t="s">
        <v>61</v>
      </c>
    </row>
    <row r="3" spans="3:14" x14ac:dyDescent="0.25">
      <c r="K3">
        <v>0</v>
      </c>
      <c r="M3">
        <v>0</v>
      </c>
      <c r="N3">
        <v>0</v>
      </c>
    </row>
    <row r="4" spans="3:14" x14ac:dyDescent="0.25">
      <c r="C4" t="s">
        <v>35</v>
      </c>
      <c r="D4">
        <v>210000</v>
      </c>
      <c r="G4" t="s">
        <v>37</v>
      </c>
      <c r="I4">
        <f>MAX(0.015,0.1*D5/D6-0.055)</f>
        <v>1.4999999999999999E-2</v>
      </c>
      <c r="K4">
        <v>1</v>
      </c>
      <c r="L4" t="s">
        <v>44</v>
      </c>
      <c r="M4">
        <f>I2</f>
        <v>1.1190476190476191E-3</v>
      </c>
      <c r="N4">
        <f>D5</f>
        <v>235</v>
      </c>
    </row>
    <row r="5" spans="3:14" x14ac:dyDescent="0.25">
      <c r="C5" t="s">
        <v>36</v>
      </c>
      <c r="D5">
        <v>235</v>
      </c>
      <c r="G5" t="s">
        <v>38</v>
      </c>
      <c r="I5">
        <f>0.6*(1-D5/D6)</f>
        <v>0.20833333333333331</v>
      </c>
      <c r="K5">
        <v>2</v>
      </c>
      <c r="L5" t="s">
        <v>37</v>
      </c>
      <c r="M5">
        <f>I4</f>
        <v>1.4999999999999999E-2</v>
      </c>
      <c r="N5">
        <f>D5</f>
        <v>235</v>
      </c>
    </row>
    <row r="6" spans="3:14" x14ac:dyDescent="0.25">
      <c r="C6" t="s">
        <v>41</v>
      </c>
      <c r="D6">
        <v>360</v>
      </c>
      <c r="G6" t="s">
        <v>39</v>
      </c>
      <c r="I6">
        <v>0.33</v>
      </c>
      <c r="K6">
        <v>3</v>
      </c>
      <c r="L6" t="s">
        <v>60</v>
      </c>
      <c r="M6">
        <f>I11</f>
        <v>9.2333333333333323E-2</v>
      </c>
      <c r="N6">
        <f>D6</f>
        <v>360</v>
      </c>
    </row>
    <row r="7" spans="3:14" x14ac:dyDescent="0.25">
      <c r="G7" t="s">
        <v>40</v>
      </c>
      <c r="I7">
        <f>(D6-D5)/(0.4*(I5-I4))</f>
        <v>1616.3793103448279</v>
      </c>
      <c r="K7">
        <v>4</v>
      </c>
      <c r="L7" t="s">
        <v>38</v>
      </c>
      <c r="M7">
        <f>I5</f>
        <v>0.20833333333333331</v>
      </c>
      <c r="N7">
        <f>D6</f>
        <v>360</v>
      </c>
    </row>
    <row r="8" spans="3:14" x14ac:dyDescent="0.25">
      <c r="G8" t="s">
        <v>59</v>
      </c>
      <c r="I8">
        <f>I6*I5</f>
        <v>6.8749999999999992E-2</v>
      </c>
      <c r="K8">
        <v>5</v>
      </c>
    </row>
    <row r="9" spans="3:14" x14ac:dyDescent="0.25">
      <c r="G9" t="s">
        <v>46</v>
      </c>
    </row>
    <row r="10" spans="3:14" x14ac:dyDescent="0.25">
      <c r="G10" t="s">
        <v>57</v>
      </c>
      <c r="I10">
        <f>(I4+0.4*(I5-I4))/I5</f>
        <v>0.44319999999999998</v>
      </c>
    </row>
    <row r="11" spans="3:14" x14ac:dyDescent="0.25">
      <c r="G11" t="s">
        <v>60</v>
      </c>
      <c r="I11">
        <f>I10*I5</f>
        <v>9.2333333333333323E-2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06BEF-5F37-4B0B-B6FA-4CD0BAB34DF6}">
  <sheetPr codeName="Sheet5"/>
  <dimension ref="C2:N11"/>
  <sheetViews>
    <sheetView zoomScaleNormal="100" workbookViewId="0">
      <selection activeCell="N3" sqref="N3:N7"/>
    </sheetView>
  </sheetViews>
  <sheetFormatPr defaultRowHeight="15" x14ac:dyDescent="0.25"/>
  <cols>
    <col min="7" max="7" width="9.42578125" bestFit="1" customWidth="1"/>
    <col min="8" max="8" width="11.85546875" bestFit="1" customWidth="1"/>
    <col min="9" max="9" width="12" bestFit="1" customWidth="1"/>
    <col min="13" max="13" width="12" bestFit="1" customWidth="1"/>
  </cols>
  <sheetData>
    <row r="2" spans="3:14" x14ac:dyDescent="0.25">
      <c r="G2" t="s">
        <v>44</v>
      </c>
      <c r="I2">
        <f>D5/D4</f>
        <v>2.1904761904761906E-3</v>
      </c>
      <c r="L2" t="s">
        <v>58</v>
      </c>
      <c r="M2" t="s">
        <v>58</v>
      </c>
      <c r="N2" t="s">
        <v>61</v>
      </c>
    </row>
    <row r="3" spans="3:14" x14ac:dyDescent="0.25">
      <c r="K3">
        <v>0</v>
      </c>
      <c r="M3">
        <v>0</v>
      </c>
      <c r="N3">
        <v>0</v>
      </c>
    </row>
    <row r="4" spans="3:14" x14ac:dyDescent="0.25">
      <c r="C4" t="s">
        <v>35</v>
      </c>
      <c r="D4">
        <v>210000</v>
      </c>
      <c r="G4" t="s">
        <v>37</v>
      </c>
      <c r="I4">
        <f>MIN(0.03,0.1*D5/D6-0.055)</f>
        <v>2.166666666666666E-2</v>
      </c>
      <c r="K4">
        <v>1</v>
      </c>
      <c r="L4" t="s">
        <v>44</v>
      </c>
      <c r="M4">
        <f>I2</f>
        <v>2.1904761904761906E-3</v>
      </c>
      <c r="N4">
        <f>D5</f>
        <v>460</v>
      </c>
    </row>
    <row r="5" spans="3:14" x14ac:dyDescent="0.25">
      <c r="C5" t="s">
        <v>36</v>
      </c>
      <c r="D5">
        <v>460</v>
      </c>
      <c r="G5" t="s">
        <v>38</v>
      </c>
      <c r="I5">
        <f>0.6*(1-D5/D6)</f>
        <v>0.13999999999999996</v>
      </c>
      <c r="K5">
        <v>2</v>
      </c>
      <c r="L5" t="s">
        <v>37</v>
      </c>
      <c r="M5">
        <f>I4</f>
        <v>2.166666666666666E-2</v>
      </c>
      <c r="N5">
        <f>D5</f>
        <v>460</v>
      </c>
    </row>
    <row r="6" spans="3:14" x14ac:dyDescent="0.25">
      <c r="C6" t="s">
        <v>41</v>
      </c>
      <c r="D6">
        <v>600</v>
      </c>
      <c r="G6" t="s">
        <v>39</v>
      </c>
      <c r="I6">
        <f>(I4+0.25*(I5-I4))/I5</f>
        <v>0.36607142857142855</v>
      </c>
      <c r="K6">
        <v>3</v>
      </c>
      <c r="L6" t="s">
        <v>60</v>
      </c>
      <c r="M6">
        <f>I11</f>
        <v>6.8999999999999978E-2</v>
      </c>
      <c r="N6">
        <f>D6</f>
        <v>600</v>
      </c>
    </row>
    <row r="7" spans="3:14" x14ac:dyDescent="0.25">
      <c r="G7" t="s">
        <v>40</v>
      </c>
      <c r="I7">
        <f>(D6-D5)/(0.4*(I5-I4))</f>
        <v>2957.7464788732404</v>
      </c>
      <c r="K7">
        <v>4</v>
      </c>
      <c r="L7" t="s">
        <v>38</v>
      </c>
      <c r="M7">
        <f>I5</f>
        <v>0.13999999999999996</v>
      </c>
      <c r="N7">
        <f>D6</f>
        <v>600</v>
      </c>
    </row>
    <row r="8" spans="3:14" x14ac:dyDescent="0.25">
      <c r="G8" t="s">
        <v>59</v>
      </c>
      <c r="I8">
        <f>I6*I5</f>
        <v>5.1249999999999983E-2</v>
      </c>
      <c r="K8">
        <v>5</v>
      </c>
    </row>
    <row r="9" spans="3:14" x14ac:dyDescent="0.25">
      <c r="G9" t="s">
        <v>46</v>
      </c>
    </row>
    <row r="10" spans="3:14" x14ac:dyDescent="0.25">
      <c r="G10" t="s">
        <v>57</v>
      </c>
      <c r="I10">
        <f>(I4+0.4*(I5-I4))/I5</f>
        <v>0.49285714285714283</v>
      </c>
    </row>
    <row r="11" spans="3:14" x14ac:dyDescent="0.25">
      <c r="G11" t="s">
        <v>60</v>
      </c>
      <c r="I11">
        <f>I10*I5</f>
        <v>6.8999999999999978E-2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D931E-36A6-41C6-BEE8-E6F3E24B270E}">
  <sheetPr codeName="Sheet7"/>
  <dimension ref="C2:N11"/>
  <sheetViews>
    <sheetView zoomScaleNormal="100" workbookViewId="0">
      <selection activeCell="N3" sqref="N3:N7"/>
    </sheetView>
  </sheetViews>
  <sheetFormatPr defaultRowHeight="15" x14ac:dyDescent="0.25"/>
  <cols>
    <col min="7" max="7" width="9.42578125" bestFit="1" customWidth="1"/>
    <col min="8" max="8" width="11.85546875" bestFit="1" customWidth="1"/>
    <col min="9" max="9" width="12" bestFit="1" customWidth="1"/>
    <col min="13" max="13" width="12" bestFit="1" customWidth="1"/>
  </cols>
  <sheetData>
    <row r="2" spans="3:14" x14ac:dyDescent="0.25">
      <c r="G2" t="s">
        <v>44</v>
      </c>
      <c r="I2">
        <f>D5/D4</f>
        <v>3.2857142857142859E-3</v>
      </c>
      <c r="M2" t="s">
        <v>58</v>
      </c>
      <c r="N2" t="s">
        <v>61</v>
      </c>
    </row>
    <row r="3" spans="3:14" x14ac:dyDescent="0.25">
      <c r="K3">
        <v>0</v>
      </c>
      <c r="M3">
        <v>0</v>
      </c>
      <c r="N3">
        <v>0</v>
      </c>
    </row>
    <row r="4" spans="3:14" x14ac:dyDescent="0.25">
      <c r="C4" t="s">
        <v>35</v>
      </c>
      <c r="D4">
        <v>210000</v>
      </c>
      <c r="G4" t="s">
        <v>37</v>
      </c>
      <c r="I4">
        <f>MIN(0.03,0.1*D5/D6-0.055)</f>
        <v>0.03</v>
      </c>
      <c r="K4">
        <v>1</v>
      </c>
      <c r="L4" t="s">
        <v>44</v>
      </c>
      <c r="M4">
        <f>I2</f>
        <v>3.2857142857142859E-3</v>
      </c>
      <c r="N4">
        <f>D5</f>
        <v>690</v>
      </c>
    </row>
    <row r="5" spans="3:14" x14ac:dyDescent="0.25">
      <c r="C5" t="s">
        <v>36</v>
      </c>
      <c r="D5">
        <v>690</v>
      </c>
      <c r="G5" t="s">
        <v>38</v>
      </c>
      <c r="I5">
        <f>0.6*(1-D5/D6)</f>
        <v>4.7999999999999973E-2</v>
      </c>
      <c r="K5">
        <v>2</v>
      </c>
      <c r="L5" t="s">
        <v>37</v>
      </c>
      <c r="M5">
        <f>I4</f>
        <v>0.03</v>
      </c>
      <c r="N5">
        <f>D5</f>
        <v>690</v>
      </c>
    </row>
    <row r="6" spans="3:14" x14ac:dyDescent="0.25">
      <c r="C6" t="s">
        <v>41</v>
      </c>
      <c r="D6">
        <v>750</v>
      </c>
      <c r="G6" t="s">
        <v>39</v>
      </c>
      <c r="I6">
        <f>(I4+0.25*(I5-I4))/I5</f>
        <v>0.71875000000000022</v>
      </c>
      <c r="K6">
        <v>3</v>
      </c>
      <c r="L6" t="s">
        <v>60</v>
      </c>
      <c r="M6">
        <f>I11</f>
        <v>3.719999999999999E-2</v>
      </c>
      <c r="N6">
        <f>D6</f>
        <v>750</v>
      </c>
    </row>
    <row r="7" spans="3:14" x14ac:dyDescent="0.25">
      <c r="G7" t="s">
        <v>40</v>
      </c>
      <c r="I7">
        <f>(D6-D5)/(0.4*(I5-I4))</f>
        <v>8333.3333333333449</v>
      </c>
      <c r="K7">
        <v>4</v>
      </c>
      <c r="L7" t="s">
        <v>38</v>
      </c>
      <c r="M7">
        <f>I5</f>
        <v>4.7999999999999973E-2</v>
      </c>
      <c r="N7">
        <f>D6</f>
        <v>750</v>
      </c>
    </row>
    <row r="8" spans="3:14" x14ac:dyDescent="0.25">
      <c r="G8" t="s">
        <v>59</v>
      </c>
      <c r="I8">
        <f>I6*I5</f>
        <v>3.4499999999999989E-2</v>
      </c>
      <c r="K8">
        <v>5</v>
      </c>
    </row>
    <row r="9" spans="3:14" x14ac:dyDescent="0.25">
      <c r="G9" t="s">
        <v>46</v>
      </c>
    </row>
    <row r="10" spans="3:14" x14ac:dyDescent="0.25">
      <c r="G10" t="s">
        <v>57</v>
      </c>
      <c r="I10">
        <f>(I4+0.4*(I5-I4))/I5</f>
        <v>0.77500000000000024</v>
      </c>
    </row>
    <row r="11" spans="3:14" x14ac:dyDescent="0.25">
      <c r="G11" t="s">
        <v>60</v>
      </c>
      <c r="I11">
        <f>I10*I5</f>
        <v>3.719999999999999E-2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K53"/>
  <sheetViews>
    <sheetView topLeftCell="C1" zoomScale="160" zoomScaleNormal="160" workbookViewId="0">
      <selection activeCell="M21" sqref="M21"/>
    </sheetView>
  </sheetViews>
  <sheetFormatPr defaultColWidth="11.42578125" defaultRowHeight="15" x14ac:dyDescent="0.25"/>
  <sheetData>
    <row r="1" spans="2:11" ht="15.75" thickBot="1" x14ac:dyDescent="0.3"/>
    <row r="2" spans="2:11" ht="26.25" x14ac:dyDescent="0.25">
      <c r="B2" s="37" t="s">
        <v>14</v>
      </c>
      <c r="C2" s="38"/>
      <c r="D2" s="38"/>
      <c r="E2" s="38"/>
      <c r="F2" s="38"/>
      <c r="G2" s="38"/>
      <c r="H2" s="38"/>
      <c r="I2" s="38"/>
      <c r="J2" s="38"/>
      <c r="K2" s="39"/>
    </row>
    <row r="3" spans="2:11" x14ac:dyDescent="0.25">
      <c r="B3" s="4"/>
      <c r="C3" s="5"/>
      <c r="D3" s="5"/>
      <c r="E3" s="5"/>
      <c r="F3" s="5"/>
      <c r="G3" s="5"/>
      <c r="H3" s="5"/>
      <c r="I3" s="5"/>
      <c r="J3" s="5"/>
      <c r="K3" s="6"/>
    </row>
    <row r="4" spans="2:11" x14ac:dyDescent="0.25">
      <c r="B4" s="4"/>
      <c r="C4" s="14" t="s">
        <v>15</v>
      </c>
      <c r="D4" s="5"/>
      <c r="E4" s="5"/>
      <c r="F4" s="5"/>
      <c r="G4" s="5"/>
      <c r="H4" s="5"/>
      <c r="I4" s="5"/>
      <c r="J4" s="5"/>
      <c r="K4" s="6"/>
    </row>
    <row r="5" spans="2:11" x14ac:dyDescent="0.25">
      <c r="B5" s="4"/>
      <c r="C5" s="5"/>
      <c r="D5" s="5"/>
      <c r="E5" s="5"/>
      <c r="F5" s="5"/>
      <c r="G5" s="5"/>
      <c r="H5" s="5"/>
      <c r="I5" s="5"/>
      <c r="J5" s="5"/>
      <c r="K5" s="6"/>
    </row>
    <row r="6" spans="2:11" x14ac:dyDescent="0.25">
      <c r="B6" s="4"/>
      <c r="C6" s="5"/>
      <c r="D6" s="5"/>
      <c r="E6" s="5"/>
      <c r="F6" s="5"/>
      <c r="G6" s="5"/>
      <c r="H6" s="5"/>
      <c r="I6" s="5"/>
      <c r="J6" s="5"/>
      <c r="K6" s="6"/>
    </row>
    <row r="7" spans="2:11" x14ac:dyDescent="0.25">
      <c r="B7" s="4"/>
      <c r="C7" s="5"/>
      <c r="D7" s="5"/>
      <c r="E7" s="5"/>
      <c r="F7" s="5"/>
      <c r="G7" s="5"/>
      <c r="H7" s="5"/>
      <c r="I7" s="5"/>
      <c r="J7" s="5"/>
      <c r="K7" s="6"/>
    </row>
    <row r="8" spans="2:11" x14ac:dyDescent="0.25">
      <c r="B8" s="4"/>
      <c r="C8" s="5"/>
      <c r="D8" s="5"/>
      <c r="E8" s="5"/>
      <c r="F8" s="5"/>
      <c r="G8" s="5"/>
      <c r="H8" s="5"/>
      <c r="I8" s="5"/>
      <c r="J8" s="5"/>
      <c r="K8" s="6"/>
    </row>
    <row r="9" spans="2:11" x14ac:dyDescent="0.25">
      <c r="B9" s="4"/>
      <c r="C9" s="5"/>
      <c r="D9" s="5"/>
      <c r="E9" s="5"/>
      <c r="F9" s="5"/>
      <c r="G9" s="5"/>
      <c r="H9" s="5"/>
      <c r="I9" s="5"/>
      <c r="J9" s="5"/>
      <c r="K9" s="6"/>
    </row>
    <row r="10" spans="2:11" x14ac:dyDescent="0.25">
      <c r="B10" s="4"/>
      <c r="C10" s="5"/>
      <c r="D10" s="5"/>
      <c r="E10" s="5"/>
      <c r="F10" s="5"/>
      <c r="G10" s="5"/>
      <c r="H10" s="5"/>
      <c r="I10" s="5"/>
      <c r="J10" s="5"/>
      <c r="K10" s="6"/>
    </row>
    <row r="11" spans="2:11" x14ac:dyDescent="0.25">
      <c r="B11" s="4"/>
      <c r="C11" s="5"/>
      <c r="D11" s="5"/>
      <c r="E11" s="5"/>
      <c r="F11" s="5"/>
      <c r="G11" s="5"/>
      <c r="H11" s="5"/>
      <c r="I11" s="5"/>
      <c r="J11" s="5"/>
      <c r="K11" s="6"/>
    </row>
    <row r="12" spans="2:11" x14ac:dyDescent="0.25">
      <c r="B12" s="4"/>
      <c r="C12" s="5"/>
      <c r="D12" s="5"/>
      <c r="E12" s="5"/>
      <c r="F12" s="5"/>
      <c r="G12" s="5"/>
      <c r="H12" s="5"/>
      <c r="I12" s="5"/>
      <c r="J12" s="5"/>
      <c r="K12" s="6"/>
    </row>
    <row r="13" spans="2:11" x14ac:dyDescent="0.25">
      <c r="B13" s="4"/>
      <c r="C13" s="5"/>
      <c r="D13" s="5"/>
      <c r="E13" s="5"/>
      <c r="F13" s="5"/>
      <c r="G13" s="5"/>
      <c r="H13" s="5"/>
      <c r="I13" s="5"/>
      <c r="J13" s="5"/>
      <c r="K13" s="6"/>
    </row>
    <row r="14" spans="2:11" x14ac:dyDescent="0.25">
      <c r="B14" s="4"/>
      <c r="C14" s="5"/>
      <c r="D14" s="5"/>
      <c r="E14" s="5"/>
      <c r="F14" s="5"/>
      <c r="G14" s="5"/>
      <c r="H14" s="5"/>
      <c r="I14" s="5"/>
      <c r="J14" s="5"/>
      <c r="K14" s="6"/>
    </row>
    <row r="15" spans="2:11" x14ac:dyDescent="0.25">
      <c r="B15" s="4"/>
      <c r="C15" s="5"/>
      <c r="D15" s="5"/>
      <c r="E15" s="5"/>
      <c r="F15" s="5"/>
      <c r="G15" s="5"/>
      <c r="H15" s="5"/>
      <c r="I15" s="5"/>
      <c r="J15" s="5"/>
      <c r="K15" s="6"/>
    </row>
    <row r="16" spans="2:11" x14ac:dyDescent="0.25">
      <c r="B16" s="4"/>
      <c r="C16" s="5"/>
      <c r="D16" s="5"/>
      <c r="E16" s="5"/>
      <c r="F16" s="5"/>
      <c r="G16" s="5"/>
      <c r="H16" s="5"/>
      <c r="I16" s="5"/>
      <c r="J16" s="5"/>
      <c r="K16" s="6"/>
    </row>
    <row r="17" spans="2:11" x14ac:dyDescent="0.25">
      <c r="B17" s="4"/>
      <c r="C17" s="5"/>
      <c r="D17" s="5"/>
      <c r="E17" s="5"/>
      <c r="F17" s="5"/>
      <c r="G17" s="5"/>
      <c r="H17" s="5"/>
      <c r="I17" s="5"/>
      <c r="J17" s="5"/>
      <c r="K17" s="6"/>
    </row>
    <row r="18" spans="2:11" x14ac:dyDescent="0.25">
      <c r="B18" s="4"/>
      <c r="C18" s="5"/>
      <c r="D18" s="5"/>
      <c r="E18" s="5"/>
      <c r="F18" s="5"/>
      <c r="G18" s="5"/>
      <c r="H18" s="5"/>
      <c r="I18" s="5"/>
      <c r="J18" s="5"/>
      <c r="K18" s="6"/>
    </row>
    <row r="19" spans="2:11" x14ac:dyDescent="0.25">
      <c r="B19" s="4"/>
      <c r="C19" s="5"/>
      <c r="D19" s="5"/>
      <c r="E19" s="5"/>
      <c r="F19" s="5"/>
      <c r="G19" s="5"/>
      <c r="H19" s="5"/>
      <c r="I19" s="5"/>
      <c r="J19" s="5"/>
      <c r="K19" s="6"/>
    </row>
    <row r="20" spans="2:11" x14ac:dyDescent="0.25">
      <c r="B20" s="4"/>
      <c r="C20" s="5"/>
      <c r="D20" s="5"/>
      <c r="E20" s="5"/>
      <c r="F20" s="5"/>
      <c r="G20" s="5"/>
      <c r="H20" s="5"/>
      <c r="I20" s="5"/>
      <c r="J20" s="5"/>
      <c r="K20" s="6"/>
    </row>
    <row r="21" spans="2:11" x14ac:dyDescent="0.25">
      <c r="B21" s="4"/>
      <c r="C21" s="5"/>
      <c r="D21" s="5"/>
      <c r="E21" s="5"/>
      <c r="F21" s="5"/>
      <c r="G21" s="5"/>
      <c r="H21" s="5"/>
      <c r="I21" s="5"/>
      <c r="J21" s="5"/>
      <c r="K21" s="6"/>
    </row>
    <row r="22" spans="2:11" x14ac:dyDescent="0.25">
      <c r="B22" s="4"/>
      <c r="C22" s="5"/>
      <c r="D22" s="5"/>
      <c r="E22" s="5"/>
      <c r="F22" s="5"/>
      <c r="G22" s="5"/>
      <c r="H22" s="5"/>
      <c r="I22" s="5"/>
      <c r="J22" s="5"/>
      <c r="K22" s="6"/>
    </row>
    <row r="23" spans="2:11" x14ac:dyDescent="0.25">
      <c r="B23" s="4"/>
      <c r="C23" s="5"/>
      <c r="D23" s="5"/>
      <c r="E23" s="5"/>
      <c r="F23" s="5"/>
      <c r="G23" s="5"/>
      <c r="H23" s="5"/>
      <c r="I23" s="5"/>
      <c r="J23" s="5"/>
      <c r="K23" s="6"/>
    </row>
    <row r="24" spans="2:11" x14ac:dyDescent="0.25">
      <c r="B24" s="4"/>
      <c r="C24" s="5"/>
      <c r="D24" s="5"/>
      <c r="E24" s="5"/>
      <c r="F24" s="5"/>
      <c r="G24" s="5"/>
      <c r="H24" s="5"/>
      <c r="I24" s="5"/>
      <c r="J24" s="5"/>
      <c r="K24" s="6"/>
    </row>
    <row r="25" spans="2:11" x14ac:dyDescent="0.25">
      <c r="B25" s="4"/>
      <c r="C25" s="5"/>
      <c r="D25" s="5"/>
      <c r="E25" s="5"/>
      <c r="F25" s="5"/>
      <c r="G25" s="5"/>
      <c r="H25" s="5"/>
      <c r="I25" s="5"/>
      <c r="J25" s="5"/>
      <c r="K25" s="6"/>
    </row>
    <row r="26" spans="2:11" x14ac:dyDescent="0.25">
      <c r="B26" s="4"/>
      <c r="C26" s="5"/>
      <c r="D26" s="5"/>
      <c r="E26" s="5"/>
      <c r="F26" s="5"/>
      <c r="G26" s="5"/>
      <c r="H26" s="5"/>
      <c r="I26" s="5"/>
      <c r="J26" s="5"/>
      <c r="K26" s="6"/>
    </row>
    <row r="27" spans="2:11" x14ac:dyDescent="0.25">
      <c r="B27" s="4"/>
      <c r="C27" s="5"/>
      <c r="D27" s="5"/>
      <c r="E27" s="5"/>
      <c r="F27" s="5"/>
      <c r="G27" s="5"/>
      <c r="H27" s="5"/>
      <c r="I27" s="5"/>
      <c r="J27" s="5"/>
      <c r="K27" s="6"/>
    </row>
    <row r="28" spans="2:11" x14ac:dyDescent="0.25">
      <c r="B28" s="4"/>
      <c r="C28" s="5"/>
      <c r="D28" s="5"/>
      <c r="E28" s="5"/>
      <c r="F28" s="5"/>
      <c r="G28" s="5"/>
      <c r="H28" s="5"/>
      <c r="I28" s="5"/>
      <c r="J28" s="5"/>
      <c r="K28" s="6"/>
    </row>
    <row r="29" spans="2:11" x14ac:dyDescent="0.25">
      <c r="B29" s="4"/>
      <c r="C29" s="5"/>
      <c r="D29" s="5"/>
      <c r="E29" s="5"/>
      <c r="F29" s="5"/>
      <c r="G29" s="5"/>
      <c r="H29" s="5"/>
      <c r="I29" s="5"/>
      <c r="J29" s="5"/>
      <c r="K29" s="6"/>
    </row>
    <row r="30" spans="2:11" x14ac:dyDescent="0.25">
      <c r="B30" s="4"/>
      <c r="C30" s="5"/>
      <c r="D30" s="5"/>
      <c r="E30" s="5"/>
      <c r="F30" s="5"/>
      <c r="G30" s="5"/>
      <c r="H30" s="5"/>
      <c r="I30" s="5"/>
      <c r="J30" s="5"/>
      <c r="K30" s="6"/>
    </row>
    <row r="31" spans="2:11" x14ac:dyDescent="0.25">
      <c r="B31" s="4"/>
      <c r="C31" s="5"/>
      <c r="D31" s="5"/>
      <c r="E31" s="5"/>
      <c r="F31" s="5"/>
      <c r="G31" s="5"/>
      <c r="H31" s="5"/>
      <c r="I31" s="5"/>
      <c r="J31" s="5"/>
      <c r="K31" s="6"/>
    </row>
    <row r="32" spans="2:11" x14ac:dyDescent="0.25">
      <c r="B32" s="4"/>
      <c r="C32" s="5"/>
      <c r="D32" s="5"/>
      <c r="E32" s="5"/>
      <c r="F32" s="5"/>
      <c r="G32" s="5"/>
      <c r="H32" s="5"/>
      <c r="I32" s="5"/>
      <c r="J32" s="5"/>
      <c r="K32" s="6"/>
    </row>
    <row r="33" spans="2:11" x14ac:dyDescent="0.25">
      <c r="B33" s="4"/>
      <c r="C33" s="5"/>
      <c r="D33" s="5"/>
      <c r="E33" s="5"/>
      <c r="F33" s="5"/>
      <c r="G33" s="5"/>
      <c r="H33" s="5"/>
      <c r="I33" s="5"/>
      <c r="J33" s="5"/>
      <c r="K33" s="6"/>
    </row>
    <row r="34" spans="2:11" x14ac:dyDescent="0.25">
      <c r="B34" s="4"/>
      <c r="C34" s="5"/>
      <c r="D34" s="5"/>
      <c r="E34" s="5"/>
      <c r="F34" s="5"/>
      <c r="G34" s="5"/>
      <c r="H34" s="5"/>
      <c r="I34" s="5"/>
      <c r="J34" s="5"/>
      <c r="K34" s="6"/>
    </row>
    <row r="35" spans="2:11" x14ac:dyDescent="0.25">
      <c r="B35" s="4"/>
      <c r="C35" s="5"/>
      <c r="D35" s="5"/>
      <c r="E35" s="5"/>
      <c r="F35" s="5"/>
      <c r="G35" s="5"/>
      <c r="H35" s="5"/>
      <c r="I35" s="5"/>
      <c r="J35" s="5"/>
      <c r="K35" s="6"/>
    </row>
    <row r="36" spans="2:11" x14ac:dyDescent="0.25">
      <c r="B36" s="4"/>
      <c r="C36" s="5"/>
      <c r="D36" s="5"/>
      <c r="E36" s="5"/>
      <c r="F36" s="5"/>
      <c r="G36" s="5"/>
      <c r="H36" s="5"/>
      <c r="I36" s="5"/>
      <c r="J36" s="5"/>
      <c r="K36" s="6"/>
    </row>
    <row r="37" spans="2:11" x14ac:dyDescent="0.25">
      <c r="B37" s="4"/>
      <c r="C37" s="5"/>
      <c r="D37" s="5"/>
      <c r="E37" s="5"/>
      <c r="F37" s="5"/>
      <c r="G37" s="5"/>
      <c r="H37" s="5"/>
      <c r="I37" s="5"/>
      <c r="J37" s="5"/>
      <c r="K37" s="6"/>
    </row>
    <row r="38" spans="2:11" x14ac:dyDescent="0.25">
      <c r="B38" s="4"/>
      <c r="C38" s="5"/>
      <c r="D38" s="5"/>
      <c r="E38" s="5"/>
      <c r="F38" s="5"/>
      <c r="G38" s="5"/>
      <c r="H38" s="5"/>
      <c r="I38" s="5"/>
      <c r="J38" s="5"/>
      <c r="K38" s="6"/>
    </row>
    <row r="39" spans="2:11" x14ac:dyDescent="0.25">
      <c r="B39" s="4"/>
      <c r="C39" s="5"/>
      <c r="D39" s="5"/>
      <c r="E39" s="5"/>
      <c r="F39" s="5"/>
      <c r="G39" s="5"/>
      <c r="H39" s="5"/>
      <c r="I39" s="5"/>
      <c r="J39" s="5"/>
      <c r="K39" s="6"/>
    </row>
    <row r="40" spans="2:11" x14ac:dyDescent="0.25">
      <c r="B40" s="4"/>
      <c r="C40" s="5"/>
      <c r="D40" s="5"/>
      <c r="E40" s="5"/>
      <c r="F40" s="5"/>
      <c r="G40" s="5"/>
      <c r="H40" s="5"/>
      <c r="I40" s="5"/>
      <c r="J40" s="5"/>
      <c r="K40" s="6"/>
    </row>
    <row r="41" spans="2:11" x14ac:dyDescent="0.25">
      <c r="B41" s="4"/>
      <c r="C41" s="5"/>
      <c r="D41" s="5"/>
      <c r="E41" s="5"/>
      <c r="F41" s="5"/>
      <c r="G41" s="5"/>
      <c r="H41" s="5"/>
      <c r="I41" s="5"/>
      <c r="J41" s="5"/>
      <c r="K41" s="6"/>
    </row>
    <row r="42" spans="2:11" x14ac:dyDescent="0.25">
      <c r="B42" s="4"/>
      <c r="C42" s="5"/>
      <c r="D42" s="5"/>
      <c r="E42" s="5"/>
      <c r="F42" s="5"/>
      <c r="G42" s="5"/>
      <c r="H42" s="5"/>
      <c r="I42" s="5"/>
      <c r="J42" s="5"/>
      <c r="K42" s="6"/>
    </row>
    <row r="43" spans="2:11" x14ac:dyDescent="0.25">
      <c r="B43" s="4"/>
      <c r="C43" s="5"/>
      <c r="D43" s="5"/>
      <c r="E43" s="5"/>
      <c r="F43" s="5"/>
      <c r="G43" s="5"/>
      <c r="H43" s="5"/>
      <c r="I43" s="5"/>
      <c r="J43" s="5"/>
      <c r="K43" s="6"/>
    </row>
    <row r="44" spans="2:11" x14ac:dyDescent="0.25">
      <c r="B44" s="4"/>
      <c r="C44" s="5"/>
      <c r="D44" s="5"/>
      <c r="E44" s="5"/>
      <c r="F44" s="5"/>
      <c r="G44" s="5"/>
      <c r="H44" s="5"/>
      <c r="I44" s="5"/>
      <c r="J44" s="5"/>
      <c r="K44" s="6"/>
    </row>
    <row r="45" spans="2:11" x14ac:dyDescent="0.25">
      <c r="B45" s="4"/>
      <c r="C45" s="5"/>
      <c r="D45" s="5"/>
      <c r="E45" s="5"/>
      <c r="F45" s="5"/>
      <c r="G45" s="5"/>
      <c r="H45" s="5"/>
      <c r="I45" s="5"/>
      <c r="J45" s="5"/>
      <c r="K45" s="6"/>
    </row>
    <row r="46" spans="2:11" x14ac:dyDescent="0.25">
      <c r="B46" s="4"/>
      <c r="C46" s="5"/>
      <c r="D46" s="5"/>
      <c r="E46" s="5"/>
      <c r="F46" s="5"/>
      <c r="G46" s="5"/>
      <c r="H46" s="5"/>
      <c r="I46" s="5"/>
      <c r="J46" s="5"/>
      <c r="K46" s="6"/>
    </row>
    <row r="47" spans="2:11" x14ac:dyDescent="0.25">
      <c r="B47" s="4"/>
      <c r="C47" s="5"/>
      <c r="D47" s="5"/>
      <c r="E47" s="5"/>
      <c r="F47" s="5"/>
      <c r="G47" s="5"/>
      <c r="H47" s="5"/>
      <c r="I47" s="5"/>
      <c r="J47" s="5"/>
      <c r="K47" s="6"/>
    </row>
    <row r="48" spans="2:11" x14ac:dyDescent="0.25">
      <c r="B48" s="4"/>
      <c r="C48" s="5"/>
      <c r="D48" s="5"/>
      <c r="E48" s="5"/>
      <c r="F48" s="5"/>
      <c r="G48" s="5"/>
      <c r="H48" s="5"/>
      <c r="I48" s="5"/>
      <c r="J48" s="5"/>
      <c r="K48" s="6"/>
    </row>
    <row r="49" spans="2:11" x14ac:dyDescent="0.25">
      <c r="B49" s="4"/>
      <c r="C49" s="5"/>
      <c r="D49" s="5"/>
      <c r="E49" s="5"/>
      <c r="F49" s="5"/>
      <c r="G49" s="5"/>
      <c r="H49" s="5"/>
      <c r="I49" s="5"/>
      <c r="J49" s="5"/>
      <c r="K49" s="6"/>
    </row>
    <row r="50" spans="2:11" x14ac:dyDescent="0.25">
      <c r="B50" s="4"/>
      <c r="C50" s="5"/>
      <c r="D50" s="5"/>
      <c r="E50" s="5"/>
      <c r="F50" s="5"/>
      <c r="G50" s="5"/>
      <c r="H50" s="5"/>
      <c r="I50" s="5"/>
      <c r="J50" s="5"/>
      <c r="K50" s="6"/>
    </row>
    <row r="51" spans="2:11" x14ac:dyDescent="0.25">
      <c r="B51" s="4"/>
      <c r="C51" s="5"/>
      <c r="D51" s="5"/>
      <c r="E51" s="5"/>
      <c r="F51" s="5"/>
      <c r="G51" s="5"/>
      <c r="H51" s="5"/>
      <c r="I51" s="5"/>
      <c r="J51" s="5"/>
      <c r="K51" s="6"/>
    </row>
    <row r="52" spans="2:11" x14ac:dyDescent="0.25">
      <c r="B52" s="4"/>
      <c r="C52" s="5"/>
      <c r="D52" s="5"/>
      <c r="E52" s="5"/>
      <c r="F52" s="5"/>
      <c r="G52" s="5"/>
      <c r="H52" s="5"/>
      <c r="I52" s="5"/>
      <c r="J52" s="5"/>
      <c r="K52" s="6"/>
    </row>
    <row r="53" spans="2:11" ht="15.75" thickBot="1" x14ac:dyDescent="0.3">
      <c r="B53" s="7"/>
      <c r="C53" s="8"/>
      <c r="D53" s="8"/>
      <c r="E53" s="8"/>
      <c r="F53" s="8"/>
      <c r="G53" s="8"/>
      <c r="H53" s="8"/>
      <c r="I53" s="8"/>
      <c r="J53" s="8"/>
      <c r="K53" s="9"/>
    </row>
  </sheetData>
  <mergeCells count="1">
    <mergeCell ref="B2:K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101"/>
  <sheetViews>
    <sheetView zoomScale="80" zoomScaleNormal="80" workbookViewId="0">
      <selection activeCell="H24" sqref="H24"/>
    </sheetView>
  </sheetViews>
  <sheetFormatPr defaultColWidth="11.42578125" defaultRowHeight="15" x14ac:dyDescent="0.25"/>
  <sheetData>
    <row r="1" spans="1:3" x14ac:dyDescent="0.25">
      <c r="A1" t="s">
        <v>21</v>
      </c>
      <c r="B1" s="18" t="s">
        <v>22</v>
      </c>
      <c r="C1" s="18" t="s">
        <v>23</v>
      </c>
    </row>
    <row r="2" spans="1:3" x14ac:dyDescent="0.25">
      <c r="A2">
        <v>1</v>
      </c>
      <c r="B2">
        <v>0</v>
      </c>
      <c r="C2">
        <v>0</v>
      </c>
    </row>
    <row r="3" spans="1:3" x14ac:dyDescent="0.25">
      <c r="A3">
        <v>2</v>
      </c>
      <c r="B3">
        <v>51.75</v>
      </c>
      <c r="C3">
        <v>1.8956043956043955E-3</v>
      </c>
    </row>
    <row r="4" spans="1:3" x14ac:dyDescent="0.25">
      <c r="A4">
        <v>3</v>
      </c>
      <c r="B4">
        <v>56.538137547838865</v>
      </c>
      <c r="C4">
        <v>2.0822476492579583E-3</v>
      </c>
    </row>
    <row r="5" spans="1:3" x14ac:dyDescent="0.25">
      <c r="A5">
        <v>4</v>
      </c>
      <c r="B5">
        <v>60.82614896295393</v>
      </c>
      <c r="C5">
        <v>2.2688909029115211E-3</v>
      </c>
    </row>
    <row r="6" spans="1:3" x14ac:dyDescent="0.25">
      <c r="A6">
        <v>5</v>
      </c>
      <c r="B6">
        <v>64.733787814360895</v>
      </c>
      <c r="C6">
        <v>2.4555341565650839E-3</v>
      </c>
    </row>
    <row r="7" spans="1:3" x14ac:dyDescent="0.25">
      <c r="A7">
        <v>6</v>
      </c>
      <c r="B7">
        <v>68.338806064046238</v>
      </c>
      <c r="C7" s="18">
        <v>2.6421774102186467E-3</v>
      </c>
    </row>
    <row r="8" spans="1:3" x14ac:dyDescent="0.25">
      <c r="A8">
        <v>7</v>
      </c>
      <c r="B8">
        <v>71.695106108329796</v>
      </c>
      <c r="C8" s="18">
        <v>2.8288206638722095E-3</v>
      </c>
    </row>
    <row r="9" spans="1:3" x14ac:dyDescent="0.25">
      <c r="A9">
        <v>8</v>
      </c>
      <c r="B9">
        <v>74.841896116278733</v>
      </c>
      <c r="C9">
        <v>3.0154639175257723E-3</v>
      </c>
    </row>
    <row r="10" spans="1:3" x14ac:dyDescent="0.25">
      <c r="A10">
        <v>9</v>
      </c>
      <c r="B10">
        <v>77.808765142429706</v>
      </c>
      <c r="C10">
        <v>3.2021071711793351E-3</v>
      </c>
    </row>
    <row r="11" spans="1:3" x14ac:dyDescent="0.25">
      <c r="A11">
        <v>10</v>
      </c>
      <c r="B11">
        <v>80.618702970083746</v>
      </c>
      <c r="C11">
        <v>3.3887504248328979E-3</v>
      </c>
    </row>
    <row r="12" spans="1:3" x14ac:dyDescent="0.25">
      <c r="A12">
        <v>11</v>
      </c>
      <c r="B12">
        <v>83.289999155979814</v>
      </c>
      <c r="C12">
        <v>3.5753936784864607E-3</v>
      </c>
    </row>
    <row r="13" spans="1:3" x14ac:dyDescent="0.25">
      <c r="A13">
        <v>12</v>
      </c>
      <c r="B13">
        <v>85.837491525949247</v>
      </c>
      <c r="C13">
        <v>3.7620369321400234E-3</v>
      </c>
    </row>
    <row r="14" spans="1:3" x14ac:dyDescent="0.25">
      <c r="A14">
        <v>13</v>
      </c>
      <c r="B14">
        <v>88.273417533470123</v>
      </c>
      <c r="C14">
        <v>3.9486801857935867E-3</v>
      </c>
    </row>
    <row r="15" spans="1:3" x14ac:dyDescent="0.25">
      <c r="A15">
        <v>14</v>
      </c>
      <c r="B15">
        <v>90.60801285660402</v>
      </c>
      <c r="C15">
        <v>4.1353234394471495E-3</v>
      </c>
    </row>
    <row r="16" spans="1:3" x14ac:dyDescent="0.25">
      <c r="A16">
        <v>15</v>
      </c>
      <c r="B16">
        <v>92.849943377762784</v>
      </c>
      <c r="C16">
        <v>4.3219666931007122E-3</v>
      </c>
    </row>
    <row r="17" spans="1:3" x14ac:dyDescent="0.25">
      <c r="A17">
        <v>16</v>
      </c>
      <c r="B17">
        <v>95.006623991918303</v>
      </c>
      <c r="C17">
        <v>4.508609946754275E-3</v>
      </c>
    </row>
    <row r="18" spans="1:3" x14ac:dyDescent="0.25">
      <c r="A18">
        <v>17</v>
      </c>
      <c r="B18">
        <v>97.084458529376846</v>
      </c>
      <c r="C18">
        <v>4.6952532004078378E-3</v>
      </c>
    </row>
    <row r="19" spans="1:3" x14ac:dyDescent="0.25">
      <c r="A19">
        <v>18</v>
      </c>
      <c r="B19">
        <v>99.089023435004478</v>
      </c>
      <c r="C19">
        <v>4.8818964540614006E-3</v>
      </c>
    </row>
    <row r="20" spans="1:3" x14ac:dyDescent="0.25">
      <c r="A20">
        <v>19</v>
      </c>
      <c r="B20">
        <v>101.02521054050067</v>
      </c>
      <c r="C20">
        <v>5.0685397077149634E-3</v>
      </c>
    </row>
    <row r="21" spans="1:3" x14ac:dyDescent="0.25">
      <c r="A21">
        <v>20</v>
      </c>
      <c r="B21">
        <v>102.89733955353645</v>
      </c>
      <c r="C21">
        <v>5.2551829613685262E-3</v>
      </c>
    </row>
    <row r="22" spans="1:3" x14ac:dyDescent="0.25">
      <c r="A22">
        <v>21</v>
      </c>
      <c r="B22">
        <v>104.7092477712665</v>
      </c>
      <c r="C22">
        <v>5.441826215022089E-3</v>
      </c>
    </row>
    <row r="23" spans="1:3" x14ac:dyDescent="0.25">
      <c r="A23">
        <v>22</v>
      </c>
      <c r="B23">
        <v>106.4643624192019</v>
      </c>
      <c r="C23">
        <v>5.6284694686756518E-3</v>
      </c>
    </row>
    <row r="24" spans="1:3" x14ac:dyDescent="0.25">
      <c r="A24">
        <v>23</v>
      </c>
      <c r="B24">
        <v>108.16575956406606</v>
      </c>
      <c r="C24">
        <v>5.8151127223292146E-3</v>
      </c>
    </row>
    <row r="25" spans="1:3" x14ac:dyDescent="0.25">
      <c r="A25">
        <v>24</v>
      </c>
      <c r="B25">
        <v>109.81621252988073</v>
      </c>
      <c r="C25">
        <v>6.0017559759827773E-3</v>
      </c>
    </row>
    <row r="26" spans="1:3" x14ac:dyDescent="0.25">
      <c r="A26">
        <v>25</v>
      </c>
      <c r="B26">
        <v>111.41823201937699</v>
      </c>
      <c r="C26">
        <v>6.1883992296363401E-3</v>
      </c>
    </row>
    <row r="27" spans="1:3" x14ac:dyDescent="0.25">
      <c r="A27">
        <v>26</v>
      </c>
      <c r="B27">
        <v>112.97409961641196</v>
      </c>
      <c r="C27">
        <v>6.3750424832899029E-3</v>
      </c>
    </row>
    <row r="28" spans="1:3" x14ac:dyDescent="0.25">
      <c r="A28">
        <v>27</v>
      </c>
      <c r="B28">
        <v>114.48589595879356</v>
      </c>
      <c r="C28">
        <v>6.5616857369434657E-3</v>
      </c>
    </row>
    <row r="29" spans="1:3" x14ac:dyDescent="0.25">
      <c r="A29">
        <v>28</v>
      </c>
      <c r="B29">
        <v>115.95552458392629</v>
      </c>
      <c r="C29">
        <v>6.7483289905970285E-3</v>
      </c>
    </row>
    <row r="30" spans="1:3" x14ac:dyDescent="0.25">
      <c r="A30">
        <v>29</v>
      </c>
      <c r="B30">
        <v>117.38473223401013</v>
      </c>
      <c r="C30">
        <v>6.9349722442505913E-3</v>
      </c>
    </row>
    <row r="31" spans="1:3" x14ac:dyDescent="0.25">
      <c r="A31">
        <v>30</v>
      </c>
      <c r="B31">
        <v>118.77512624370905</v>
      </c>
      <c r="C31">
        <v>7.1216154979041541E-3</v>
      </c>
    </row>
    <row r="32" spans="1:3" x14ac:dyDescent="0.25">
      <c r="A32">
        <v>31</v>
      </c>
      <c r="B32">
        <v>120.12818950755045</v>
      </c>
      <c r="C32">
        <v>7.3082587515577169E-3</v>
      </c>
    </row>
    <row r="33" spans="1:3" x14ac:dyDescent="0.25">
      <c r="A33">
        <v>32</v>
      </c>
      <c r="B33">
        <v>121.44529342704929</v>
      </c>
      <c r="C33">
        <v>7.4949020052112797E-3</v>
      </c>
    </row>
    <row r="34" spans="1:3" x14ac:dyDescent="0.25">
      <c r="A34">
        <v>33</v>
      </c>
      <c r="B34">
        <v>122.72770916160843</v>
      </c>
      <c r="C34">
        <v>7.6815452588648424E-3</v>
      </c>
    </row>
    <row r="35" spans="1:3" x14ac:dyDescent="0.25">
      <c r="A35">
        <v>34</v>
      </c>
      <c r="B35">
        <v>123.97661744748127</v>
      </c>
      <c r="C35">
        <v>7.8681885125184061E-3</v>
      </c>
    </row>
    <row r="36" spans="1:3" x14ac:dyDescent="0.25">
      <c r="A36">
        <v>35</v>
      </c>
      <c r="B36">
        <v>125.19311720169316</v>
      </c>
      <c r="C36">
        <v>8.0548317661719698E-3</v>
      </c>
    </row>
    <row r="37" spans="1:3" x14ac:dyDescent="0.25">
      <c r="A37">
        <v>36</v>
      </c>
      <c r="B37">
        <v>126.37823308997763</v>
      </c>
      <c r="C37">
        <v>8.2414750198255334E-3</v>
      </c>
    </row>
    <row r="38" spans="1:3" x14ac:dyDescent="0.25">
      <c r="A38">
        <v>37</v>
      </c>
      <c r="B38">
        <v>127.53292220736654</v>
      </c>
      <c r="C38">
        <v>8.4281182734790971E-3</v>
      </c>
    </row>
    <row r="39" spans="1:3" x14ac:dyDescent="0.25">
      <c r="A39">
        <v>38</v>
      </c>
      <c r="B39">
        <v>128.6580799954705</v>
      </c>
      <c r="C39">
        <v>8.6147615271326607E-3</v>
      </c>
    </row>
    <row r="40" spans="1:3" x14ac:dyDescent="0.25">
      <c r="A40">
        <v>39</v>
      </c>
      <c r="B40">
        <v>129.75454550046956</v>
      </c>
      <c r="C40">
        <v>8.8014047807862244E-3</v>
      </c>
    </row>
    <row r="41" spans="1:3" x14ac:dyDescent="0.25">
      <c r="A41">
        <v>40</v>
      </c>
      <c r="B41">
        <v>130.82310605945639</v>
      </c>
      <c r="C41">
        <v>8.988048034439788E-3</v>
      </c>
    </row>
    <row r="42" spans="1:3" x14ac:dyDescent="0.25">
      <c r="A42">
        <v>41</v>
      </c>
      <c r="B42">
        <v>131.86450148930416</v>
      </c>
      <c r="C42">
        <v>9.1746912880933517E-3</v>
      </c>
    </row>
    <row r="43" spans="1:3" x14ac:dyDescent="0.25">
      <c r="A43">
        <v>42</v>
      </c>
      <c r="B43">
        <v>132.87942784109666</v>
      </c>
      <c r="C43">
        <v>9.3613345417469154E-3</v>
      </c>
    </row>
    <row r="44" spans="1:3" x14ac:dyDescent="0.25">
      <c r="A44">
        <v>43</v>
      </c>
      <c r="B44">
        <v>133.86854077390936</v>
      </c>
      <c r="C44">
        <v>9.547977795400479E-3</v>
      </c>
    </row>
    <row r="45" spans="1:3" x14ac:dyDescent="0.25">
      <c r="A45">
        <v>44</v>
      </c>
      <c r="B45">
        <v>134.83245859401464</v>
      </c>
      <c r="C45">
        <v>9.7346210490540427E-3</v>
      </c>
    </row>
    <row r="46" spans="1:3" x14ac:dyDescent="0.25">
      <c r="A46">
        <v>45</v>
      </c>
      <c r="B46">
        <v>135.7717649991182</v>
      </c>
      <c r="C46">
        <v>9.9212643027076063E-3</v>
      </c>
    </row>
    <row r="47" spans="1:3" x14ac:dyDescent="0.25">
      <c r="A47">
        <v>46</v>
      </c>
      <c r="B47">
        <v>136.68701156179404</v>
      </c>
      <c r="C47">
        <v>1.010790755636117E-2</v>
      </c>
    </row>
    <row r="48" spans="1:3" x14ac:dyDescent="0.25">
      <c r="A48">
        <v>47</v>
      </c>
      <c r="B48">
        <v>137.57871998168864</v>
      </c>
      <c r="C48">
        <v>1.0294550810014734E-2</v>
      </c>
    </row>
    <row r="49" spans="1:3" x14ac:dyDescent="0.25">
      <c r="A49">
        <v>48</v>
      </c>
      <c r="B49">
        <v>138.44738413217095</v>
      </c>
      <c r="C49">
        <v>1.0481194063668297E-2</v>
      </c>
    </row>
    <row r="50" spans="1:3" x14ac:dyDescent="0.25">
      <c r="A50">
        <v>49</v>
      </c>
      <c r="B50">
        <v>139.29347192378725</v>
      </c>
      <c r="C50">
        <v>1.0667837317321861E-2</v>
      </c>
    </row>
    <row r="51" spans="1:3" x14ac:dyDescent="0.25">
      <c r="A51">
        <v>50</v>
      </c>
      <c r="B51">
        <v>140.11742700404983</v>
      </c>
      <c r="C51">
        <v>1.0854480570975425E-2</v>
      </c>
    </row>
    <row r="52" spans="1:3" x14ac:dyDescent="0.25">
      <c r="A52">
        <v>51</v>
      </c>
      <c r="B52">
        <v>140.91967031066321</v>
      </c>
      <c r="C52">
        <v>1.1041123824628988E-2</v>
      </c>
    </row>
    <row r="53" spans="1:3" x14ac:dyDescent="0.25">
      <c r="A53">
        <v>52</v>
      </c>
      <c r="B53">
        <v>141.70060149320798</v>
      </c>
      <c r="C53">
        <v>1.1227767078282552E-2</v>
      </c>
    </row>
    <row r="54" spans="1:3" x14ac:dyDescent="0.25">
      <c r="A54">
        <v>53</v>
      </c>
      <c r="B54">
        <v>142.4606002165041</v>
      </c>
      <c r="C54">
        <v>1.1414410331936116E-2</v>
      </c>
    </row>
    <row r="55" spans="1:3" x14ac:dyDescent="0.25">
      <c r="A55">
        <v>54</v>
      </c>
      <c r="B55">
        <v>143.2000273573243</v>
      </c>
      <c r="C55">
        <v>1.1601053585589679E-2</v>
      </c>
    </row>
    <row r="56" spans="1:3" x14ac:dyDescent="0.25">
      <c r="A56">
        <v>55</v>
      </c>
      <c r="B56">
        <v>143.91922610478028</v>
      </c>
      <c r="C56">
        <v>1.1787696839243243E-2</v>
      </c>
    </row>
    <row r="57" spans="1:3" x14ac:dyDescent="0.25">
      <c r="A57">
        <v>56</v>
      </c>
      <c r="B57">
        <v>144.61852297353403</v>
      </c>
      <c r="C57">
        <v>1.1974340092896807E-2</v>
      </c>
    </row>
    <row r="58" spans="1:3" x14ac:dyDescent="0.25">
      <c r="A58">
        <v>57</v>
      </c>
      <c r="B58">
        <v>145.29822873796741</v>
      </c>
      <c r="C58">
        <v>1.216098334655037E-2</v>
      </c>
    </row>
    <row r="59" spans="1:3" x14ac:dyDescent="0.25">
      <c r="A59">
        <v>58</v>
      </c>
      <c r="B59">
        <v>145.9586392945493</v>
      </c>
      <c r="C59">
        <v>1.2347626600203934E-2</v>
      </c>
    </row>
    <row r="60" spans="1:3" x14ac:dyDescent="0.25">
      <c r="A60">
        <v>59</v>
      </c>
      <c r="B60">
        <v>146.60003645886161</v>
      </c>
      <c r="C60">
        <v>1.2534269853857498E-2</v>
      </c>
    </row>
    <row r="61" spans="1:3" x14ac:dyDescent="0.25">
      <c r="A61">
        <v>60</v>
      </c>
      <c r="B61">
        <v>147.22268870305751</v>
      </c>
      <c r="C61">
        <v>1.2720913107511061E-2</v>
      </c>
    </row>
    <row r="62" spans="1:3" x14ac:dyDescent="0.25">
      <c r="A62">
        <v>61</v>
      </c>
      <c r="B62">
        <v>147.82685183892292</v>
      </c>
      <c r="C62">
        <v>1.2907556361164625E-2</v>
      </c>
    </row>
    <row r="63" spans="1:3" x14ac:dyDescent="0.25">
      <c r="A63">
        <v>62</v>
      </c>
      <c r="B63">
        <v>148.41276965118035</v>
      </c>
      <c r="C63">
        <v>1.3094199614818188E-2</v>
      </c>
    </row>
    <row r="64" spans="1:3" x14ac:dyDescent="0.25">
      <c r="A64">
        <v>63</v>
      </c>
      <c r="B64">
        <v>148.98067448520334</v>
      </c>
      <c r="C64">
        <v>1.3280842868471752E-2</v>
      </c>
    </row>
    <row r="65" spans="1:3" x14ac:dyDescent="0.25">
      <c r="A65">
        <v>64</v>
      </c>
      <c r="B65">
        <v>149.53078779289356</v>
      </c>
      <c r="C65">
        <v>1.3467486122125316E-2</v>
      </c>
    </row>
    <row r="66" spans="1:3" x14ac:dyDescent="0.25">
      <c r="A66">
        <v>65</v>
      </c>
      <c r="B66">
        <v>150.06332064010289</v>
      </c>
      <c r="C66">
        <v>1.3654129375778879E-2</v>
      </c>
    </row>
    <row r="67" spans="1:3" x14ac:dyDescent="0.25">
      <c r="A67">
        <v>66</v>
      </c>
      <c r="B67">
        <v>150.57847417865432</v>
      </c>
      <c r="C67">
        <v>1.3840772629432443E-2</v>
      </c>
    </row>
    <row r="68" spans="1:3" x14ac:dyDescent="0.25">
      <c r="A68">
        <v>67</v>
      </c>
      <c r="B68">
        <v>151.07644008572183</v>
      </c>
      <c r="C68">
        <v>1.4027415883086007E-2</v>
      </c>
    </row>
    <row r="69" spans="1:3" x14ac:dyDescent="0.25">
      <c r="A69">
        <v>68</v>
      </c>
      <c r="B69">
        <v>151.55740097306943</v>
      </c>
      <c r="C69">
        <v>1.421405913673957E-2</v>
      </c>
    </row>
    <row r="70" spans="1:3" x14ac:dyDescent="0.25">
      <c r="A70">
        <v>69</v>
      </c>
      <c r="B70">
        <v>152.02153076841421</v>
      </c>
      <c r="C70">
        <v>1.4400702390393134E-2</v>
      </c>
    </row>
    <row r="71" spans="1:3" x14ac:dyDescent="0.25">
      <c r="A71">
        <v>70</v>
      </c>
      <c r="B71">
        <v>152.4689950709697</v>
      </c>
      <c r="C71">
        <v>1.4587345644046698E-2</v>
      </c>
    </row>
    <row r="72" spans="1:3" x14ac:dyDescent="0.25">
      <c r="A72">
        <v>71</v>
      </c>
      <c r="B72">
        <v>152.89995148303765</v>
      </c>
      <c r="C72">
        <v>1.4773988897700261E-2</v>
      </c>
    </row>
    <row r="73" spans="1:3" x14ac:dyDescent="0.25">
      <c r="A73">
        <v>72</v>
      </c>
      <c r="B73">
        <v>153.31454991934743</v>
      </c>
      <c r="C73">
        <v>1.4960632151353825E-2</v>
      </c>
    </row>
    <row r="74" spans="1:3" x14ac:dyDescent="0.25">
      <c r="A74">
        <v>73</v>
      </c>
      <c r="B74">
        <v>153.71293289568951</v>
      </c>
      <c r="C74">
        <v>1.5147275405007389E-2</v>
      </c>
    </row>
    <row r="75" spans="1:3" x14ac:dyDescent="0.25">
      <c r="A75">
        <v>74</v>
      </c>
      <c r="B75">
        <v>154.09523579825267</v>
      </c>
      <c r="C75">
        <v>1.5333918658660952E-2</v>
      </c>
    </row>
    <row r="76" spans="1:3" x14ac:dyDescent="0.25">
      <c r="A76">
        <v>75</v>
      </c>
      <c r="B76">
        <v>154.46158713495004</v>
      </c>
      <c r="C76">
        <v>1.5520561912314516E-2</v>
      </c>
    </row>
    <row r="77" spans="1:3" x14ac:dyDescent="0.25">
      <c r="A77">
        <v>76</v>
      </c>
      <c r="B77">
        <v>154.81210876990713</v>
      </c>
      <c r="C77">
        <v>1.5707205165968078E-2</v>
      </c>
    </row>
    <row r="78" spans="1:3" x14ac:dyDescent="0.25">
      <c r="A78">
        <v>77</v>
      </c>
      <c r="B78">
        <v>155.14691614218219</v>
      </c>
      <c r="C78">
        <v>1.5893848419621642E-2</v>
      </c>
    </row>
    <row r="79" spans="1:3" x14ac:dyDescent="0.25">
      <c r="A79">
        <v>78</v>
      </c>
      <c r="B79">
        <v>155.46611846969751</v>
      </c>
      <c r="C79">
        <v>1.6080491673275205E-2</v>
      </c>
    </row>
    <row r="80" spans="1:3" x14ac:dyDescent="0.25">
      <c r="A80">
        <v>79</v>
      </c>
      <c r="B80">
        <v>155.7698189392749</v>
      </c>
      <c r="C80">
        <v>1.6267134926928769E-2</v>
      </c>
    </row>
    <row r="81" spans="1:3" x14ac:dyDescent="0.25">
      <c r="A81">
        <v>80</v>
      </c>
      <c r="B81">
        <v>156.05811488359319</v>
      </c>
      <c r="C81">
        <v>1.6453778180582333E-2</v>
      </c>
    </row>
    <row r="82" spans="1:3" x14ac:dyDescent="0.25">
      <c r="A82">
        <v>81</v>
      </c>
      <c r="B82">
        <v>156.33109794581296</v>
      </c>
      <c r="C82">
        <v>1.6640421434235896E-2</v>
      </c>
    </row>
    <row r="83" spans="1:3" x14ac:dyDescent="0.25">
      <c r="A83">
        <v>82</v>
      </c>
      <c r="B83">
        <v>156.58885423255197</v>
      </c>
      <c r="C83">
        <v>1.682706468788946E-2</v>
      </c>
    </row>
    <row r="84" spans="1:3" x14ac:dyDescent="0.25">
      <c r="A84">
        <v>83</v>
      </c>
      <c r="B84">
        <v>156.83146445583299</v>
      </c>
      <c r="C84">
        <v>1.7013707941543024E-2</v>
      </c>
    </row>
    <row r="85" spans="1:3" x14ac:dyDescent="0.25">
      <c r="A85">
        <v>84</v>
      </c>
      <c r="B85">
        <v>157.05900406457434</v>
      </c>
      <c r="C85">
        <v>1.7200351195196587E-2</v>
      </c>
    </row>
    <row r="86" spans="1:3" x14ac:dyDescent="0.25">
      <c r="A86">
        <v>85</v>
      </c>
      <c r="B86">
        <v>157.27154336614018</v>
      </c>
      <c r="C86">
        <v>1.7386994448850151E-2</v>
      </c>
    </row>
    <row r="87" spans="1:3" x14ac:dyDescent="0.25">
      <c r="A87">
        <v>86</v>
      </c>
      <c r="B87">
        <v>157.46914763842412</v>
      </c>
      <c r="C87">
        <v>1.7573637702503715E-2</v>
      </c>
    </row>
    <row r="88" spans="1:3" x14ac:dyDescent="0.25">
      <c r="A88">
        <v>87</v>
      </c>
      <c r="B88">
        <v>157.65187723289475</v>
      </c>
      <c r="C88">
        <v>1.7760280956157278E-2</v>
      </c>
    </row>
    <row r="89" spans="1:3" x14ac:dyDescent="0.25">
      <c r="A89">
        <v>88</v>
      </c>
      <c r="B89">
        <v>157.81978766899397</v>
      </c>
      <c r="C89">
        <v>1.7946924209810842E-2</v>
      </c>
    </row>
    <row r="90" spans="1:3" x14ac:dyDescent="0.25">
      <c r="A90">
        <v>89</v>
      </c>
      <c r="B90">
        <v>157.97292972023885</v>
      </c>
      <c r="C90">
        <v>1.8133567463464405E-2</v>
      </c>
    </row>
    <row r="91" spans="1:3" x14ac:dyDescent="0.25">
      <c r="A91">
        <v>90</v>
      </c>
      <c r="B91">
        <v>158.11134949234696</v>
      </c>
      <c r="C91">
        <v>1.8320210717117969E-2</v>
      </c>
    </row>
    <row r="92" spans="1:3" x14ac:dyDescent="0.25">
      <c r="A92">
        <v>91</v>
      </c>
      <c r="B92">
        <v>158.23508849366897</v>
      </c>
      <c r="C92">
        <v>1.8506853970771533E-2</v>
      </c>
    </row>
    <row r="93" spans="1:3" x14ac:dyDescent="0.25">
      <c r="A93">
        <v>92</v>
      </c>
      <c r="B93">
        <v>158.34418369818394</v>
      </c>
      <c r="C93">
        <v>1.8693497224425096E-2</v>
      </c>
    </row>
    <row r="94" spans="1:3" x14ac:dyDescent="0.25">
      <c r="A94">
        <v>93</v>
      </c>
      <c r="B94">
        <v>158.43866760128302</v>
      </c>
      <c r="C94">
        <v>1.888014047807866E-2</v>
      </c>
    </row>
    <row r="95" spans="1:3" x14ac:dyDescent="0.25">
      <c r="A95">
        <v>94</v>
      </c>
      <c r="B95">
        <v>158.51856826853972</v>
      </c>
      <c r="C95">
        <v>1.9066783731732224E-2</v>
      </c>
    </row>
    <row r="96" spans="1:3" x14ac:dyDescent="0.25">
      <c r="A96">
        <v>95</v>
      </c>
      <c r="B96">
        <v>158.58390937763909</v>
      </c>
      <c r="C96">
        <v>1.9253426985385787E-2</v>
      </c>
    </row>
    <row r="97" spans="1:3" x14ac:dyDescent="0.25">
      <c r="A97">
        <v>96</v>
      </c>
      <c r="B97">
        <v>158.63471025361252</v>
      </c>
      <c r="C97">
        <v>1.9440070239039351E-2</v>
      </c>
    </row>
    <row r="98" spans="1:3" x14ac:dyDescent="0.25">
      <c r="A98">
        <v>97</v>
      </c>
      <c r="B98">
        <v>158.67098589750162</v>
      </c>
      <c r="C98">
        <v>1.9626713492692915E-2</v>
      </c>
    </row>
    <row r="99" spans="1:3" x14ac:dyDescent="0.25">
      <c r="A99">
        <v>98</v>
      </c>
      <c r="B99">
        <v>158.69274700854993</v>
      </c>
      <c r="C99">
        <v>1.9813356746346478E-2</v>
      </c>
    </row>
    <row r="100" spans="1:3" x14ac:dyDescent="0.25">
      <c r="A100">
        <v>99</v>
      </c>
      <c r="B100">
        <v>158.70000000000002</v>
      </c>
      <c r="C100">
        <v>2.0000000000000042E-2</v>
      </c>
    </row>
    <row r="101" spans="1:3" x14ac:dyDescent="0.25">
      <c r="A101">
        <v>100</v>
      </c>
      <c r="B101">
        <v>158.70000000000002</v>
      </c>
      <c r="C101">
        <v>0.15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Y102"/>
  <sheetViews>
    <sheetView workbookViewId="0">
      <selection activeCell="J16" sqref="J16"/>
    </sheetView>
  </sheetViews>
  <sheetFormatPr defaultColWidth="11.42578125" defaultRowHeight="15" x14ac:dyDescent="0.25"/>
  <sheetData>
    <row r="1" spans="1:25" x14ac:dyDescent="0.25">
      <c r="A1" s="43" t="s">
        <v>21</v>
      </c>
      <c r="B1" s="43" t="s">
        <v>24</v>
      </c>
      <c r="C1" s="43"/>
      <c r="D1" s="43" t="s">
        <v>25</v>
      </c>
      <c r="E1" s="43"/>
      <c r="F1" t="s">
        <v>26</v>
      </c>
      <c r="H1" s="43" t="s">
        <v>27</v>
      </c>
      <c r="I1" s="43"/>
    </row>
    <row r="2" spans="1:25" x14ac:dyDescent="0.25">
      <c r="A2" s="43"/>
      <c r="B2" s="18" t="s">
        <v>22</v>
      </c>
      <c r="C2" s="18" t="s">
        <v>23</v>
      </c>
      <c r="D2" s="18" t="s">
        <v>22</v>
      </c>
      <c r="E2" s="18" t="s">
        <v>23</v>
      </c>
      <c r="F2" s="18" t="s">
        <v>23</v>
      </c>
      <c r="H2" s="18" t="s">
        <v>22</v>
      </c>
      <c r="I2" s="18" t="s">
        <v>23</v>
      </c>
    </row>
    <row r="3" spans="1:25" x14ac:dyDescent="0.25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H3" s="20">
        <v>51.848097527472532</v>
      </c>
      <c r="I3" s="20">
        <v>0</v>
      </c>
    </row>
    <row r="4" spans="1:25" x14ac:dyDescent="0.25">
      <c r="A4">
        <v>2</v>
      </c>
      <c r="B4">
        <v>51.75</v>
      </c>
      <c r="C4">
        <v>1.8956043956043955E-3</v>
      </c>
      <c r="D4">
        <v>51.848097527472532</v>
      </c>
      <c r="E4">
        <v>1.893810004870907E-3</v>
      </c>
      <c r="F4" s="19">
        <v>0</v>
      </c>
      <c r="H4" s="20">
        <v>56.655863951841269</v>
      </c>
      <c r="I4" s="20">
        <v>4.776404439365417E-6</v>
      </c>
    </row>
    <row r="5" spans="1:25" x14ac:dyDescent="0.25">
      <c r="A5">
        <v>3</v>
      </c>
      <c r="B5">
        <v>56.538137547838865</v>
      </c>
      <c r="C5">
        <v>2.0822476492579583E-3</v>
      </c>
      <c r="D5">
        <v>56.655863951841269</v>
      </c>
      <c r="E5">
        <v>2.0800827763016831E-3</v>
      </c>
      <c r="F5">
        <v>4.776404439365417E-6</v>
      </c>
      <c r="H5" s="20">
        <v>60.964156858995125</v>
      </c>
      <c r="I5" s="20">
        <v>3.3201557784918578E-5</v>
      </c>
    </row>
    <row r="6" spans="1:25" x14ac:dyDescent="0.25">
      <c r="A6">
        <v>4</v>
      </c>
      <c r="B6">
        <v>60.82614896295393</v>
      </c>
      <c r="C6">
        <v>2.2688909029115211E-3</v>
      </c>
      <c r="D6">
        <v>60.964156858995125</v>
      </c>
      <c r="E6">
        <v>2.2663208566492087E-3</v>
      </c>
      <c r="F6">
        <v>3.3201557784918578E-5</v>
      </c>
      <c r="H6" s="20">
        <v>64.892743841422899</v>
      </c>
      <c r="I6" s="20">
        <v>7.5500674897330776E-5</v>
      </c>
    </row>
    <row r="7" spans="1:25" x14ac:dyDescent="0.25">
      <c r="A7">
        <v>5</v>
      </c>
      <c r="B7">
        <v>64.733787814360895</v>
      </c>
      <c r="C7">
        <v>2.4555341565650839E-3</v>
      </c>
      <c r="D7">
        <v>64.892743841422899</v>
      </c>
      <c r="E7">
        <v>2.4525242588322354E-3</v>
      </c>
      <c r="F7">
        <v>7.5500674897330776E-5</v>
      </c>
      <c r="H7" s="20">
        <v>68.519369313669969</v>
      </c>
      <c r="I7" s="20">
        <v>1.288259879362267E-4</v>
      </c>
    </row>
    <row r="8" spans="1:25" x14ac:dyDescent="0.25">
      <c r="A8">
        <v>6</v>
      </c>
      <c r="B8">
        <v>68.338806064046238</v>
      </c>
      <c r="C8">
        <v>2.6421774102186467E-3</v>
      </c>
      <c r="D8">
        <v>68.519369313669969</v>
      </c>
      <c r="E8">
        <v>2.6386929957629653E-3</v>
      </c>
      <c r="F8">
        <v>1.288259879362267E-4</v>
      </c>
      <c r="H8" s="20">
        <v>71.89791870598755</v>
      </c>
      <c r="I8" s="20">
        <v>1.9120368452267078E-4</v>
      </c>
      <c r="X8" s="18" t="s">
        <v>23</v>
      </c>
      <c r="Y8" s="18" t="s">
        <v>22</v>
      </c>
    </row>
    <row r="9" spans="1:25" x14ac:dyDescent="0.25">
      <c r="A9">
        <v>7</v>
      </c>
      <c r="B9">
        <v>71.695106108329796</v>
      </c>
      <c r="C9">
        <v>2.8288206638722095E-3</v>
      </c>
      <c r="D9">
        <v>71.89791870598755</v>
      </c>
      <c r="E9">
        <v>2.8248270803463904E-3</v>
      </c>
      <c r="F9">
        <v>1.9120368452267078E-4</v>
      </c>
      <c r="H9" s="20">
        <v>75.067579153536585</v>
      </c>
      <c r="I9" s="20">
        <v>2.6119835135741303E-4</v>
      </c>
      <c r="X9" s="20">
        <v>0</v>
      </c>
      <c r="Y9" s="20">
        <v>51.848097527472532</v>
      </c>
    </row>
    <row r="10" spans="1:25" x14ac:dyDescent="0.25">
      <c r="A10">
        <v>8</v>
      </c>
      <c r="B10">
        <v>74.841896116278733</v>
      </c>
      <c r="C10">
        <v>3.0154639175257723E-3</v>
      </c>
      <c r="D10">
        <v>75.067579153536585</v>
      </c>
      <c r="E10">
        <v>3.0109265254796322E-3</v>
      </c>
      <c r="F10">
        <v>2.6119835135741303E-4</v>
      </c>
      <c r="H10" s="20">
        <v>78.057917147272889</v>
      </c>
      <c r="I10" s="20">
        <v>3.3772697968453011E-4</v>
      </c>
      <c r="X10" s="20">
        <v>4.776404439365417E-6</v>
      </c>
      <c r="Y10" s="20">
        <v>56.655863951841269</v>
      </c>
    </row>
    <row r="11" spans="1:25" x14ac:dyDescent="0.25">
      <c r="A11">
        <v>9</v>
      </c>
      <c r="B11">
        <v>77.808765142429706</v>
      </c>
      <c r="C11">
        <v>3.2021071711793351E-3</v>
      </c>
      <c r="D11">
        <v>78.057917147272889</v>
      </c>
      <c r="E11">
        <v>3.1969913440535003E-3</v>
      </c>
      <c r="F11">
        <v>3.3772697968453011E-4</v>
      </c>
      <c r="H11" s="20">
        <v>80.89189963402309</v>
      </c>
      <c r="I11" s="20">
        <v>4.1994830228321133E-4</v>
      </c>
      <c r="X11" s="20">
        <v>3.3201557784918578E-5</v>
      </c>
      <c r="Y11" s="20">
        <v>60.964156858995125</v>
      </c>
    </row>
    <row r="12" spans="1:25" x14ac:dyDescent="0.25">
      <c r="A12">
        <v>10</v>
      </c>
      <c r="B12">
        <v>80.618702970083746</v>
      </c>
      <c r="C12">
        <v>3.3887504248328979E-3</v>
      </c>
      <c r="D12">
        <v>80.89189963402309</v>
      </c>
      <c r="E12">
        <v>3.3830215489507238E-3</v>
      </c>
      <c r="F12">
        <v>4.1994830228321133E-4</v>
      </c>
      <c r="H12" s="20">
        <v>83.587793692443242</v>
      </c>
      <c r="I12" s="20">
        <v>5.0719320826936656E-4</v>
      </c>
      <c r="X12" s="20">
        <v>7.5500674897330776E-5</v>
      </c>
      <c r="Y12" s="20">
        <v>64.892743841422899</v>
      </c>
    </row>
    <row r="13" spans="1:25" x14ac:dyDescent="0.25">
      <c r="A13">
        <v>11</v>
      </c>
      <c r="B13">
        <v>83.289999155979814</v>
      </c>
      <c r="C13">
        <v>3.5753936784864607E-3</v>
      </c>
      <c r="D13">
        <v>83.587793692443242</v>
      </c>
      <c r="E13">
        <v>3.5690171530475072E-3</v>
      </c>
      <c r="F13">
        <v>5.0719320826936656E-4</v>
      </c>
      <c r="H13" s="20">
        <v>86.160415339232131</v>
      </c>
      <c r="I13" s="20">
        <v>5.9891899927762933E-4</v>
      </c>
      <c r="X13" s="20">
        <v>1.288259879362267E-4</v>
      </c>
      <c r="Y13" s="20">
        <v>68.519369313669969</v>
      </c>
    </row>
    <row r="14" spans="1:25" x14ac:dyDescent="0.25">
      <c r="A14">
        <v>12</v>
      </c>
      <c r="B14">
        <v>85.837491525949247</v>
      </c>
      <c r="C14">
        <v>3.7620369321400234E-3</v>
      </c>
      <c r="D14">
        <v>86.160415339232131</v>
      </c>
      <c r="E14">
        <v>3.7549781692128724E-3</v>
      </c>
      <c r="F14">
        <v>5.9891899927762933E-4</v>
      </c>
      <c r="H14" s="20">
        <v>88.621981028216823</v>
      </c>
      <c r="I14" s="20">
        <v>6.9467819901800542E-4</v>
      </c>
      <c r="X14" s="20">
        <v>1.9120368452267078E-4</v>
      </c>
      <c r="Y14" s="20">
        <v>71.89791870598755</v>
      </c>
    </row>
    <row r="15" spans="1:25" x14ac:dyDescent="0.25">
      <c r="A15">
        <v>13</v>
      </c>
      <c r="B15">
        <v>88.273417533470123</v>
      </c>
      <c r="C15">
        <v>3.9486801857935867E-3</v>
      </c>
      <c r="D15">
        <v>88.621981028216823</v>
      </c>
      <c r="E15">
        <v>3.9409046103079989E-3</v>
      </c>
      <c r="F15">
        <v>6.9467819901800542E-4</v>
      </c>
      <c r="H15" s="20">
        <v>90.982706295971667</v>
      </c>
      <c r="I15" s="20">
        <v>7.9409662486647084E-4</v>
      </c>
      <c r="X15" s="20">
        <v>2.6119835135741303E-4</v>
      </c>
      <c r="Y15" s="20">
        <v>75.067579153536585</v>
      </c>
    </row>
    <row r="16" spans="1:25" x14ac:dyDescent="0.25">
      <c r="A16">
        <v>14</v>
      </c>
      <c r="B16">
        <v>90.60801285660402</v>
      </c>
      <c r="C16">
        <v>4.1353234394471495E-3</v>
      </c>
      <c r="D16">
        <v>90.982706295971667</v>
      </c>
      <c r="E16">
        <v>4.1267964891877774E-3</v>
      </c>
      <c r="F16">
        <v>7.9409662486647084E-4</v>
      </c>
      <c r="H16" s="20">
        <v>93.251237740497757</v>
      </c>
      <c r="I16" s="20">
        <v>8.9685756446836315E-4</v>
      </c>
      <c r="X16" s="20">
        <v>3.3772697968453011E-4</v>
      </c>
      <c r="Y16" s="20">
        <v>78.057917147272889</v>
      </c>
    </row>
    <row r="17" spans="1:25" x14ac:dyDescent="0.25">
      <c r="A17">
        <v>15</v>
      </c>
      <c r="B17">
        <v>92.849943377762784</v>
      </c>
      <c r="C17">
        <v>4.3219666931007122E-3</v>
      </c>
      <c r="D17">
        <v>93.251237740497757</v>
      </c>
      <c r="E17">
        <v>4.31265381869905E-3</v>
      </c>
      <c r="F17">
        <v>8.9685756446836315E-4</v>
      </c>
      <c r="H17" s="20">
        <v>95.434971801855795</v>
      </c>
      <c r="I17" s="20">
        <v>1.0026900987936652E-3</v>
      </c>
      <c r="X17" s="20">
        <v>4.1994830228321133E-4</v>
      </c>
      <c r="Y17" s="20">
        <v>80.89189963402309</v>
      </c>
    </row>
    <row r="18" spans="1:25" x14ac:dyDescent="0.25">
      <c r="A18">
        <v>16</v>
      </c>
      <c r="B18">
        <v>95.006623991918303</v>
      </c>
      <c r="C18">
        <v>4.508609946754275E-3</v>
      </c>
      <c r="D18">
        <v>95.434971801855795</v>
      </c>
      <c r="E18">
        <v>4.4984766116821558E-3</v>
      </c>
      <c r="F18">
        <v>1.0026900987936652E-3</v>
      </c>
      <c r="H18" s="20">
        <v>97.540294643996774</v>
      </c>
      <c r="I18" s="20">
        <v>1.1113603152561142E-3</v>
      </c>
      <c r="X18" s="20">
        <v>5.0719320826936656E-4</v>
      </c>
      <c r="Y18" s="20">
        <v>83.587793692443242</v>
      </c>
    </row>
    <row r="19" spans="1:25" x14ac:dyDescent="0.25">
      <c r="A19">
        <v>17</v>
      </c>
      <c r="B19">
        <v>97.084458529376846</v>
      </c>
      <c r="C19">
        <v>4.6952532004078378E-3</v>
      </c>
      <c r="D19">
        <v>97.540294643996774</v>
      </c>
      <c r="E19">
        <v>4.6842648809702816E-3</v>
      </c>
      <c r="F19">
        <v>1.1113603152561142E-3</v>
      </c>
      <c r="H19" s="20">
        <v>99.572765787148228</v>
      </c>
      <c r="I19" s="20">
        <v>1.2226645812514988E-3</v>
      </c>
      <c r="X19" s="20">
        <v>5.9891899927762933E-4</v>
      </c>
      <c r="Y19" s="20">
        <v>86.160415339232131</v>
      </c>
    </row>
    <row r="20" spans="1:25" x14ac:dyDescent="0.25">
      <c r="A20">
        <v>18</v>
      </c>
      <c r="B20">
        <v>99.089023435004478</v>
      </c>
      <c r="C20">
        <v>4.8818964540614006E-3</v>
      </c>
      <c r="D20">
        <v>99.572765787148228</v>
      </c>
      <c r="E20">
        <v>4.8700186393887965E-3</v>
      </c>
      <c r="F20">
        <v>1.2226645812514988E-3</v>
      </c>
      <c r="H20" s="20">
        <v>101.53726083160547</v>
      </c>
      <c r="I20" s="20">
        <v>1.3364243161815173E-3</v>
      </c>
      <c r="X20" s="20">
        <v>6.9467819901800542E-4</v>
      </c>
      <c r="Y20" s="20">
        <v>88.621981028216823</v>
      </c>
    </row>
    <row r="21" spans="1:25" x14ac:dyDescent="0.25">
      <c r="A21">
        <v>19</v>
      </c>
      <c r="B21">
        <v>101.02521054050067</v>
      </c>
      <c r="C21">
        <v>5.0685397077149634E-3</v>
      </c>
      <c r="D21">
        <v>101.53726083160547</v>
      </c>
      <c r="E21">
        <v>5.0557378997568092E-3</v>
      </c>
      <c r="F21">
        <v>1.3364243161815173E-3</v>
      </c>
      <c r="H21" s="20">
        <v>103.43808389912834</v>
      </c>
      <c r="I21" s="20">
        <v>1.4524818727195301E-3</v>
      </c>
      <c r="X21" s="20">
        <v>7.9409662486647084E-4</v>
      </c>
      <c r="Y21" s="20">
        <v>90.982706295971667</v>
      </c>
    </row>
    <row r="22" spans="1:25" x14ac:dyDescent="0.25">
      <c r="A22">
        <v>20</v>
      </c>
      <c r="B22">
        <v>102.89733955353645</v>
      </c>
      <c r="C22">
        <v>5.2551829613685262E-3</v>
      </c>
      <c r="D22">
        <v>103.43808389912834</v>
      </c>
      <c r="E22">
        <v>5.2414226748854036E-3</v>
      </c>
      <c r="F22">
        <v>1.4524818727195301E-3</v>
      </c>
      <c r="H22" s="20">
        <v>105.27905730074342</v>
      </c>
      <c r="I22" s="20">
        <v>1.5706972522772345E-3</v>
      </c>
      <c r="X22" s="20">
        <v>8.9685756446836315E-4</v>
      </c>
      <c r="Y22" s="20">
        <v>93.251237740497757</v>
      </c>
    </row>
    <row r="23" spans="1:25" x14ac:dyDescent="0.25">
      <c r="A23">
        <v>21</v>
      </c>
      <c r="B23">
        <v>104.7092477712665</v>
      </c>
      <c r="C23">
        <v>5.441826215022089E-3</v>
      </c>
      <c r="D23">
        <v>105.27905730074342</v>
      </c>
      <c r="E23">
        <v>5.427072977579191E-3</v>
      </c>
      <c r="F23">
        <v>1.5706972522772345E-3</v>
      </c>
      <c r="H23" s="20">
        <v>107.06359383258041</v>
      </c>
      <c r="I23" s="20">
        <v>1.6909454568048675E-3</v>
      </c>
      <c r="X23" s="20">
        <v>1.0026900987936652E-3</v>
      </c>
      <c r="Y23" s="20">
        <v>95.434971801855795</v>
      </c>
    </row>
    <row r="24" spans="1:25" x14ac:dyDescent="0.25">
      <c r="A24">
        <v>22</v>
      </c>
      <c r="B24">
        <v>106.4643624192019</v>
      </c>
      <c r="C24">
        <v>5.6284694686756518E-3</v>
      </c>
      <c r="D24">
        <v>107.06359383258041</v>
      </c>
      <c r="E24">
        <v>5.6126888206356517E-3</v>
      </c>
      <c r="F24">
        <v>1.6909454568048675E-3</v>
      </c>
      <c r="H24" s="20">
        <v>108.79475564862746</v>
      </c>
      <c r="I24" s="20">
        <v>1.8131143322793709E-3</v>
      </c>
      <c r="X24" s="20">
        <v>1.1113603152561142E-3</v>
      </c>
      <c r="Y24" s="20">
        <v>97.540294643996774</v>
      </c>
    </row>
    <row r="25" spans="1:25" x14ac:dyDescent="0.25">
      <c r="A25">
        <v>23</v>
      </c>
      <c r="B25">
        <v>108.16575956406606</v>
      </c>
      <c r="C25">
        <v>5.8151127223292146E-3</v>
      </c>
      <c r="D25">
        <v>108.79475564862746</v>
      </c>
      <c r="E25">
        <v>5.7982702168444793E-3</v>
      </c>
      <c r="F25">
        <v>1.8131143322793709E-3</v>
      </c>
      <c r="H25" s="20">
        <v>110.47530263969175</v>
      </c>
      <c r="I25" s="20">
        <v>1.9371027965828409E-3</v>
      </c>
      <c r="X25" s="20">
        <v>1.2226645812514988E-3</v>
      </c>
      <c r="Y25" s="20">
        <v>99.572765787148228</v>
      </c>
    </row>
    <row r="26" spans="1:25" x14ac:dyDescent="0.25">
      <c r="A26">
        <v>24</v>
      </c>
      <c r="B26">
        <v>109.81621252988073</v>
      </c>
      <c r="C26">
        <v>6.0017559759827773E-3</v>
      </c>
      <c r="D26">
        <v>110.47530263969175</v>
      </c>
      <c r="E26">
        <v>5.9838171789891323E-3</v>
      </c>
      <c r="F26">
        <v>1.9371027965828409E-3</v>
      </c>
      <c r="H26" s="20">
        <v>112.10773252057314</v>
      </c>
      <c r="I26" s="23">
        <v>2.0628193711061272E-3</v>
      </c>
      <c r="X26" s="20">
        <v>1.3364243161815173E-3</v>
      </c>
      <c r="Y26" s="20">
        <v>101.53726083160547</v>
      </c>
    </row>
    <row r="27" spans="1:25" x14ac:dyDescent="0.25">
      <c r="A27">
        <v>25</v>
      </c>
      <c r="B27">
        <v>111.41823201937699</v>
      </c>
      <c r="C27">
        <v>6.1883992296363401E-3</v>
      </c>
      <c r="D27">
        <v>112.10773252057314</v>
      </c>
      <c r="E27">
        <v>6.1693297198450701E-3</v>
      </c>
      <c r="F27" s="22">
        <v>2.0628193711061272E-3</v>
      </c>
      <c r="H27" s="20">
        <v>113.69431430097801</v>
      </c>
      <c r="I27" s="20">
        <v>2.1901809547095847E-3</v>
      </c>
      <c r="X27" s="20">
        <v>1.4524818727195301E-3</v>
      </c>
      <c r="Y27" s="20">
        <v>103.43808389912834</v>
      </c>
    </row>
    <row r="28" spans="1:25" x14ac:dyDescent="0.25">
      <c r="A28">
        <v>26</v>
      </c>
      <c r="B28">
        <v>112.97409961641196</v>
      </c>
      <c r="C28">
        <v>6.3750424832899029E-3</v>
      </c>
      <c r="D28">
        <v>113.69431430097801</v>
      </c>
      <c r="E28">
        <v>6.3548078521813069E-3</v>
      </c>
      <c r="F28">
        <v>2.1901809547095847E-3</v>
      </c>
      <c r="H28" s="20">
        <v>115.23711642938757</v>
      </c>
      <c r="I28" s="20">
        <v>2.3191117928114888E-3</v>
      </c>
      <c r="X28" s="20">
        <v>1.5706972522772345E-3</v>
      </c>
      <c r="Y28" s="20">
        <v>105.27905730074342</v>
      </c>
    </row>
    <row r="29" spans="1:25" x14ac:dyDescent="0.25">
      <c r="A29">
        <v>27</v>
      </c>
      <c r="B29">
        <v>114.48589595879356</v>
      </c>
      <c r="C29">
        <v>6.5616857369434657E-3</v>
      </c>
      <c r="D29">
        <v>115.23711642938757</v>
      </c>
      <c r="E29">
        <v>6.5402515887597514E-3</v>
      </c>
      <c r="F29">
        <v>2.3191117928114888E-3</v>
      </c>
      <c r="H29" s="20">
        <v>116.73803061209588</v>
      </c>
      <c r="I29" s="20">
        <v>2.4495426048951434E-3</v>
      </c>
      <c r="X29" s="20">
        <v>1.6909454568048675E-3</v>
      </c>
      <c r="Y29" s="20">
        <v>107.06359383258041</v>
      </c>
    </row>
    <row r="30" spans="1:25" x14ac:dyDescent="0.25">
      <c r="A30">
        <v>28</v>
      </c>
      <c r="B30">
        <v>115.95552458392629</v>
      </c>
      <c r="C30">
        <v>6.7483289905970285E-3</v>
      </c>
      <c r="D30">
        <v>116.73803061209588</v>
      </c>
      <c r="E30">
        <v>6.7256609423345529E-3</v>
      </c>
      <c r="F30">
        <v>2.4495426048951434E-3</v>
      </c>
      <c r="H30" s="20">
        <v>118.19879209395178</v>
      </c>
      <c r="I30" s="20">
        <v>2.5814098416261123E-3</v>
      </c>
      <c r="X30" s="20">
        <v>1.8131143322793709E-3</v>
      </c>
      <c r="Y30" s="20">
        <v>108.79475564862746</v>
      </c>
    </row>
    <row r="31" spans="1:25" x14ac:dyDescent="0.25">
      <c r="A31">
        <v>29</v>
      </c>
      <c r="B31">
        <v>117.38473223401013</v>
      </c>
      <c r="C31">
        <v>6.9349722442505913E-3</v>
      </c>
      <c r="D31">
        <v>118.19879209395178</v>
      </c>
      <c r="E31">
        <v>6.9110359256536504E-3</v>
      </c>
      <c r="F31">
        <v>2.5814098416261123E-3</v>
      </c>
      <c r="H31" s="20">
        <v>119.62099702353177</v>
      </c>
      <c r="I31" s="20">
        <v>2.7146550487635408E-3</v>
      </c>
      <c r="X31" s="20">
        <v>1.9371027965828409E-3</v>
      </c>
      <c r="Y31" s="20">
        <v>110.47530263969175</v>
      </c>
    </row>
    <row r="32" spans="1:25" x14ac:dyDescent="0.25">
      <c r="A32">
        <v>30</v>
      </c>
      <c r="B32">
        <v>118.77512624370905</v>
      </c>
      <c r="C32">
        <v>7.1216154979041541E-3</v>
      </c>
      <c r="D32">
        <v>119.62099702353177</v>
      </c>
      <c r="E32">
        <v>7.0963765514570126E-3</v>
      </c>
      <c r="F32">
        <v>2.7146550487635408E-3</v>
      </c>
      <c r="H32" s="20">
        <v>121.00611739982777</v>
      </c>
      <c r="I32" s="20">
        <v>2.8492243196639828E-3</v>
      </c>
      <c r="X32" s="20">
        <v>2.0628193711061272E-3</v>
      </c>
      <c r="Y32" s="20">
        <v>112.10773252057314</v>
      </c>
    </row>
    <row r="33" spans="1:25" x14ac:dyDescent="0.25">
      <c r="A33">
        <v>31</v>
      </c>
      <c r="B33">
        <v>120.12818950755045</v>
      </c>
      <c r="C33">
        <v>7.3082587515577169E-3</v>
      </c>
      <c r="D33">
        <v>121.00611739982777</v>
      </c>
      <c r="E33">
        <v>7.2816828324781873E-3</v>
      </c>
      <c r="F33">
        <v>2.8492243196639828E-3</v>
      </c>
      <c r="H33" s="20">
        <v>122.35551400027916</v>
      </c>
      <c r="I33" s="20">
        <v>2.9850678217264578E-3</v>
      </c>
      <c r="X33" s="20">
        <v>2.1901809547095847E-3</v>
      </c>
      <c r="Y33" s="20">
        <v>113.69431430097801</v>
      </c>
    </row>
    <row r="34" spans="1:25" x14ac:dyDescent="0.25">
      <c r="A34">
        <v>32</v>
      </c>
      <c r="B34">
        <v>121.44529342704929</v>
      </c>
      <c r="C34">
        <v>7.4949020052112797E-3</v>
      </c>
      <c r="D34">
        <v>122.35551400027916</v>
      </c>
      <c r="E34">
        <v>7.4669547814436429E-3</v>
      </c>
      <c r="F34">
        <v>2.9850678217264578E-3</v>
      </c>
      <c r="H34" s="20">
        <v>123.67044761405012</v>
      </c>
      <c r="I34" s="20">
        <v>3.1221393849164359E-3</v>
      </c>
      <c r="X34" s="20">
        <v>2.3191117928114888E-3</v>
      </c>
      <c r="Y34" s="20">
        <v>115.23711642938757</v>
      </c>
    </row>
    <row r="35" spans="1:25" x14ac:dyDescent="0.25">
      <c r="A35">
        <v>33</v>
      </c>
      <c r="B35">
        <v>122.72770916160843</v>
      </c>
      <c r="C35">
        <v>7.6815452588648424E-3</v>
      </c>
      <c r="D35">
        <v>123.67044761405012</v>
      </c>
      <c r="E35">
        <v>7.6521924110721177E-3</v>
      </c>
      <c r="F35">
        <v>3.1221393849164359E-3</v>
      </c>
      <c r="H35" s="20">
        <v>124.95208884470244</v>
      </c>
      <c r="I35" s="20">
        <v>3.2603961426951192E-3</v>
      </c>
      <c r="X35" s="20">
        <v>2.4495426048951434E-3</v>
      </c>
      <c r="Y35" s="20">
        <v>116.73803061209588</v>
      </c>
    </row>
    <row r="36" spans="1:25" x14ac:dyDescent="0.25">
      <c r="A36">
        <v>34</v>
      </c>
      <c r="B36">
        <v>123.97661744748127</v>
      </c>
      <c r="C36">
        <v>7.8681885125184061E-3</v>
      </c>
      <c r="D36">
        <v>124.95208884470244</v>
      </c>
      <c r="E36">
        <v>7.8373957340761614E-3</v>
      </c>
      <c r="F36">
        <v>3.2603961426951192E-3</v>
      </c>
      <c r="H36" s="20">
        <v>126.20152669903544</v>
      </c>
      <c r="I36" s="20">
        <v>3.3997982174081695E-3</v>
      </c>
      <c r="X36" s="20">
        <v>2.5814098416261123E-3</v>
      </c>
      <c r="Y36" s="20">
        <v>118.19879209395178</v>
      </c>
    </row>
    <row r="37" spans="1:25" x14ac:dyDescent="0.25">
      <c r="A37">
        <v>35</v>
      </c>
      <c r="B37">
        <v>125.19311720169316</v>
      </c>
      <c r="C37">
        <v>8.0548317661719698E-3</v>
      </c>
      <c r="D37">
        <v>126.20152669903544</v>
      </c>
      <c r="E37">
        <v>8.0225647631603832E-3</v>
      </c>
      <c r="F37">
        <v>3.3997982174081695E-3</v>
      </c>
      <c r="H37" s="20">
        <v>127.41977614103838</v>
      </c>
      <c r="I37" s="20">
        <v>3.5403084435859126E-3</v>
      </c>
      <c r="X37" s="20">
        <v>2.7146550487635408E-3</v>
      </c>
      <c r="Y37" s="20">
        <v>119.62099702353177</v>
      </c>
    </row>
    <row r="38" spans="1:25" x14ac:dyDescent="0.25">
      <c r="A38">
        <v>36</v>
      </c>
      <c r="B38">
        <v>126.37823308997763</v>
      </c>
      <c r="C38">
        <v>8.2414750198255334E-3</v>
      </c>
      <c r="D38">
        <v>127.41977614103838</v>
      </c>
      <c r="E38">
        <v>8.2076995110232157E-3</v>
      </c>
      <c r="F38">
        <v>3.5403084435859126E-3</v>
      </c>
      <c r="H38" s="20">
        <v>128.60778475949263</v>
      </c>
      <c r="I38" s="20">
        <v>3.6818921237070784E-3</v>
      </c>
      <c r="X38" s="20">
        <v>2.8492243196639828E-3</v>
      </c>
      <c r="Y38" s="20">
        <v>121.00611739982777</v>
      </c>
    </row>
    <row r="39" spans="1:25" x14ac:dyDescent="0.25">
      <c r="A39">
        <v>37</v>
      </c>
      <c r="B39">
        <v>127.53292220736654</v>
      </c>
      <c r="C39">
        <v>8.4281182734790971E-3</v>
      </c>
      <c r="D39">
        <v>128.60778475949263</v>
      </c>
      <c r="E39">
        <v>8.3927999903551601E-3</v>
      </c>
      <c r="F39">
        <v>3.6818921237070784E-3</v>
      </c>
      <c r="H39" s="20">
        <v>129.76643867317023</v>
      </c>
      <c r="I39" s="20">
        <v>3.824516811892705E-3</v>
      </c>
      <c r="X39" s="20">
        <v>2.9850678217264578E-3</v>
      </c>
      <c r="Y39" s="20">
        <v>122.35551400027916</v>
      </c>
    </row>
    <row r="40" spans="1:25" x14ac:dyDescent="0.25">
      <c r="A40">
        <v>38</v>
      </c>
      <c r="B40">
        <v>128.6580799954705</v>
      </c>
      <c r="C40">
        <v>8.6147615271326607E-3</v>
      </c>
      <c r="D40">
        <v>129.76643867317023</v>
      </c>
      <c r="E40">
        <v>8.5778662138403326E-3</v>
      </c>
      <c r="F40">
        <v>3.824516811892705E-3</v>
      </c>
      <c r="H40" s="20">
        <v>130.89656777756613</v>
      </c>
      <c r="I40" s="20">
        <v>3.9681521217174841E-3</v>
      </c>
      <c r="X40" s="20">
        <v>3.1221393849164359E-3</v>
      </c>
      <c r="Y40" s="20">
        <v>123.67044761405012</v>
      </c>
    </row>
    <row r="41" spans="1:25" x14ac:dyDescent="0.25">
      <c r="A41">
        <v>39</v>
      </c>
      <c r="B41">
        <v>129.75454550046956</v>
      </c>
      <c r="C41">
        <v>8.8014047807862244E-3</v>
      </c>
      <c r="D41">
        <v>130.89656777756613</v>
      </c>
      <c r="E41">
        <v>8.7628981941558041E-3</v>
      </c>
      <c r="F41">
        <v>3.9681521217174841E-3</v>
      </c>
      <c r="H41" s="20">
        <v>131.99895042073339</v>
      </c>
      <c r="I41" s="20">
        <v>4.1127695549331043E-3</v>
      </c>
      <c r="X41" s="20">
        <v>3.2603961426951192E-3</v>
      </c>
      <c r="Y41" s="20">
        <v>124.95208884470244</v>
      </c>
    </row>
    <row r="42" spans="1:25" x14ac:dyDescent="0.25">
      <c r="A42">
        <v>40</v>
      </c>
      <c r="B42">
        <v>130.82310605945639</v>
      </c>
      <c r="C42">
        <v>8.988048034439788E-3</v>
      </c>
      <c r="D42">
        <v>131.99895042073339</v>
      </c>
      <c r="E42">
        <v>8.9478959439709578E-3</v>
      </c>
      <c r="F42">
        <v>4.1127695549331043E-3</v>
      </c>
      <c r="H42" s="20">
        <v>133.07431758232687</v>
      </c>
      <c r="I42" s="20">
        <v>4.2583423483912577E-3</v>
      </c>
    </row>
    <row r="43" spans="1:25" x14ac:dyDescent="0.25">
      <c r="A43">
        <v>41</v>
      </c>
      <c r="B43">
        <v>131.86450148930416</v>
      </c>
      <c r="C43">
        <v>9.1746912880933517E-3</v>
      </c>
      <c r="D43">
        <v>133.07431758232687</v>
      </c>
      <c r="E43">
        <v>9.1328594759490182E-3</v>
      </c>
      <c r="F43">
        <v>4.2583423483912577E-3</v>
      </c>
      <c r="H43" s="20">
        <v>134.12335661883307</v>
      </c>
      <c r="I43" s="20">
        <v>4.4048453368539901E-3</v>
      </c>
    </row>
    <row r="44" spans="1:25" x14ac:dyDescent="0.25">
      <c r="A44">
        <v>42</v>
      </c>
      <c r="B44">
        <v>132.87942784109666</v>
      </c>
      <c r="C44">
        <v>9.3613345417469154E-3</v>
      </c>
      <c r="D44">
        <v>134.12335661883307</v>
      </c>
      <c r="E44">
        <v>9.3177888027453117E-3</v>
      </c>
      <c r="F44">
        <v>4.4048453368539901E-3</v>
      </c>
      <c r="H44" s="20">
        <v>135.1467146287213</v>
      </c>
      <c r="I44" s="20">
        <v>4.5522548297296335E-3</v>
      </c>
    </row>
    <row r="45" spans="1:25" x14ac:dyDescent="0.25">
      <c r="A45">
        <v>43</v>
      </c>
      <c r="B45">
        <v>133.86854077390936</v>
      </c>
      <c r="C45">
        <v>9.547977795400479E-3</v>
      </c>
      <c r="D45">
        <v>135.1467146287213</v>
      </c>
      <c r="E45">
        <v>9.5026839370088018E-3</v>
      </c>
      <c r="F45">
        <v>4.5522548297296335E-3</v>
      </c>
      <c r="H45" s="20">
        <v>136.14500148353966</v>
      </c>
      <c r="I45" s="20">
        <v>4.7005485000429842E-3</v>
      </c>
    </row>
    <row r="46" spans="1:25" x14ac:dyDescent="0.25">
      <c r="A46">
        <v>44</v>
      </c>
      <c r="B46">
        <v>134.83245859401464</v>
      </c>
      <c r="C46">
        <v>9.7346210490540427E-3</v>
      </c>
      <c r="D46">
        <v>136.14500148353966</v>
      </c>
      <c r="E46">
        <v>9.6875448913814333E-3</v>
      </c>
      <c r="F46">
        <v>4.7005485000429842E-3</v>
      </c>
      <c r="H46" s="20">
        <v>137.11879256451957</v>
      </c>
      <c r="I46" s="20">
        <v>4.8497052841927424E-3</v>
      </c>
    </row>
    <row r="47" spans="1:25" x14ac:dyDescent="0.25">
      <c r="A47">
        <v>45</v>
      </c>
      <c r="B47">
        <v>135.7717649991182</v>
      </c>
      <c r="C47">
        <v>9.9212643027076063E-3</v>
      </c>
      <c r="D47">
        <v>137.11879256451957</v>
      </c>
      <c r="E47">
        <v>9.8723716784974887E-3</v>
      </c>
      <c r="F47">
        <v>4.8497052841927424E-3</v>
      </c>
      <c r="H47" s="20">
        <v>138.06863123881593</v>
      </c>
      <c r="I47" s="20">
        <v>4.9997052912482748E-3</v>
      </c>
    </row>
    <row r="48" spans="1:25" x14ac:dyDescent="0.25">
      <c r="A48">
        <v>46</v>
      </c>
      <c r="B48">
        <v>136.68701156179404</v>
      </c>
      <c r="C48">
        <v>1.010790755636117E-2</v>
      </c>
      <c r="D48">
        <v>138.06863123881593</v>
      </c>
      <c r="E48">
        <v>1.0057164310985122E-2</v>
      </c>
      <c r="F48">
        <v>4.9997052912482748E-3</v>
      </c>
      <c r="H48" s="20">
        <v>138.99503110491693</v>
      </c>
      <c r="I48" s="20">
        <v>5.1505297206984194E-3</v>
      </c>
    </row>
    <row r="49" spans="1:9" x14ac:dyDescent="0.25">
      <c r="A49">
        <v>47</v>
      </c>
      <c r="B49">
        <v>137.57871998168864</v>
      </c>
      <c r="C49">
        <v>1.0294550810014734E-2</v>
      </c>
      <c r="D49">
        <v>138.99503110491693</v>
      </c>
      <c r="E49">
        <v>1.0241922801464607E-2</v>
      </c>
      <c r="F49">
        <v>5.1505297206984194E-3</v>
      </c>
      <c r="H49" s="20">
        <v>139.89847803286744</v>
      </c>
      <c r="I49" s="20">
        <v>5.3021607877195781E-3</v>
      </c>
    </row>
    <row r="50" spans="1:9" x14ac:dyDescent="0.25">
      <c r="A50">
        <v>48</v>
      </c>
      <c r="B50">
        <v>138.44738413217095</v>
      </c>
      <c r="C50">
        <v>1.0481194063668297E-2</v>
      </c>
      <c r="D50">
        <v>139.89847803286744</v>
      </c>
      <c r="E50">
        <v>1.0426647162549887E-2</v>
      </c>
      <c r="F50">
        <v>5.3021607877195781E-3</v>
      </c>
      <c r="H50" s="20">
        <v>140.77943202163516</v>
      </c>
      <c r="I50" s="20">
        <v>5.4545816551396656E-3</v>
      </c>
    </row>
    <row r="51" spans="1:9" x14ac:dyDescent="0.25">
      <c r="A51">
        <v>49</v>
      </c>
      <c r="B51">
        <v>139.29347192378725</v>
      </c>
      <c r="C51">
        <v>1.0667837317321861E-2</v>
      </c>
      <c r="D51">
        <v>140.77943202163516</v>
      </c>
      <c r="E51">
        <v>1.0611337406847913E-2</v>
      </c>
      <c r="F51">
        <v>5.4545816551396656E-3</v>
      </c>
      <c r="H51" s="20">
        <v>141.63832889312036</v>
      </c>
      <c r="I51" s="20">
        <v>5.6077763713858189E-3</v>
      </c>
    </row>
    <row r="52" spans="1:9" x14ac:dyDescent="0.25">
      <c r="A52">
        <v>50</v>
      </c>
      <c r="B52">
        <v>140.11742700404983</v>
      </c>
      <c r="C52">
        <v>1.0854480570975425E-2</v>
      </c>
      <c r="D52">
        <v>141.63832889312036</v>
      </c>
      <c r="E52">
        <v>1.0795993546957993E-2</v>
      </c>
      <c r="F52">
        <v>5.6077763713858189E-3</v>
      </c>
      <c r="H52" s="20">
        <v>142.47558183988914</v>
      </c>
      <c r="I52" s="20">
        <v>5.761729813792419E-3</v>
      </c>
    </row>
    <row r="53" spans="1:9" x14ac:dyDescent="0.25">
      <c r="A53">
        <v>51</v>
      </c>
      <c r="B53">
        <v>140.91967031066321</v>
      </c>
      <c r="C53">
        <v>1.1041123824628988E-2</v>
      </c>
      <c r="D53">
        <v>142.47558183988914</v>
      </c>
      <c r="E53">
        <v>1.098061559547334E-2</v>
      </c>
      <c r="F53">
        <v>5.761729813792419E-3</v>
      </c>
      <c r="H53" s="20">
        <v>143.29158284162625</v>
      </c>
      <c r="I53" s="20">
        <v>5.9164276367146091E-3</v>
      </c>
    </row>
    <row r="54" spans="1:9" x14ac:dyDescent="0.25">
      <c r="A54">
        <v>52</v>
      </c>
      <c r="B54">
        <v>141.70060149320798</v>
      </c>
      <c r="C54">
        <v>1.1227767078282552E-2</v>
      </c>
      <c r="D54">
        <v>143.29158284162625</v>
      </c>
      <c r="E54">
        <v>1.1165203564979307E-2</v>
      </c>
      <c r="F54">
        <v>5.9164276367146091E-3</v>
      </c>
      <c r="H54" s="20">
        <v>144.08670396350917</v>
      </c>
      <c r="I54" s="20">
        <v>6.071856223970361E-3</v>
      </c>
    </row>
    <row r="55" spans="1:9" x14ac:dyDescent="0.25">
      <c r="A55">
        <v>53</v>
      </c>
      <c r="B55">
        <v>142.4606002165041</v>
      </c>
      <c r="C55">
        <v>1.1414410331936116E-2</v>
      </c>
      <c r="D55">
        <v>144.08670396350917</v>
      </c>
      <c r="E55">
        <v>1.1349757468054946E-2</v>
      </c>
      <c r="F55">
        <v>6.071856223970361E-3</v>
      </c>
      <c r="H55" s="20">
        <v>144.86129854815454</v>
      </c>
      <c r="I55" s="20">
        <v>6.2280026451787653E-3</v>
      </c>
    </row>
    <row r="56" spans="1:9" x14ac:dyDescent="0.25">
      <c r="A56">
        <v>54</v>
      </c>
      <c r="B56">
        <v>143.2000273573243</v>
      </c>
      <c r="C56">
        <v>1.1601053585589679E-2</v>
      </c>
      <c r="D56">
        <v>144.86129854815454</v>
      </c>
      <c r="E56">
        <v>1.1534277317272338E-2</v>
      </c>
      <c r="F56">
        <v>6.2280026451787653E-3</v>
      </c>
      <c r="H56" s="20">
        <v>145.61570231144194</v>
      </c>
      <c r="I56" s="20">
        <v>6.3848546156193269E-3</v>
      </c>
    </row>
    <row r="57" spans="1:9" x14ac:dyDescent="0.25">
      <c r="A57">
        <v>55</v>
      </c>
      <c r="B57">
        <v>143.91922610478028</v>
      </c>
      <c r="C57">
        <v>1.1787696839243243E-2</v>
      </c>
      <c r="D57">
        <v>145.61570231144194</v>
      </c>
      <c r="E57">
        <v>1.1718763125195954E-2</v>
      </c>
      <c r="F57">
        <v>6.3848546156193269E-3</v>
      </c>
      <c r="H57" s="20">
        <v>146.35023435135153</v>
      </c>
      <c r="I57" s="20">
        <v>6.5424004592797343E-3</v>
      </c>
    </row>
    <row r="58" spans="1:9" x14ac:dyDescent="0.25">
      <c r="A58">
        <v>56</v>
      </c>
      <c r="B58">
        <v>144.61852297353403</v>
      </c>
      <c r="C58">
        <v>1.1974340092896807E-2</v>
      </c>
      <c r="D58">
        <v>146.35023435135153</v>
      </c>
      <c r="E58">
        <v>1.1903214904384186E-2</v>
      </c>
      <c r="F58">
        <v>6.5424004592797343E-3</v>
      </c>
      <c r="H58" s="20">
        <v>147.0651980779331</v>
      </c>
      <c r="I58" s="20">
        <v>6.7006290747893202E-3</v>
      </c>
    </row>
    <row r="59" spans="1:9" x14ac:dyDescent="0.25">
      <c r="A59">
        <v>57</v>
      </c>
      <c r="B59">
        <v>145.29822873796741</v>
      </c>
      <c r="C59">
        <v>1.216098334655037E-2</v>
      </c>
      <c r="D59">
        <v>147.0651980779331</v>
      </c>
      <c r="E59">
        <v>1.2087632667387603E-2</v>
      </c>
      <c r="F59">
        <v>6.7006290747893202E-3</v>
      </c>
      <c r="H59" s="20">
        <v>147.76088207163224</v>
      </c>
      <c r="I59" s="20">
        <v>6.8595299039800762E-3</v>
      </c>
    </row>
    <row r="60" spans="1:9" x14ac:dyDescent="0.25">
      <c r="A60">
        <v>58</v>
      </c>
      <c r="B60">
        <v>145.9586392945493</v>
      </c>
      <c r="C60">
        <v>1.2347626600203934E-2</v>
      </c>
      <c r="D60">
        <v>147.76088207163224</v>
      </c>
      <c r="E60">
        <v>1.2272016426750488E-2</v>
      </c>
      <c r="F60">
        <v>6.8595299039800762E-3</v>
      </c>
      <c r="H60" s="20">
        <v>148.43756087642234</v>
      </c>
      <c r="I60" s="20">
        <v>7.0190929028335425E-3</v>
      </c>
    </row>
    <row r="61" spans="1:9" x14ac:dyDescent="0.25">
      <c r="A61">
        <v>59</v>
      </c>
      <c r="B61">
        <v>146.60003645886161</v>
      </c>
      <c r="C61">
        <v>1.2534269853857498E-2</v>
      </c>
      <c r="D61">
        <v>148.43756087642234</v>
      </c>
      <c r="E61">
        <v>1.2456366195010185E-2</v>
      </c>
      <c r="F61">
        <v>7.0190929028335425E-3</v>
      </c>
      <c r="H61" s="20">
        <v>149.09549573350324</v>
      </c>
      <c r="I61" s="20">
        <v>7.1793085146047595E-3</v>
      </c>
    </row>
    <row r="62" spans="1:9" x14ac:dyDescent="0.25">
      <c r="A62">
        <v>60</v>
      </c>
      <c r="B62">
        <v>147.22268870305751</v>
      </c>
      <c r="C62">
        <v>1.2720913107511061E-2</v>
      </c>
      <c r="D62">
        <v>149.09549573350324</v>
      </c>
      <c r="E62">
        <v>1.2640681984696454E-2</v>
      </c>
      <c r="F62">
        <v>7.1793085146047595E-3</v>
      </c>
      <c r="H62" s="20">
        <v>149.73493526072735</v>
      </c>
      <c r="I62" s="20">
        <v>7.3401676449363898E-3</v>
      </c>
    </row>
    <row r="63" spans="1:9" x14ac:dyDescent="0.25">
      <c r="A63">
        <v>61</v>
      </c>
      <c r="B63">
        <v>147.82685183892292</v>
      </c>
      <c r="C63">
        <v>1.2907556361164625E-2</v>
      </c>
      <c r="D63">
        <v>149.73493526072735</v>
      </c>
      <c r="E63">
        <v>1.2824963808332996E-2</v>
      </c>
      <c r="F63">
        <v>7.3401676449363898E-3</v>
      </c>
      <c r="H63" s="20">
        <v>150.35611608238094</v>
      </c>
      <c r="I63" s="20">
        <v>7.5016616387880656E-3</v>
      </c>
    </row>
    <row r="64" spans="1:9" x14ac:dyDescent="0.25">
      <c r="A64">
        <v>62</v>
      </c>
      <c r="B64">
        <v>148.41276965118035</v>
      </c>
      <c r="C64">
        <v>1.3094199614818188E-2</v>
      </c>
      <c r="D64">
        <v>150.35611608238094</v>
      </c>
      <c r="E64">
        <v>1.3009211678435719E-2</v>
      </c>
      <c r="F64">
        <v>7.5016616387880656E-3</v>
      </c>
      <c r="H64" s="20">
        <v>150.95926341348024</v>
      </c>
      <c r="I64" s="20">
        <v>7.6637822590351398E-3</v>
      </c>
    </row>
    <row r="65" spans="1:9" x14ac:dyDescent="0.25">
      <c r="A65">
        <v>63</v>
      </c>
      <c r="B65">
        <v>148.98067448520334</v>
      </c>
      <c r="C65">
        <v>1.3280842868471752E-2</v>
      </c>
      <c r="D65">
        <v>150.95926341348024</v>
      </c>
      <c r="E65">
        <v>1.319342560751427E-2</v>
      </c>
      <c r="F65">
        <v>7.6637822590351398E-3</v>
      </c>
      <c r="H65" s="20">
        <v>151.54459160232483</v>
      </c>
      <c r="I65" s="20">
        <v>7.8265216665942827E-3</v>
      </c>
    </row>
    <row r="66" spans="1:9" x14ac:dyDescent="0.25">
      <c r="A66">
        <v>64</v>
      </c>
      <c r="B66">
        <v>149.53078779289356</v>
      </c>
      <c r="C66">
        <v>1.3467486122125316E-2</v>
      </c>
      <c r="D66">
        <v>151.54459160232483</v>
      </c>
      <c r="E66">
        <v>1.3377605608071384E-2</v>
      </c>
      <c r="F66">
        <v>7.8265216665942827E-3</v>
      </c>
      <c r="H66" s="20">
        <v>152.11230463468183</v>
      </c>
      <c r="I66" s="20">
        <v>7.9898724019545446E-3</v>
      </c>
    </row>
    <row r="67" spans="1:9" x14ac:dyDescent="0.25">
      <c r="A67">
        <v>65</v>
      </c>
      <c r="B67">
        <v>150.06332064010289</v>
      </c>
      <c r="C67">
        <v>1.3654129375778879E-2</v>
      </c>
      <c r="D67">
        <v>152.11230463468183</v>
      </c>
      <c r="E67">
        <v>1.3561751692602231E-2</v>
      </c>
      <c r="F67">
        <v>7.9898724019545446E-3</v>
      </c>
      <c r="H67" s="20">
        <v>152.66259660264794</v>
      </c>
      <c r="I67" s="20">
        <v>8.1538273680044591E-3</v>
      </c>
    </row>
    <row r="68" spans="1:9" x14ac:dyDescent="0.25">
      <c r="A68">
        <v>66</v>
      </c>
      <c r="B68">
        <v>150.57847417865432</v>
      </c>
      <c r="C68">
        <v>1.3840772629432443E-2</v>
      </c>
      <c r="D68">
        <v>152.66259660264794</v>
      </c>
      <c r="E68">
        <v>1.3745863873595958E-2</v>
      </c>
      <c r="F68">
        <v>8.1538273680044591E-3</v>
      </c>
      <c r="H68" s="20">
        <v>153.19565214094038</v>
      </c>
      <c r="I68" s="20">
        <v>8.3183798140489401E-3</v>
      </c>
    </row>
    <row r="69" spans="1:9" x14ac:dyDescent="0.25">
      <c r="A69">
        <v>67</v>
      </c>
      <c r="B69">
        <v>151.07644008572183</v>
      </c>
      <c r="C69">
        <v>1.4027415883086007E-2</v>
      </c>
      <c r="D69">
        <v>153.19565214094038</v>
      </c>
      <c r="E69">
        <v>1.3929942163533935E-2</v>
      </c>
      <c r="F69">
        <v>8.3183798140489401E-3</v>
      </c>
      <c r="H69" s="20">
        <v>153.71164683311122</v>
      </c>
      <c r="I69" s="20">
        <v>8.4835233209314027E-3</v>
      </c>
    </row>
    <row r="70" spans="1:9" x14ac:dyDescent="0.25">
      <c r="A70">
        <v>68</v>
      </c>
      <c r="B70">
        <v>151.55740097306943</v>
      </c>
      <c r="C70">
        <v>1.421405913673957E-2</v>
      </c>
      <c r="D70">
        <v>153.71164683311122</v>
      </c>
      <c r="E70">
        <v>1.4113986574891522E-2</v>
      </c>
      <c r="F70">
        <v>8.4835233209314027E-3</v>
      </c>
      <c r="H70" s="20">
        <v>154.21074758994214</v>
      </c>
      <c r="I70" s="20">
        <v>8.6492517871713942E-3</v>
      </c>
    </row>
    <row r="71" spans="1:9" x14ac:dyDescent="0.25">
      <c r="A71">
        <v>69</v>
      </c>
      <c r="B71">
        <v>152.02153076841421</v>
      </c>
      <c r="C71">
        <v>1.4400702390393134E-2</v>
      </c>
      <c r="D71">
        <v>154.21074758994214</v>
      </c>
      <c r="E71">
        <v>1.4297997120136309E-2</v>
      </c>
      <c r="F71">
        <v>8.6492517871713942E-3</v>
      </c>
      <c r="H71" s="20">
        <v>154.69311300207036</v>
      </c>
      <c r="I71" s="20">
        <v>8.8155594160494368E-3</v>
      </c>
    </row>
    <row r="72" spans="1:9" x14ac:dyDescent="0.25">
      <c r="A72">
        <v>70</v>
      </c>
      <c r="B72">
        <v>152.4689950709697</v>
      </c>
      <c r="C72">
        <v>1.4587345644046698E-2</v>
      </c>
      <c r="D72">
        <v>154.69311300207036</v>
      </c>
      <c r="E72">
        <v>1.448197381172967E-2</v>
      </c>
      <c r="F72">
        <v>8.8155594160494368E-3</v>
      </c>
      <c r="H72" s="20">
        <v>155.15889366870698</v>
      </c>
      <c r="I72" s="20">
        <v>8.9824407035653982E-3</v>
      </c>
    </row>
    <row r="73" spans="1:9" x14ac:dyDescent="0.25">
      <c r="A73">
        <v>71</v>
      </c>
      <c r="B73">
        <v>152.89995148303765</v>
      </c>
      <c r="C73">
        <v>1.4773988897700261E-2</v>
      </c>
      <c r="D73">
        <v>155.15889366870698</v>
      </c>
      <c r="E73">
        <v>1.4665916662126095E-2</v>
      </c>
      <c r="F73">
        <v>8.9824407035653982E-3</v>
      </c>
      <c r="H73" s="20">
        <v>155.60823250414114</v>
      </c>
      <c r="I73" s="20">
        <v>9.1498904272106045E-3</v>
      </c>
    </row>
    <row r="74" spans="1:9" x14ac:dyDescent="0.25">
      <c r="A74">
        <v>72</v>
      </c>
      <c r="B74">
        <v>153.31454991934743</v>
      </c>
      <c r="C74">
        <v>1.4960632151353825E-2</v>
      </c>
      <c r="D74">
        <v>155.60823250414114</v>
      </c>
      <c r="E74">
        <v>1.4849825683772551E-2</v>
      </c>
      <c r="F74">
        <v>9.1498904272106045E-3</v>
      </c>
      <c r="H74" s="20">
        <v>156.04126502357195</v>
      </c>
      <c r="I74" s="20">
        <v>9.3179036354993187E-3</v>
      </c>
    </row>
    <row r="75" spans="1:9" x14ac:dyDescent="0.25">
      <c r="A75">
        <v>73</v>
      </c>
      <c r="B75">
        <v>153.71293289568951</v>
      </c>
      <c r="C75">
        <v>1.5147275405007389E-2</v>
      </c>
      <c r="D75">
        <v>156.04126502357195</v>
      </c>
      <c r="E75">
        <v>1.5033700889110012E-2</v>
      </c>
      <c r="F75">
        <v>9.3179036354993187E-3</v>
      </c>
      <c r="H75" s="20">
        <v>156.45811960967026</v>
      </c>
      <c r="I75" s="20">
        <v>9.4864756382028407E-3</v>
      </c>
    </row>
    <row r="76" spans="1:9" x14ac:dyDescent="0.25">
      <c r="A76">
        <v>74</v>
      </c>
      <c r="B76">
        <v>154.09523579825267</v>
      </c>
      <c r="C76">
        <v>1.5333918658660952E-2</v>
      </c>
      <c r="D76">
        <v>156.45811960967026</v>
      </c>
      <c r="E76">
        <v>1.5217542290571715E-2</v>
      </c>
      <c r="F76">
        <v>9.4864756382028407E-3</v>
      </c>
      <c r="H76" s="20">
        <v>156.85891776115238</v>
      </c>
      <c r="I76" s="20">
        <v>9.655601997245784E-3</v>
      </c>
    </row>
    <row r="77" spans="1:9" x14ac:dyDescent="0.25">
      <c r="A77">
        <v>75</v>
      </c>
      <c r="B77">
        <v>154.46158713495004</v>
      </c>
      <c r="C77">
        <v>1.5520561912314516E-2</v>
      </c>
      <c r="D77">
        <v>156.85891776115238</v>
      </c>
      <c r="E77">
        <v>1.5401349900584699E-2</v>
      </c>
      <c r="F77">
        <v>9.655601997245784E-3</v>
      </c>
      <c r="H77" s="20">
        <v>157.24377432453224</v>
      </c>
      <c r="I77" s="20">
        <v>9.8252785182163203E-3</v>
      </c>
    </row>
    <row r="78" spans="1:9" x14ac:dyDescent="0.25">
      <c r="A78">
        <v>76</v>
      </c>
      <c r="B78">
        <v>154.81210876990713</v>
      </c>
      <c r="C78">
        <v>1.5707205165968078E-2</v>
      </c>
      <c r="D78">
        <v>157.24377432453224</v>
      </c>
      <c r="E78">
        <v>1.558512373156915E-2</v>
      </c>
      <c r="F78">
        <v>9.8252785182163203E-3</v>
      </c>
      <c r="H78" s="20">
        <v>157.61279771011777</v>
      </c>
      <c r="I78" s="20">
        <v>9.9955012424535854E-3</v>
      </c>
    </row>
    <row r="79" spans="1:9" x14ac:dyDescent="0.25">
      <c r="A79">
        <v>77</v>
      </c>
      <c r="B79">
        <v>155.14691614218219</v>
      </c>
      <c r="C79">
        <v>1.5893848419621642E-2</v>
      </c>
      <c r="D79">
        <v>157.61279771011777</v>
      </c>
      <c r="E79">
        <v>1.5768863795937754E-2</v>
      </c>
      <c r="F79">
        <v>9.9955012424535854E-3</v>
      </c>
      <c r="H79" s="20">
        <v>157.96609009322592</v>
      </c>
      <c r="I79" s="20">
        <v>1.0166266439678696E-2</v>
      </c>
    </row>
    <row r="80" spans="1:9" x14ac:dyDescent="0.25">
      <c r="A80">
        <v>78</v>
      </c>
      <c r="B80">
        <v>155.46611846969751</v>
      </c>
      <c r="C80">
        <v>1.6080491673275205E-2</v>
      </c>
      <c r="D80">
        <v>157.96609009322592</v>
      </c>
      <c r="E80">
        <v>1.5952570106097227E-2</v>
      </c>
      <c r="F80">
        <v>1.0166266439678696E-2</v>
      </c>
      <c r="H80" s="20">
        <v>158.30374760150335</v>
      </c>
      <c r="I80" s="20">
        <v>1.0337570601131441E-2</v>
      </c>
    </row>
    <row r="81" spans="1:9" x14ac:dyDescent="0.25">
      <c r="A81">
        <v>79</v>
      </c>
      <c r="B81">
        <v>155.7698189392749</v>
      </c>
      <c r="C81">
        <v>1.6267134926928769E-2</v>
      </c>
      <c r="D81">
        <v>158.30374760150335</v>
      </c>
      <c r="E81">
        <v>1.613624267444658E-2</v>
      </c>
      <c r="F81">
        <v>1.0337570601131441E-2</v>
      </c>
      <c r="H81" s="20">
        <v>158.62586048916765</v>
      </c>
      <c r="I81" s="20">
        <v>1.0509410433189349E-2</v>
      </c>
    </row>
    <row r="82" spans="1:9" x14ac:dyDescent="0.25">
      <c r="A82">
        <v>80</v>
      </c>
      <c r="B82">
        <v>156.05811488359319</v>
      </c>
      <c r="C82">
        <v>1.6453778180582333E-2</v>
      </c>
      <c r="D82">
        <v>158.62586048916765</v>
      </c>
      <c r="E82">
        <v>1.631988151337864E-2</v>
      </c>
      <c r="F82">
        <v>1.0509410433189349E-2</v>
      </c>
      <c r="H82" s="20">
        <v>158.93251329890811</v>
      </c>
      <c r="I82" s="20">
        <v>1.068178285143663E-2</v>
      </c>
    </row>
    <row r="83" spans="1:9" x14ac:dyDescent="0.25">
      <c r="A83">
        <v>81</v>
      </c>
      <c r="B83">
        <v>156.33109794581296</v>
      </c>
      <c r="C83">
        <v>1.6640421434235896E-2</v>
      </c>
      <c r="D83">
        <v>158.93251329890811</v>
      </c>
      <c r="E83">
        <v>1.6503486635279417E-2</v>
      </c>
      <c r="F83">
        <v>1.068178285143663E-2</v>
      </c>
      <c r="H83" s="20">
        <v>159.2237850121256</v>
      </c>
      <c r="I83" s="20">
        <v>1.0854684975160199E-2</v>
      </c>
    </row>
    <row r="84" spans="1:9" x14ac:dyDescent="0.25">
      <c r="A84">
        <v>82</v>
      </c>
      <c r="B84">
        <v>156.58885423255197</v>
      </c>
      <c r="C84">
        <v>1.682706468788946E-2</v>
      </c>
      <c r="D84">
        <v>159.2237850121256</v>
      </c>
      <c r="E84">
        <v>1.6687058052527438E-2</v>
      </c>
      <c r="F84">
        <v>1.0854684975160199E-2</v>
      </c>
      <c r="H84" s="20">
        <v>159.49974918812902</v>
      </c>
      <c r="I84" s="20">
        <v>1.1028114122252474E-2</v>
      </c>
    </row>
    <row r="85" spans="1:9" x14ac:dyDescent="0.25">
      <c r="A85">
        <v>83</v>
      </c>
      <c r="B85">
        <v>156.83146445583299</v>
      </c>
      <c r="C85">
        <v>1.7013707941543024E-2</v>
      </c>
      <c r="D85">
        <v>159.49974918812902</v>
      </c>
      <c r="E85">
        <v>1.6870595777495296E-2</v>
      </c>
      <c r="F85">
        <v>1.1028114122252474E-2</v>
      </c>
      <c r="H85" s="20">
        <v>159.76047409285283</v>
      </c>
      <c r="I85" s="20">
        <v>1.120206780449467E-2</v>
      </c>
    </row>
    <row r="86" spans="1:9" x14ac:dyDescent="0.25">
      <c r="A86">
        <v>84</v>
      </c>
      <c r="B86">
        <v>157.05900406457434</v>
      </c>
      <c r="C86">
        <v>1.7200351195196587E-2</v>
      </c>
      <c r="D86">
        <v>159.76047409285283</v>
      </c>
      <c r="E86">
        <v>1.7054099822547887E-2</v>
      </c>
      <c r="F86">
        <v>1.120206780449467E-2</v>
      </c>
      <c r="H86" s="20">
        <v>160.00602281760933</v>
      </c>
      <c r="I86" s="20">
        <v>1.1376543723208458E-2</v>
      </c>
    </row>
    <row r="87" spans="1:9" x14ac:dyDescent="0.25">
      <c r="A87">
        <v>85</v>
      </c>
      <c r="B87">
        <v>157.27154336614018</v>
      </c>
      <c r="C87">
        <v>1.7386994448850151E-2</v>
      </c>
      <c r="D87">
        <v>160.00602281760933</v>
      </c>
      <c r="E87">
        <v>1.7237570200043965E-2</v>
      </c>
      <c r="F87">
        <v>1.1376543723208458E-2</v>
      </c>
      <c r="H87" s="20">
        <v>160.23645338834385</v>
      </c>
      <c r="I87" s="20">
        <v>1.1551539765253289E-2</v>
      </c>
    </row>
    <row r="88" spans="1:9" x14ac:dyDescent="0.25">
      <c r="A88">
        <v>86</v>
      </c>
      <c r="B88">
        <v>157.46914763842412</v>
      </c>
      <c r="C88">
        <v>1.7573637702503715E-2</v>
      </c>
      <c r="D88">
        <v>160.23645338834385</v>
      </c>
      <c r="E88">
        <v>1.7421006922335482E-2</v>
      </c>
      <c r="F88">
        <v>1.1551539765253289E-2</v>
      </c>
      <c r="H88" s="20">
        <v>160.45181886581656</v>
      </c>
      <c r="I88" s="20">
        <v>1.1727053999356075E-2</v>
      </c>
    </row>
    <row r="89" spans="1:9" x14ac:dyDescent="0.25">
      <c r="A89">
        <v>87</v>
      </c>
      <c r="B89">
        <v>157.65187723289475</v>
      </c>
      <c r="C89">
        <v>1.7760280956157278E-2</v>
      </c>
      <c r="D89">
        <v>160.45181886581656</v>
      </c>
      <c r="E89">
        <v>1.7604410001766938E-2</v>
      </c>
      <c r="F89">
        <v>1.1727053999356075E-2</v>
      </c>
      <c r="H89" s="20">
        <v>160.65216743709786</v>
      </c>
      <c r="I89" s="20">
        <v>1.190308467276124E-2</v>
      </c>
    </row>
    <row r="90" spans="1:9" x14ac:dyDescent="0.25">
      <c r="A90">
        <v>88</v>
      </c>
      <c r="B90">
        <v>157.81978766899397</v>
      </c>
      <c r="C90">
        <v>1.7946924209810842E-2</v>
      </c>
      <c r="D90">
        <v>160.65216743709786</v>
      </c>
      <c r="E90">
        <v>1.7787779450676913E-2</v>
      </c>
      <c r="F90">
        <v>1.190308467276124E-2</v>
      </c>
      <c r="H90" s="20">
        <v>160.83754249872192</v>
      </c>
      <c r="I90" s="20">
        <v>1.2079630208183076E-2</v>
      </c>
    </row>
    <row r="91" spans="1:9" x14ac:dyDescent="0.25">
      <c r="A91">
        <v>89</v>
      </c>
      <c r="B91">
        <v>157.97292972023885</v>
      </c>
      <c r="C91">
        <v>1.8133567463464405E-2</v>
      </c>
      <c r="D91">
        <v>160.83754249872192</v>
      </c>
      <c r="E91">
        <v>1.7971115281396333E-2</v>
      </c>
      <c r="F91">
        <v>1.2079630208183076E-2</v>
      </c>
      <c r="H91" s="20">
        <v>161.00798273181462</v>
      </c>
      <c r="I91" s="20">
        <v>1.2256689201055318E-2</v>
      </c>
    </row>
    <row r="92" spans="1:9" x14ac:dyDescent="0.25">
      <c r="A92">
        <v>90</v>
      </c>
      <c r="B92">
        <v>158.11134949234696</v>
      </c>
      <c r="C92">
        <v>1.8320210717117969E-2</v>
      </c>
      <c r="D92">
        <v>161.00798273181462</v>
      </c>
      <c r="E92">
        <v>1.8154417506249992E-2</v>
      </c>
      <c r="F92">
        <v>1.2256689201055318E-2</v>
      </c>
      <c r="H92" s="20">
        <v>161.16352216947342</v>
      </c>
      <c r="I92" s="20">
        <v>1.2434260417062377E-2</v>
      </c>
    </row>
    <row r="93" spans="1:9" x14ac:dyDescent="0.25">
      <c r="A93">
        <v>91</v>
      </c>
      <c r="B93">
        <v>158.23508849366897</v>
      </c>
      <c r="C93">
        <v>1.8506853970771533E-2</v>
      </c>
      <c r="D93">
        <v>161.16352216947342</v>
      </c>
      <c r="E93">
        <v>1.833768613755591E-2</v>
      </c>
      <c r="F93">
        <v>1.2434260417062377E-2</v>
      </c>
      <c r="H93" s="20">
        <v>161.3041902566498</v>
      </c>
      <c r="I93" s="20">
        <v>1.2612342789945202E-2</v>
      </c>
    </row>
    <row r="94" spans="1:9" x14ac:dyDescent="0.25">
      <c r="A94">
        <v>92</v>
      </c>
      <c r="B94">
        <v>158.34418369818394</v>
      </c>
      <c r="C94">
        <v>1.8693497224425096E-2</v>
      </c>
      <c r="D94">
        <v>161.3041902566498</v>
      </c>
      <c r="E94">
        <v>1.8520921187624682E-2</v>
      </c>
      <c r="F94">
        <v>1.2612342789945202E-2</v>
      </c>
      <c r="H94" s="20">
        <v>161.43001190275487</v>
      </c>
      <c r="I94" s="20">
        <v>1.2790935419575853E-2</v>
      </c>
    </row>
    <row r="95" spans="1:9" x14ac:dyDescent="0.25">
      <c r="A95">
        <v>93</v>
      </c>
      <c r="B95">
        <v>158.43866760128302</v>
      </c>
      <c r="C95">
        <v>1.888014047807866E-2</v>
      </c>
      <c r="D95">
        <v>161.43001190275487</v>
      </c>
      <c r="E95">
        <v>1.8704122668761012E-2</v>
      </c>
      <c r="F95">
        <v>1.2790935419575853E-2</v>
      </c>
      <c r="H95" s="20">
        <v>161.5410075271798</v>
      </c>
      <c r="I95" s="20">
        <v>1.2970037570288345E-2</v>
      </c>
    </row>
    <row r="96" spans="1:9" x14ac:dyDescent="0.25">
      <c r="A96">
        <v>94</v>
      </c>
      <c r="B96">
        <v>158.51856826853972</v>
      </c>
      <c r="C96">
        <v>1.9066783731732224E-2</v>
      </c>
      <c r="D96">
        <v>161.5410075271798</v>
      </c>
      <c r="E96">
        <v>1.8887290593261965E-2</v>
      </c>
      <c r="F96">
        <v>1.2970037570288345E-2</v>
      </c>
      <c r="H96" s="20">
        <v>161.63719309789849</v>
      </c>
      <c r="I96" s="20">
        <v>1.3149648669466179E-2</v>
      </c>
    </row>
    <row r="97" spans="1:9" x14ac:dyDescent="0.25">
      <c r="A97">
        <v>95</v>
      </c>
      <c r="B97">
        <v>158.58390937763909</v>
      </c>
      <c r="C97">
        <v>1.9253426985385787E-2</v>
      </c>
      <c r="D97">
        <v>161.63719309789849</v>
      </c>
      <c r="E97">
        <v>1.9070424973418505E-2</v>
      </c>
      <c r="F97">
        <v>1.3149648669466179E-2</v>
      </c>
      <c r="H97" s="20">
        <v>161.71858016329242</v>
      </c>
      <c r="I97" s="20">
        <v>1.332976830637593E-2</v>
      </c>
    </row>
    <row r="98" spans="1:9" x14ac:dyDescent="0.25">
      <c r="A98">
        <v>96</v>
      </c>
      <c r="B98">
        <v>158.63471025361252</v>
      </c>
      <c r="C98">
        <v>1.9440070239039351E-2</v>
      </c>
      <c r="D98">
        <v>161.71858016329242</v>
      </c>
      <c r="E98">
        <v>1.9253525821514846E-2</v>
      </c>
      <c r="F98">
        <v>1.332976830637593E-2</v>
      </c>
      <c r="H98" s="20">
        <v>161.785175877315</v>
      </c>
      <c r="I98" s="20">
        <v>1.3510396231244833E-2</v>
      </c>
    </row>
    <row r="99" spans="1:9" x14ac:dyDescent="0.25">
      <c r="A99">
        <v>97</v>
      </c>
      <c r="B99">
        <v>158.67098589750162</v>
      </c>
      <c r="C99">
        <v>1.9626713492692915E-2</v>
      </c>
      <c r="D99">
        <v>161.785175877315</v>
      </c>
      <c r="E99">
        <v>1.9436593149827801E-2</v>
      </c>
      <c r="F99">
        <v>1.3510396231244833E-2</v>
      </c>
      <c r="H99" s="20">
        <v>161.83698301808803</v>
      </c>
      <c r="I99" s="20">
        <v>1.3691532354581138E-2</v>
      </c>
    </row>
    <row r="100" spans="1:9" x14ac:dyDescent="0.25">
      <c r="A100">
        <v>98</v>
      </c>
      <c r="B100">
        <v>158.69274700854993</v>
      </c>
      <c r="C100">
        <v>1.9813356746346478E-2</v>
      </c>
      <c r="D100">
        <v>161.83698301808803</v>
      </c>
      <c r="E100">
        <v>1.9619626970628318E-2</v>
      </c>
      <c r="F100">
        <v>1.3691532354581138E-2</v>
      </c>
      <c r="H100" s="20">
        <v>161.87400000000002</v>
      </c>
      <c r="I100" s="20">
        <v>1.3873176746729179E-2</v>
      </c>
    </row>
    <row r="101" spans="1:9" x14ac:dyDescent="0.25">
      <c r="A101">
        <v>99</v>
      </c>
      <c r="B101">
        <v>158.70000000000002</v>
      </c>
      <c r="C101">
        <v>2.0000000000000042E-2</v>
      </c>
      <c r="D101">
        <v>161.87400000000002</v>
      </c>
      <c r="E101">
        <v>1.980262729617973E-2</v>
      </c>
      <c r="F101">
        <v>1.3873176746729179E-2</v>
      </c>
      <c r="H101" s="20">
        <v>182.505</v>
      </c>
      <c r="I101" s="20">
        <v>0.13307677753999378</v>
      </c>
    </row>
    <row r="102" spans="1:9" x14ac:dyDescent="0.25">
      <c r="A102">
        <v>100</v>
      </c>
      <c r="B102">
        <v>158.70000000000002</v>
      </c>
      <c r="C102">
        <v>0.15</v>
      </c>
      <c r="D102">
        <v>182.505</v>
      </c>
      <c r="E102">
        <v>0.13976194237515863</v>
      </c>
      <c r="F102">
        <v>0.13307677753999378</v>
      </c>
    </row>
  </sheetData>
  <mergeCells count="4">
    <mergeCell ref="B1:C1"/>
    <mergeCell ref="D1:E1"/>
    <mergeCell ref="A1:A2"/>
    <mergeCell ref="H1:I1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E27"/>
  <sheetViews>
    <sheetView workbookViewId="0"/>
  </sheetViews>
  <sheetFormatPr defaultColWidth="11.42578125" defaultRowHeight="15" x14ac:dyDescent="0.25"/>
  <cols>
    <col min="2" max="2" width="15.5703125" customWidth="1"/>
  </cols>
  <sheetData>
    <row r="1" spans="1:5" x14ac:dyDescent="0.25">
      <c r="A1">
        <v>4</v>
      </c>
    </row>
    <row r="2" spans="1:5" x14ac:dyDescent="0.25"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B3" s="1">
        <v>20</v>
      </c>
      <c r="C3" s="1">
        <v>1</v>
      </c>
      <c r="D3" s="1">
        <v>1</v>
      </c>
      <c r="E3" s="1">
        <v>1</v>
      </c>
    </row>
    <row r="4" spans="1:5" x14ac:dyDescent="0.25">
      <c r="B4" s="1">
        <v>100</v>
      </c>
      <c r="C4" s="1">
        <v>1</v>
      </c>
      <c r="D4" s="1">
        <v>1</v>
      </c>
      <c r="E4" s="1">
        <v>1</v>
      </c>
    </row>
    <row r="5" spans="1:5" x14ac:dyDescent="0.25">
      <c r="B5" s="1">
        <v>150</v>
      </c>
      <c r="C5" s="1">
        <v>1</v>
      </c>
      <c r="D5" s="1">
        <f>(D6+D4)/2</f>
        <v>0.90349999999999997</v>
      </c>
      <c r="E5" s="1">
        <v>0.95</v>
      </c>
    </row>
    <row r="6" spans="1:5" x14ac:dyDescent="0.25">
      <c r="B6" s="1">
        <v>200</v>
      </c>
      <c r="C6" s="1">
        <v>1</v>
      </c>
      <c r="D6" s="1">
        <v>0.80700000000000005</v>
      </c>
      <c r="E6" s="1">
        <v>0.9</v>
      </c>
    </row>
    <row r="7" spans="1:5" x14ac:dyDescent="0.25">
      <c r="B7" s="1">
        <v>250</v>
      </c>
      <c r="C7" s="1">
        <v>1</v>
      </c>
      <c r="D7" s="1">
        <f>(D8+D6)/2</f>
        <v>0.71</v>
      </c>
      <c r="E7" s="1">
        <v>0.85</v>
      </c>
    </row>
    <row r="8" spans="1:5" x14ac:dyDescent="0.25">
      <c r="B8" s="1">
        <v>300</v>
      </c>
      <c r="C8" s="1">
        <v>1</v>
      </c>
      <c r="D8" s="1">
        <v>0.61299999999999999</v>
      </c>
      <c r="E8" s="1">
        <v>0.8</v>
      </c>
    </row>
    <row r="9" spans="1:5" x14ac:dyDescent="0.25">
      <c r="B9" s="1">
        <v>350</v>
      </c>
      <c r="C9" s="1">
        <v>1</v>
      </c>
      <c r="D9" s="1">
        <f>(D10+D8)/2</f>
        <v>0.51649999999999996</v>
      </c>
      <c r="E9" s="1">
        <v>0.75</v>
      </c>
    </row>
    <row r="10" spans="1:5" x14ac:dyDescent="0.25">
      <c r="B10" s="1">
        <v>400</v>
      </c>
      <c r="C10" s="1">
        <v>1</v>
      </c>
      <c r="D10" s="1">
        <v>0.42</v>
      </c>
      <c r="E10" s="1">
        <v>0.7</v>
      </c>
    </row>
    <row r="11" spans="1:5" x14ac:dyDescent="0.25">
      <c r="B11" s="1">
        <v>450</v>
      </c>
      <c r="C11" s="1">
        <v>0.89</v>
      </c>
      <c r="D11" s="1">
        <f>(D12+D10)/2</f>
        <v>0.39</v>
      </c>
      <c r="E11" s="1">
        <v>0.65</v>
      </c>
    </row>
    <row r="12" spans="1:5" x14ac:dyDescent="0.25">
      <c r="B12" s="1">
        <v>500</v>
      </c>
      <c r="C12" s="1">
        <v>0.78</v>
      </c>
      <c r="D12" s="1">
        <v>0.36</v>
      </c>
      <c r="E12" s="1">
        <v>0.6</v>
      </c>
    </row>
    <row r="13" spans="1:5" x14ac:dyDescent="0.25">
      <c r="B13" s="1">
        <v>550</v>
      </c>
      <c r="C13" s="1">
        <v>0.625</v>
      </c>
      <c r="D13" s="1">
        <f>(D14+D12)/2</f>
        <v>0.27</v>
      </c>
      <c r="E13" s="1">
        <v>0.45500000000000002</v>
      </c>
    </row>
    <row r="14" spans="1:5" x14ac:dyDescent="0.25">
      <c r="B14" s="1">
        <v>600</v>
      </c>
      <c r="C14" s="1">
        <v>0.47</v>
      </c>
      <c r="D14" s="1">
        <v>0.18</v>
      </c>
      <c r="E14" s="1">
        <v>0.31</v>
      </c>
    </row>
    <row r="15" spans="1:5" x14ac:dyDescent="0.25">
      <c r="B15" s="1">
        <v>650</v>
      </c>
      <c r="C15" s="1">
        <v>0.35</v>
      </c>
      <c r="D15" s="1">
        <f>(D16+D14)/2</f>
        <v>0.1275</v>
      </c>
      <c r="E15" s="1">
        <v>0.22</v>
      </c>
    </row>
    <row r="16" spans="1:5" x14ac:dyDescent="0.25">
      <c r="B16" s="1">
        <v>700</v>
      </c>
      <c r="C16" s="1">
        <v>0.23</v>
      </c>
      <c r="D16" s="1">
        <v>7.4999999999999997E-2</v>
      </c>
      <c r="E16" s="1">
        <v>0.13</v>
      </c>
    </row>
    <row r="17" spans="2:5" x14ac:dyDescent="0.25">
      <c r="B17" s="1">
        <v>750</v>
      </c>
      <c r="C17" s="1">
        <v>0.17</v>
      </c>
      <c r="D17" s="1">
        <f>(D18+D16)/2</f>
        <v>6.25E-2</v>
      </c>
      <c r="E17" s="1">
        <v>0.11</v>
      </c>
    </row>
    <row r="18" spans="2:5" x14ac:dyDescent="0.25">
      <c r="B18" s="1">
        <v>800</v>
      </c>
      <c r="C18" s="1">
        <v>0.11</v>
      </c>
      <c r="D18" s="1">
        <v>0.05</v>
      </c>
      <c r="E18" s="1">
        <v>0.09</v>
      </c>
    </row>
    <row r="19" spans="2:5" x14ac:dyDescent="0.25">
      <c r="B19" s="1">
        <v>850</v>
      </c>
      <c r="C19" s="1">
        <v>8.5000000000000006E-2</v>
      </c>
      <c r="D19" s="1">
        <f>(D20+D18)/2</f>
        <v>4.3749999999999997E-2</v>
      </c>
      <c r="E19" s="1">
        <v>7.8750000000000001E-2</v>
      </c>
    </row>
    <row r="20" spans="2:5" x14ac:dyDescent="0.25">
      <c r="B20" s="1">
        <v>900</v>
      </c>
      <c r="C20" s="1">
        <v>0.06</v>
      </c>
      <c r="D20" s="1">
        <v>3.7499999999999999E-2</v>
      </c>
      <c r="E20" s="1">
        <v>6.7500000000000004E-2</v>
      </c>
    </row>
    <row r="21" spans="2:5" x14ac:dyDescent="0.25">
      <c r="B21" s="1">
        <v>950</v>
      </c>
      <c r="C21" s="1">
        <v>0.05</v>
      </c>
      <c r="D21" s="1">
        <f>(D22+D20)/2</f>
        <v>3.125E-2</v>
      </c>
      <c r="E21" s="1">
        <v>5.6250000000000001E-2</v>
      </c>
    </row>
    <row r="22" spans="2:5" x14ac:dyDescent="0.25">
      <c r="B22" s="1">
        <v>1000</v>
      </c>
      <c r="C22" s="1">
        <v>0.04</v>
      </c>
      <c r="D22" s="1">
        <v>2.5000000000000001E-2</v>
      </c>
      <c r="E22" s="1">
        <v>4.4999999999999998E-2</v>
      </c>
    </row>
    <row r="23" spans="2:5" x14ac:dyDescent="0.25">
      <c r="B23" s="1">
        <v>1050</v>
      </c>
      <c r="C23" s="1">
        <v>0.03</v>
      </c>
      <c r="D23" s="1">
        <f>(D24+D22)/2</f>
        <v>1.8750000000000003E-2</v>
      </c>
      <c r="E23" s="1">
        <v>3.3750000000000002E-2</v>
      </c>
    </row>
    <row r="24" spans="2:5" x14ac:dyDescent="0.25">
      <c r="B24" s="1">
        <v>1100</v>
      </c>
      <c r="C24" s="1">
        <v>0.02</v>
      </c>
      <c r="D24" s="1">
        <v>1.2500000000000001E-2</v>
      </c>
      <c r="E24" s="1">
        <v>2.2499999999999999E-2</v>
      </c>
    </row>
    <row r="25" spans="2:5" x14ac:dyDescent="0.25">
      <c r="B25" s="1">
        <v>1150</v>
      </c>
      <c r="C25" s="1">
        <v>0.01</v>
      </c>
      <c r="D25" s="1">
        <f>(D26+D24)/2</f>
        <v>6.2500000000000003E-3</v>
      </c>
      <c r="E25" s="1">
        <v>1.125E-2</v>
      </c>
    </row>
    <row r="26" spans="2:5" x14ac:dyDescent="0.25">
      <c r="B26" s="1">
        <v>1200</v>
      </c>
      <c r="C26" s="1">
        <v>0</v>
      </c>
      <c r="D26" s="1">
        <v>0</v>
      </c>
      <c r="E26" s="1">
        <v>0</v>
      </c>
    </row>
    <row r="27" spans="2:5" x14ac:dyDescent="0.25">
      <c r="B27" s="2"/>
      <c r="C27" s="2"/>
      <c r="D27" s="2"/>
      <c r="E27" s="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A3B8A85-3284-4A48-B7B6-7AAA6C7AF6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4171F-BF74-423D-855B-538EF85309D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0DF549A-566D-42F8-A91E-A45D933BD6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Input_2</vt:lpstr>
      <vt:lpstr>Input</vt:lpstr>
      <vt:lpstr>Validation_1</vt:lpstr>
      <vt:lpstr>Validation_2</vt:lpstr>
      <vt:lpstr>Validation_0</vt:lpstr>
      <vt:lpstr>Validation_355</vt:lpstr>
      <vt:lpstr>Validation_235</vt:lpstr>
      <vt:lpstr>Validation_460</vt:lpstr>
      <vt:lpstr>Validation_690</vt:lpstr>
      <vt:lpstr>Reference</vt:lpstr>
      <vt:lpstr>Material_law</vt:lpstr>
      <vt:lpstr>Abaqus_input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2019-07-11T12:55:06Z</dcterms:created>
  <dcterms:modified xsi:type="dcterms:W3CDTF">2026-06-30T17:17:40Z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