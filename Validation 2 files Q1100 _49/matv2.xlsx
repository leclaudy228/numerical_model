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Kokou\Kokou_Case_study_1_Steel_Column\Numerical model_validation\Validation 2 files Q1100 _49\"/>
    </mc:Choice>
  </mc:AlternateContent>
  <xr:revisionPtr revIDLastSave="0" documentId="13_ncr:1_{09D653CD-F3FD-4A01-85F9-F302FCB9CAAB}" xr6:coauthVersionLast="47" xr6:coauthVersionMax="47" xr10:uidLastSave="{00000000-0000-0000-0000-000000000000}"/>
  <bookViews>
    <workbookView xWindow="-120" yWindow="-120" windowWidth="29040" windowHeight="15720" activeTab="2" xr2:uid="{B3E083EB-F11A-4677-8FE9-F7669333D533}"/>
  </bookViews>
  <sheets>
    <sheet name="Information" sheetId="6" r:id="rId1"/>
    <sheet name="Validation 2" sheetId="4" r:id="rId2"/>
    <sheet name="Abaqus_input" sheetId="5" r:id="rId3"/>
    <sheet name="Sheet1" sheetId="1" r:id="rId4"/>
  </sheets>
  <externalReferences>
    <externalReference r:id="rId5"/>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5" l="1"/>
  <c r="D31" i="5"/>
  <c r="E30" i="5"/>
  <c r="D30" i="5"/>
  <c r="E29" i="5"/>
  <c r="D29" i="5"/>
  <c r="E28" i="5"/>
  <c r="D28" i="5"/>
  <c r="E27" i="5"/>
  <c r="D27" i="5"/>
  <c r="E26" i="5"/>
  <c r="D26" i="5"/>
  <c r="E25" i="5"/>
  <c r="D25" i="5"/>
  <c r="E24" i="5"/>
  <c r="D24" i="5"/>
  <c r="E23" i="5"/>
  <c r="D23" i="5"/>
  <c r="E22" i="5"/>
  <c r="D22" i="5"/>
  <c r="E21" i="5"/>
  <c r="D21" i="5"/>
  <c r="E20" i="5"/>
  <c r="D20" i="5"/>
  <c r="E19" i="5"/>
  <c r="D19" i="5"/>
  <c r="E18" i="5"/>
  <c r="D18" i="5"/>
  <c r="E17" i="5"/>
  <c r="D17" i="5"/>
  <c r="E16" i="5"/>
  <c r="D16" i="5"/>
  <c r="E15" i="5"/>
  <c r="D15" i="5"/>
  <c r="E14" i="5"/>
  <c r="D14" i="5"/>
  <c r="E13" i="5"/>
  <c r="D13" i="5"/>
  <c r="E12" i="5"/>
  <c r="D12" i="5"/>
  <c r="E11" i="5"/>
  <c r="D11" i="5"/>
  <c r="E10" i="5"/>
  <c r="D10" i="5"/>
  <c r="E9" i="5"/>
  <c r="D9" i="5"/>
  <c r="E8" i="5"/>
  <c r="D8" i="5"/>
  <c r="E7" i="5"/>
  <c r="D7" i="5"/>
  <c r="E6" i="5"/>
  <c r="D6" i="5"/>
  <c r="J1" i="5"/>
  <c r="F7" i="5" l="1"/>
  <c r="F8" i="5"/>
  <c r="F9" i="5"/>
  <c r="F10" i="5"/>
  <c r="F11" i="5"/>
  <c r="F12" i="5"/>
  <c r="F13" i="5"/>
  <c r="F14" i="5"/>
  <c r="F15" i="5"/>
  <c r="F16" i="5"/>
  <c r="F17" i="5"/>
  <c r="F18" i="5"/>
  <c r="F19" i="5"/>
  <c r="F20" i="5"/>
  <c r="F21" i="5"/>
  <c r="F22" i="5"/>
  <c r="F23" i="5"/>
  <c r="F24" i="5"/>
  <c r="F25" i="5"/>
  <c r="F26" i="5"/>
  <c r="F27" i="5"/>
  <c r="F28" i="5"/>
  <c r="F29" i="5"/>
  <c r="F30" i="5"/>
  <c r="F31" i="5"/>
</calcChain>
</file>

<file path=xl/sharedStrings.xml><?xml version="1.0" encoding="utf-8"?>
<sst xmlns="http://schemas.openxmlformats.org/spreadsheetml/2006/main" count="21" uniqueCount="14">
  <si>
    <t>ε (-)</t>
  </si>
  <si>
    <t>σ (Mpa)</t>
  </si>
  <si>
    <t>Young's modulus (MPa) :</t>
  </si>
  <si>
    <r>
      <t>F</t>
    </r>
    <r>
      <rPr>
        <vertAlign val="subscript"/>
        <sz val="11"/>
        <color theme="1"/>
        <rFont val="Aptos Narrow"/>
        <family val="2"/>
        <scheme val="minor"/>
      </rPr>
      <t>y</t>
    </r>
    <r>
      <rPr>
        <sz val="11"/>
        <color theme="1"/>
        <rFont val="Aptos Narrow"/>
        <family val="2"/>
        <scheme val="minor"/>
      </rPr>
      <t xml:space="preserve"> (Mpa)</t>
    </r>
  </si>
  <si>
    <r>
      <t xml:space="preserve">True </t>
    </r>
    <r>
      <rPr>
        <sz val="11"/>
        <color theme="1"/>
        <rFont val="Aptos Narrow"/>
        <family val="2"/>
      </rPr>
      <t>ε</t>
    </r>
    <r>
      <rPr>
        <vertAlign val="subscript"/>
        <sz val="11"/>
        <color theme="1"/>
        <rFont val="Aptos Narrow"/>
        <family val="2"/>
        <scheme val="minor"/>
      </rPr>
      <t>y</t>
    </r>
  </si>
  <si>
    <t>#</t>
  </si>
  <si>
    <t>Engineering</t>
  </si>
  <si>
    <t>True plastic</t>
  </si>
  <si>
    <t>True</t>
  </si>
  <si>
    <t>Log plastic</t>
  </si>
  <si>
    <t>Information on how to use this Excel file</t>
  </si>
  <si>
    <r>
      <t xml:space="preserve">The purpose of this Excel file is to produce the .dat files related to the material law needed to create the input files for Abaqus. The user must ONLY write in </t>
    </r>
    <r>
      <rPr>
        <i/>
        <sz val="11"/>
        <color theme="4"/>
        <rFont val="Aptos Narrow"/>
        <family val="2"/>
        <scheme val="minor"/>
      </rPr>
      <t>blue cells</t>
    </r>
    <r>
      <rPr>
        <i/>
        <sz val="11"/>
        <color theme="1"/>
        <rFont val="Aptos Narrow"/>
        <family val="2"/>
        <scheme val="minor"/>
      </rPr>
      <t>.</t>
    </r>
  </si>
  <si>
    <t xml:space="preserve">The first step is for the user to copy the points of the engineering material he or she wishes to use.  The user must also specify the elastic modulus. The user must then drag down or delate the formulas in the subsequent columns depending on the number of points used in the material law.  </t>
  </si>
  <si>
    <t>Then, the user must click the «Get .dat files» to generate the .dat files needed to create the input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</si>
</sst>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00"/>
  </numFmts>
  <fonts count="7" x14ac:knownFonts="1">
    <font>
      <sz val="11"/>
      <color theme="1"/>
      <name val="Aptos Narrow"/>
      <family val="2"/>
      <scheme val="minor"/>
    </font>
    <font>
      <sz val="11"/>
      <color theme="1"/>
      <name val="Calibri"/>
      <family val="2"/>
    </font>
    <font>
      <vertAlign val="subscript"/>
      <sz val="11"/>
      <color theme="1"/>
      <name val="Aptos Narrow"/>
      <family val="2"/>
      <scheme val="minor"/>
    </font>
    <font>
      <sz val="11"/>
      <color theme="1"/>
      <name val="Aptos Narrow"/>
      <family val="2"/>
    </font>
    <font>
      <b/>
      <sz val="12"/>
      <color theme="1"/>
      <name val="Aptos Narrow"/>
      <family val="2"/>
      <scheme val="minor"/>
    </font>
    <font>
      <i/>
      <sz val="11"/>
      <color theme="1"/>
      <name val="Aptos Narrow"/>
      <family val="2"/>
      <scheme val="minor"/>
    </font>
    <font>
      <i/>
      <sz val="11"/>
      <color theme="4"/>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xf numFmtId="0" fontId="0" fillId="0" borderId="1" xfId="0" applyBorder="1"/>
    <xf numFmtId="0" fontId="0" fillId="2" borderId="1" xfId="0" applyFill="1" applyBorder="1"/>
    <xf numFmtId="0" fontId="1" fillId="0" borderId="0" xfId="0" applyFont="1"/>
    <xf numFmtId="0" fontId="0" fillId="3" borderId="1" xfId="0" applyFill="1" applyBorder="1"/>
    <xf numFmtId="165" fontId="0" fillId="0" borderId="1" xfId="0" applyNumberFormat="1" applyBorder="1"/>
    <xf numFmtId="166" fontId="0" fillId="0" borderId="1" xfId="0" applyNumberFormat="1" applyBorder="1"/>
    <xf numFmtId="164" fontId="0" fillId="0" borderId="1" xfId="0" applyNumberFormat="1" applyBorder="1"/>
    <xf numFmtId="0" fontId="0" fillId="0" borderId="0" xfId="0" applyAlignment="1">
      <alignment horizontal="center"/>
    </xf>
    <xf numFmtId="0" fontId="4" fillId="0" borderId="0" xfId="0" applyFont="1" applyAlignment="1">
      <alignment horizontal="center"/>
    </xf>
    <xf numFmtId="0" fontId="5" fillId="0" borderId="0" xfId="0" applyFont="1"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'Validation 2'!$B$1</c:f>
              <c:strCache>
                <c:ptCount val="1"/>
                <c:pt idx="0">
                  <c:v>σ (Mpa)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'Validation 2'!$A$2:$A$35</c:f>
              <c:numCache>
                <c:formatCode>General</c:formatCode>
                <c:ptCount val="34"/>
                <c:pt idx="0">
                  <c:v>0</c:v>
                </c:pt>
                <c:pt idx="1">
                  <c:v>3.3354265017549302E-4</c:v>
                </c:pt>
                <c:pt idx="2">
                  <c:v>1.26352616647416E-3</c:v>
                </c:pt>
                <c:pt idx="3">
                  <c:v>2.1926686776034604E-3</c:v>
                </c:pt>
                <c:pt idx="4">
                  <c:v>2.8691732358514898E-3</c:v>
                </c:pt>
                <c:pt idx="5">
                  <c:v>3.4620818802632704E-3</c:v>
                </c:pt>
                <c:pt idx="6">
                  <c:v>4.3945884120700903E-3</c:v>
                </c:pt>
                <c:pt idx="7">
                  <c:v>4.9873288554480102E-3</c:v>
                </c:pt>
                <c:pt idx="8">
                  <c:v>5.8862792809967505E-3</c:v>
                </c:pt>
                <c:pt idx="9">
                  <c:v>6.4000000000000003E-3</c:v>
                </c:pt>
                <c:pt idx="10">
                  <c:v>6.8303075836239303E-3</c:v>
                </c:pt>
                <c:pt idx="11">
                  <c:v>7.38671660368472E-3</c:v>
                </c:pt>
                <c:pt idx="12">
                  <c:v>9.02482647260003E-3</c:v>
                </c:pt>
                <c:pt idx="13">
                  <c:v>1.1180995525852401E-2</c:v>
                </c:pt>
                <c:pt idx="14">
                  <c:v>1.2216609291425E-2</c:v>
                </c:pt>
                <c:pt idx="15">
                  <c:v>1.38577467789501E-2</c:v>
                </c:pt>
                <c:pt idx="16">
                  <c:v>1.67087543031431E-2</c:v>
                </c:pt>
                <c:pt idx="17">
                  <c:v>1.9820137027775499E-2</c:v>
                </c:pt>
                <c:pt idx="18">
                  <c:v>2.3017806882786301E-2</c:v>
                </c:pt>
                <c:pt idx="19">
                  <c:v>2.7858969039796299E-2</c:v>
                </c:pt>
                <c:pt idx="20">
                  <c:v>3.0884569237152201E-2</c:v>
                </c:pt>
                <c:pt idx="21">
                  <c:v>3.4083584700433905E-2</c:v>
                </c:pt>
                <c:pt idx="22">
                  <c:v>4.03956648986869E-2</c:v>
                </c:pt>
                <c:pt idx="23">
                  <c:v>4.8265959474764204E-2</c:v>
                </c:pt>
                <c:pt idx="24">
                  <c:v>5.5964352594220605E-2</c:v>
                </c:pt>
                <c:pt idx="25">
                  <c:v>6.2106045145157406E-2</c:v>
                </c:pt>
                <c:pt idx="26">
                  <c:v>7.1189741979614002E-2</c:v>
                </c:pt>
                <c:pt idx="27">
                  <c:v>7.7073077742517801E-2</c:v>
                </c:pt>
                <c:pt idx="28">
                  <c:v>8.7196425167360009E-2</c:v>
                </c:pt>
                <c:pt idx="29">
                  <c:v>9.4551519976676102E-2</c:v>
                </c:pt>
                <c:pt idx="30">
                  <c:v>0.100349577815404</c:v>
                </c:pt>
                <c:pt idx="31">
                  <c:v>0.10597506139337699</c:v>
                </c:pt>
                <c:pt idx="32">
                  <c:v>0.11289939335493701</c:v>
                </c:pt>
                <c:pt idx="33">
                  <c:v>0.11930600253422799</c:v>
                </c:pt>
              </c:numCache>
            </c:numRef>
          </c:xVal>
          <c:yVal>
            <c:numRef>
              <c:f>'Validation 2'!$B$2:$B$35</c:f>
              <c:numCache>
                <c:formatCode>General</c:formatCode>
                <c:ptCount val="34"/>
                <c:pt idx="0">
                  <c:v>0</c:v>
                </c:pt>
                <c:pt idx="1">
                  <c:v>119.844357976653</c:v>
                </c:pt>
                <c:pt idx="2">
                  <c:v>314.39688715953298</c:v>
                </c:pt>
                <c:pt idx="3">
                  <c:v>516.73151750972704</c:v>
                </c:pt>
                <c:pt idx="4">
                  <c:v>656.80933852140004</c:v>
                </c:pt>
                <c:pt idx="5">
                  <c:v>770.42801556420204</c:v>
                </c:pt>
                <c:pt idx="6">
                  <c:v>941.63424124513597</c:v>
                </c:pt>
                <c:pt idx="7">
                  <c:v>1056.8093385213999</c:v>
                </c:pt>
                <c:pt idx="8">
                  <c:v>1138.5214007782099</c:v>
                </c:pt>
                <c:pt idx="9">
                  <c:v>1186.9000000000001</c:v>
                </c:pt>
                <c:pt idx="10">
                  <c:v>1203.11284046692</c:v>
                </c:pt>
                <c:pt idx="11">
                  <c:v>1254.4747081712001</c:v>
                </c:pt>
                <c:pt idx="12">
                  <c:v>1296.4980544747</c:v>
                </c:pt>
                <c:pt idx="13">
                  <c:v>1344.74708171206</c:v>
                </c:pt>
                <c:pt idx="14">
                  <c:v>1361.8677042801501</c:v>
                </c:pt>
                <c:pt idx="15">
                  <c:v>1375.8754863813199</c:v>
                </c:pt>
                <c:pt idx="16">
                  <c:v>1394.5525291828701</c:v>
                </c:pt>
                <c:pt idx="17">
                  <c:v>1403.89105058365</c:v>
                </c:pt>
                <c:pt idx="18">
                  <c:v>1414.78599221789</c:v>
                </c:pt>
                <c:pt idx="19">
                  <c:v>1417.89883268482</c:v>
                </c:pt>
                <c:pt idx="20">
                  <c:v>1421.0116731517501</c:v>
                </c:pt>
                <c:pt idx="21">
                  <c:v>1419.4552529182799</c:v>
                </c:pt>
                <c:pt idx="22">
                  <c:v>1411.67315175097</c:v>
                </c:pt>
                <c:pt idx="23">
                  <c:v>1385.2140077821</c:v>
                </c:pt>
                <c:pt idx="24">
                  <c:v>1349.4163424124499</c:v>
                </c:pt>
                <c:pt idx="25">
                  <c:v>1318.28793774319</c:v>
                </c:pt>
                <c:pt idx="26">
                  <c:v>1263.8132295719799</c:v>
                </c:pt>
                <c:pt idx="27">
                  <c:v>1223.3463035019399</c:v>
                </c:pt>
                <c:pt idx="28">
                  <c:v>1148.63813229572</c:v>
                </c:pt>
                <c:pt idx="29">
                  <c:v>1089.49416342412</c:v>
                </c:pt>
                <c:pt idx="30">
                  <c:v>1038.1322957198399</c:v>
                </c:pt>
                <c:pt idx="31">
                  <c:v>983.65758754863805</c:v>
                </c:pt>
                <c:pt idx="32">
                  <c:v>910.50583657587504</c:v>
                </c:pt>
                <c:pt idx="33">
                  <c:v>828.01556420233396</c:v>
                </c:pt>
              </c:numCache>
            </c:numRef>
          </c:yVal>
          <c:smooth val="0"/>
          <c:extLst>
            <c:ext xmlns:c16="http://schemas.microsoft.com/office/drawing/2014/chart" uri="{C3380CC4-5D6E-409C-BE32-E72D297353CC}">
              <c16:uniqueId val="{00000000-C9F7-40D0-9A2C-A55E6BC9B26B}"/>
            </c:ext>
          </c:extLst>
        </c:ser>
        <c:dLbls>
          <c:showLegendKey val="0"/>
          <c:showVal val="0"/>
          <c:showCatName val="0"/>
          <c:showSerName val="0"/>
          <c:showPercent val="0"/>
          <c:showBubbleSize val="0"/>
        </c:dLbls>
        <c:axId val="567640832"/>
        <c:axId val="567628832"/>
      </c:scatterChart>
      <c:valAx>
        <c:axId val="567640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28832"/>
        <c:crosses val="autoZero"/>
        <c:crossBetween val="midCat"/>
      </c:valAx>
      <c:valAx>
        <c:axId val="56762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408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Abaqus_input!$I$6:$I$105</c:f>
              <c:numCache>
                <c:formatCode>0.00000</c:formatCode>
                <c:ptCount val="100"/>
                <c:pt idx="1">
                  <c:v>0</c:v>
                </c:pt>
                <c:pt idx="2">
                  <c:v>4.2747974591477497E-4</c:v>
                </c:pt>
                <c:pt idx="3">
                  <c:v>9.7996145720228266E-4</c:v>
                </c:pt>
                <c:pt idx="4">
                  <c:v>2.6047391320880671E-3</c:v>
                </c:pt>
                <c:pt idx="5">
                  <c:v>4.7393432882536475E-3</c:v>
                </c:pt>
                <c:pt idx="6">
                  <c:v>5.762981799573976E-3</c:v>
                </c:pt>
                <c:pt idx="7">
                  <c:v>7.3829991908728942E-3</c:v>
                </c:pt>
                <c:pt idx="8">
                  <c:v>1.0191091805534094E-2</c:v>
                </c:pt>
                <c:pt idx="9">
                  <c:v>1.3246668535797836E-2</c:v>
                </c:pt>
                <c:pt idx="10">
                  <c:v>1.637728638649635E-2</c:v>
                </c:pt>
                <c:pt idx="11">
                  <c:v>2.1098361007570017E-2</c:v>
                </c:pt>
                <c:pt idx="12">
                  <c:v>2.4037631800032773E-2</c:v>
                </c:pt>
                <c:pt idx="13">
                  <c:v>2.7136002122467636E-2</c:v>
                </c:pt>
                <c:pt idx="14">
                  <c:v>3.322148085559385E-2</c:v>
                </c:pt>
                <c:pt idx="15">
                  <c:v>4.0757724863365243E-2</c:v>
                </c:pt>
                <c:pt idx="16">
                  <c:v>4.807482073720129E-2</c:v>
                </c:pt>
                <c:pt idx="17">
                  <c:v>5.3874165056258014E-2</c:v>
                </c:pt>
                <c:pt idx="18">
                  <c:v>6.2390332189652654E-2</c:v>
                </c:pt>
                <c:pt idx="19">
                  <c:v>6.7867641965417475E-2</c:v>
                </c:pt>
                <c:pt idx="20">
                  <c:v>7.7222688775859832E-2</c:v>
                </c:pt>
                <c:pt idx="21">
                  <c:v>8.3965101609841247E-2</c:v>
                </c:pt>
                <c:pt idx="22">
                  <c:v>8.9248320367196834E-2</c:v>
                </c:pt>
                <c:pt idx="23">
                  <c:v>9.4347747412965782E-2</c:v>
                </c:pt>
                <c:pt idx="24">
                  <c:v>0.1005890689301138</c:v>
                </c:pt>
                <c:pt idx="25">
                  <c:v>0.10632924569195036</c:v>
                </c:pt>
              </c:numCache>
            </c:numRef>
          </c:xVal>
          <c:yVal>
            <c:numRef>
              <c:f>Abaqus_input!$H$6:$H$105</c:f>
              <c:numCache>
                <c:formatCode>0.000</c:formatCode>
                <c:ptCount val="100"/>
                <c:pt idx="1">
                  <c:v>1194.4961600000001</c:v>
                </c:pt>
                <c:pt idx="2">
                  <c:v>1211.3304712251168</c:v>
                </c:pt>
                <c:pt idx="3">
                  <c:v>1263.7411573269508</c:v>
                </c:pt>
                <c:pt idx="4">
                  <c:v>1308.1987244383977</c:v>
                </c:pt>
                <c:pt idx="5">
                  <c:v>1359.7826928160855</c:v>
                </c:pt>
                <c:pt idx="6">
                  <c:v>1378.5051099299508</c:v>
                </c:pt>
                <c:pt idx="7">
                  <c:v>1394.942020470957</c:v>
                </c:pt>
                <c:pt idx="8">
                  <c:v>1417.8537647558132</c:v>
                </c:pt>
                <c:pt idx="9">
                  <c:v>1431.7163635782856</c:v>
                </c:pt>
                <c:pt idx="10">
                  <c:v>1447.3512629672325</c:v>
                </c:pt>
                <c:pt idx="11">
                  <c:v>1457.4000323661498</c:v>
                </c:pt>
                <c:pt idx="12">
                  <c:v>1464.8990065580067</c:v>
                </c:pt>
                <c:pt idx="13">
                  <c:v>1467.8353762595959</c:v>
                </c:pt>
                <c:pt idx="14">
                  <c:v>1468.6986273355753</c:v>
                </c:pt>
                <c:pt idx="15">
                  <c:v>1452.0726909455866</c:v>
                </c:pt>
                <c:pt idx="16">
                  <c:v>1424.9355543956237</c:v>
                </c:pt>
                <c:pt idx="17">
                  <c:v>1400.1615879189851</c:v>
                </c:pt>
                <c:pt idx="18">
                  <c:v>1353.7837672956318</c:v>
                </c:pt>
                <c:pt idx="19">
                  <c:v>1317.6333682577665</c:v>
                </c:pt>
                <c:pt idx="20">
                  <c:v>1248.7952712428198</c:v>
                </c:pt>
                <c:pt idx="21">
                  <c:v>1192.5074925815875</c:v>
                </c:pt>
                <c:pt idx="22">
                  <c:v>1142.308433311862</c:v>
                </c:pt>
                <c:pt idx="23">
                  <c:v>1087.9007607791661</c:v>
                </c:pt>
                <c:pt idx="24">
                  <c:v>1013.3013931714207</c:v>
                </c:pt>
                <c:pt idx="25">
                  <c:v>926.80279120343789</c:v>
                </c:pt>
              </c:numCache>
            </c:numRef>
          </c:yVal>
          <c:smooth val="0"/>
          <c:extLst>
            <c:ext xmlns:c16="http://schemas.microsoft.com/office/drawing/2014/chart" uri="{C3380CC4-5D6E-409C-BE32-E72D297353CC}">
              <c16:uniqueId val="{00000000-2F0C-457A-B322-3C78CFE50E51}"/>
            </c:ext>
          </c:extLst>
        </c:ser>
        <c:dLbls>
          <c:showLegendKey val="0"/>
          <c:showVal val="0"/>
          <c:showCatName val="0"/>
          <c:showSerName val="0"/>
          <c:showPercent val="0"/>
          <c:showBubbleSize val="0"/>
        </c:dLbls>
        <c:axId val="566237903"/>
        <c:axId val="576210943"/>
      </c:scatterChart>
      <c:valAx>
        <c:axId val="566237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10943"/>
        <c:crosses val="autoZero"/>
        <c:crossBetween val="midCat"/>
      </c:valAx>
      <c:valAx>
        <c:axId val="57621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237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Eng</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Abaqus_input!$C$6:$C$31</c:f>
              <c:numCache>
                <c:formatCode>General</c:formatCode>
                <c:ptCount val="26"/>
                <c:pt idx="0">
                  <c:v>0</c:v>
                </c:pt>
                <c:pt idx="1">
                  <c:v>6.4000000000000003E-3</c:v>
                </c:pt>
                <c:pt idx="2">
                  <c:v>6.8303075836239303E-3</c:v>
                </c:pt>
                <c:pt idx="3">
                  <c:v>7.38671660368472E-3</c:v>
                </c:pt>
                <c:pt idx="4">
                  <c:v>9.02482647260003E-3</c:v>
                </c:pt>
                <c:pt idx="5">
                  <c:v>1.1180995525852401E-2</c:v>
                </c:pt>
                <c:pt idx="6">
                  <c:v>1.2216609291425E-2</c:v>
                </c:pt>
                <c:pt idx="7">
                  <c:v>1.38577467789501E-2</c:v>
                </c:pt>
                <c:pt idx="8">
                  <c:v>1.67087543031431E-2</c:v>
                </c:pt>
                <c:pt idx="9">
                  <c:v>1.9820137027775499E-2</c:v>
                </c:pt>
                <c:pt idx="10">
                  <c:v>2.3017806882786301E-2</c:v>
                </c:pt>
                <c:pt idx="11">
                  <c:v>2.7858969039796299E-2</c:v>
                </c:pt>
                <c:pt idx="12">
                  <c:v>3.0884569237152201E-2</c:v>
                </c:pt>
                <c:pt idx="13">
                  <c:v>3.4083584700433905E-2</c:v>
                </c:pt>
                <c:pt idx="14">
                  <c:v>4.03956648986869E-2</c:v>
                </c:pt>
                <c:pt idx="15">
                  <c:v>4.8265959474764204E-2</c:v>
                </c:pt>
                <c:pt idx="16">
                  <c:v>5.5964352594220605E-2</c:v>
                </c:pt>
                <c:pt idx="17">
                  <c:v>6.2106045145157406E-2</c:v>
                </c:pt>
                <c:pt idx="18">
                  <c:v>7.1189741979614002E-2</c:v>
                </c:pt>
                <c:pt idx="19">
                  <c:v>7.7073077742517801E-2</c:v>
                </c:pt>
                <c:pt idx="20">
                  <c:v>8.7196425167360009E-2</c:v>
                </c:pt>
                <c:pt idx="21">
                  <c:v>9.4551519976676102E-2</c:v>
                </c:pt>
                <c:pt idx="22">
                  <c:v>0.100349577815404</c:v>
                </c:pt>
                <c:pt idx="23">
                  <c:v>0.10597506139337699</c:v>
                </c:pt>
                <c:pt idx="24">
                  <c:v>0.11289939335493701</c:v>
                </c:pt>
                <c:pt idx="25">
                  <c:v>0.11930600253422799</c:v>
                </c:pt>
              </c:numCache>
            </c:numRef>
          </c:xVal>
          <c:yVal>
            <c:numRef>
              <c:f>Abaqus_input!$B$6:$B$31</c:f>
              <c:numCache>
                <c:formatCode>General</c:formatCode>
                <c:ptCount val="26"/>
                <c:pt idx="0">
                  <c:v>0</c:v>
                </c:pt>
                <c:pt idx="1">
                  <c:v>1186.9000000000001</c:v>
                </c:pt>
                <c:pt idx="2">
                  <c:v>1203.11284046692</c:v>
                </c:pt>
                <c:pt idx="3">
                  <c:v>1254.4747081712001</c:v>
                </c:pt>
                <c:pt idx="4">
                  <c:v>1296.4980544747</c:v>
                </c:pt>
                <c:pt idx="5">
                  <c:v>1344.74708171206</c:v>
                </c:pt>
                <c:pt idx="6">
                  <c:v>1361.8677042801501</c:v>
                </c:pt>
                <c:pt idx="7">
                  <c:v>1375.8754863813199</c:v>
                </c:pt>
                <c:pt idx="8">
                  <c:v>1394.5525291828701</c:v>
                </c:pt>
                <c:pt idx="9">
                  <c:v>1403.89105058365</c:v>
                </c:pt>
                <c:pt idx="10">
                  <c:v>1414.78599221789</c:v>
                </c:pt>
                <c:pt idx="11">
                  <c:v>1417.89883268482</c:v>
                </c:pt>
                <c:pt idx="12">
                  <c:v>1421.0116731517501</c:v>
                </c:pt>
                <c:pt idx="13">
                  <c:v>1419.4552529182799</c:v>
                </c:pt>
                <c:pt idx="14">
                  <c:v>1411.67315175097</c:v>
                </c:pt>
                <c:pt idx="15">
                  <c:v>1385.2140077821</c:v>
                </c:pt>
                <c:pt idx="16">
                  <c:v>1349.4163424124499</c:v>
                </c:pt>
                <c:pt idx="17">
                  <c:v>1318.28793774319</c:v>
                </c:pt>
                <c:pt idx="18">
                  <c:v>1263.8132295719799</c:v>
                </c:pt>
                <c:pt idx="19">
                  <c:v>1223.3463035019399</c:v>
                </c:pt>
                <c:pt idx="20">
                  <c:v>1148.63813229572</c:v>
                </c:pt>
                <c:pt idx="21">
                  <c:v>1089.49416342412</c:v>
                </c:pt>
                <c:pt idx="22">
                  <c:v>1038.1322957198399</c:v>
                </c:pt>
                <c:pt idx="23">
                  <c:v>983.65758754863805</c:v>
                </c:pt>
                <c:pt idx="24">
                  <c:v>910.50583657587504</c:v>
                </c:pt>
                <c:pt idx="25">
                  <c:v>828.01556420233396</c:v>
                </c:pt>
              </c:numCache>
            </c:numRef>
          </c:yVal>
          <c:smooth val="0"/>
          <c:extLst>
            <c:ext xmlns:c16="http://schemas.microsoft.com/office/drawing/2014/chart" uri="{C3380CC4-5D6E-409C-BE32-E72D297353CC}">
              <c16:uniqueId val="{00000000-0E3D-4786-88E8-AED6591DC35D}"/>
            </c:ext>
          </c:extLst>
        </c:ser>
        <c:ser>
          <c:idx val="1"/>
          <c:order val="1"/>
          <c:tx>
            <c:v>TRUE</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Abaqus_input!$E$6:$E$31</c:f>
              <c:numCache>
                <c:formatCode>General</c:formatCode>
                <c:ptCount val="26"/>
                <c:pt idx="0">
                  <c:v>0</c:v>
                </c:pt>
                <c:pt idx="1">
                  <c:v>6.3796069640389879E-3</c:v>
                </c:pt>
                <c:pt idx="2">
                  <c:v>6.8070867099537628E-3</c:v>
                </c:pt>
                <c:pt idx="3">
                  <c:v>7.3595684212412705E-3</c:v>
                </c:pt>
                <c:pt idx="4">
                  <c:v>8.9843460961270549E-3</c:v>
                </c:pt>
                <c:pt idx="5">
                  <c:v>1.1118950252292635E-2</c:v>
                </c:pt>
                <c:pt idx="6">
                  <c:v>1.2142588763612964E-2</c:v>
                </c:pt>
                <c:pt idx="7">
                  <c:v>1.3762606154911882E-2</c:v>
                </c:pt>
                <c:pt idx="8">
                  <c:v>1.6570698769573081E-2</c:v>
                </c:pt>
                <c:pt idx="9">
                  <c:v>1.9626275499836823E-2</c:v>
                </c:pt>
                <c:pt idx="10">
                  <c:v>2.2756893350535337E-2</c:v>
                </c:pt>
                <c:pt idx="11">
                  <c:v>2.7477967971609004E-2</c:v>
                </c:pt>
                <c:pt idx="12">
                  <c:v>3.041723876407176E-2</c:v>
                </c:pt>
                <c:pt idx="13">
                  <c:v>3.3515609086506623E-2</c:v>
                </c:pt>
                <c:pt idx="14">
                  <c:v>3.9601087819632841E-2</c:v>
                </c:pt>
                <c:pt idx="15">
                  <c:v>4.7137331827404233E-2</c:v>
                </c:pt>
                <c:pt idx="16">
                  <c:v>5.4454427701240281E-2</c:v>
                </c:pt>
                <c:pt idx="17">
                  <c:v>6.0253772020297004E-2</c:v>
                </c:pt>
                <c:pt idx="18">
                  <c:v>6.8769939153691645E-2</c:v>
                </c:pt>
                <c:pt idx="19">
                  <c:v>7.4247248929456458E-2</c:v>
                </c:pt>
                <c:pt idx="20">
                  <c:v>8.3602295739898816E-2</c:v>
                </c:pt>
                <c:pt idx="21">
                  <c:v>9.0344708573880231E-2</c:v>
                </c:pt>
                <c:pt idx="22">
                  <c:v>9.5627927331235818E-2</c:v>
                </c:pt>
                <c:pt idx="23">
                  <c:v>0.10072735437700477</c:v>
                </c:pt>
                <c:pt idx="24">
                  <c:v>0.10696867589415278</c:v>
                </c:pt>
                <c:pt idx="25">
                  <c:v>0.11270885265598934</c:v>
                </c:pt>
              </c:numCache>
            </c:numRef>
          </c:xVal>
          <c:yVal>
            <c:numRef>
              <c:f>Abaqus_input!$D$6:$D$31</c:f>
              <c:numCache>
                <c:formatCode>General</c:formatCode>
                <c:ptCount val="26"/>
                <c:pt idx="0">
                  <c:v>0</c:v>
                </c:pt>
                <c:pt idx="1">
                  <c:v>1194.4961600000001</c:v>
                </c:pt>
                <c:pt idx="2">
                  <c:v>1211.3304712251168</c:v>
                </c:pt>
                <c:pt idx="3">
                  <c:v>1263.7411573269508</c:v>
                </c:pt>
                <c:pt idx="4">
                  <c:v>1308.1987244383977</c:v>
                </c:pt>
                <c:pt idx="5">
                  <c:v>1359.7826928160855</c:v>
                </c:pt>
                <c:pt idx="6">
                  <c:v>1378.5051099299508</c:v>
                </c:pt>
                <c:pt idx="7">
                  <c:v>1394.942020470957</c:v>
                </c:pt>
                <c:pt idx="8">
                  <c:v>1417.8537647558132</c:v>
                </c:pt>
                <c:pt idx="9">
                  <c:v>1431.7163635782856</c:v>
                </c:pt>
                <c:pt idx="10">
                  <c:v>1447.3512629672325</c:v>
                </c:pt>
                <c:pt idx="11">
                  <c:v>1457.4000323661498</c:v>
                </c:pt>
                <c:pt idx="12">
                  <c:v>1464.8990065580067</c:v>
                </c:pt>
                <c:pt idx="13">
                  <c:v>1467.8353762595959</c:v>
                </c:pt>
                <c:pt idx="14">
                  <c:v>1468.6986273355753</c:v>
                </c:pt>
                <c:pt idx="15">
                  <c:v>1452.0726909455866</c:v>
                </c:pt>
                <c:pt idx="16">
                  <c:v>1424.9355543956237</c:v>
                </c:pt>
                <c:pt idx="17">
                  <c:v>1400.1615879189851</c:v>
                </c:pt>
                <c:pt idx="18">
                  <c:v>1353.7837672956318</c:v>
                </c:pt>
                <c:pt idx="19">
                  <c:v>1317.6333682577665</c:v>
                </c:pt>
                <c:pt idx="20">
                  <c:v>1248.7952712428198</c:v>
                </c:pt>
                <c:pt idx="21">
                  <c:v>1192.5074925815875</c:v>
                </c:pt>
                <c:pt idx="22">
                  <c:v>1142.308433311862</c:v>
                </c:pt>
                <c:pt idx="23">
                  <c:v>1087.9007607791661</c:v>
                </c:pt>
                <c:pt idx="24">
                  <c:v>1013.3013931714207</c:v>
                </c:pt>
                <c:pt idx="25">
                  <c:v>926.80279120343789</c:v>
                </c:pt>
              </c:numCache>
            </c:numRef>
          </c:yVal>
          <c:smooth val="0"/>
          <c:extLst>
            <c:ext xmlns:c16="http://schemas.microsoft.com/office/drawing/2014/chart" uri="{C3380CC4-5D6E-409C-BE32-E72D297353CC}">
              <c16:uniqueId val="{00000001-0E3D-4786-88E8-AED6591DC35D}"/>
            </c:ext>
          </c:extLst>
        </c:ser>
        <c:dLbls>
          <c:showLegendKey val="0"/>
          <c:showVal val="0"/>
          <c:showCatName val="0"/>
          <c:showSerName val="0"/>
          <c:showPercent val="0"/>
          <c:showBubbleSize val="0"/>
        </c:dLbls>
        <c:axId val="526484048"/>
        <c:axId val="526484528"/>
      </c:scatterChart>
      <c:valAx>
        <c:axId val="52648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84528"/>
        <c:crosses val="autoZero"/>
        <c:crossBetween val="midCat"/>
      </c:valAx>
      <c:valAx>
        <c:axId val="52648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840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342899</xdr:colOff>
      <xdr:row>0</xdr:row>
      <xdr:rowOff>161925</xdr:rowOff>
    </xdr:from>
    <xdr:to>
      <xdr:col>9</xdr:col>
      <xdr:colOff>298450</xdr:colOff>
      <xdr:row>15</xdr:row>
      <xdr:rowOff>184150</xdr:rowOff>
    </xdr:to>
    <xdr:graphicFrame macro="">
      <xdr:nvGraphicFramePr>
        <xdr:cNvPr id="2" name="Chart 1">
          <a:extLst>
            <a:ext uri="{FF2B5EF4-FFF2-40B4-BE49-F238E27FC236}">
              <a16:creationId xmlns:a16="http://schemas.microsoft.com/office/drawing/2014/main" id="{7780B808-75AE-49A1-A128-1681D8EF8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390525</xdr:colOff>
      <xdr:row>1</xdr:row>
      <xdr:rowOff>63500</xdr:rowOff>
    </xdr:from>
    <xdr:to>
      <xdr:col>11</xdr:col>
      <xdr:colOff>361950</xdr:colOff>
      <xdr:row>3</xdr:row>
      <xdr:rowOff>63500</xdr:rowOff>
    </xdr:to>
    <xdr:sp macro="[2]!Create_material_files" textlink="">
      <xdr:nvSpPr>
        <xdr:cNvPr id="2" name="Rectangle 1">
          <a:extLst>
            <a:ext uri="{FF2B5EF4-FFF2-40B4-BE49-F238E27FC236}">
              <a16:creationId xmlns:a16="http://schemas.microsoft.com/office/drawing/2014/main" id="{EB4E5B1C-003E-4955-A274-7090AEA4AE2F}"/>
            </a:ext>
          </a:extLst>
        </xdr:cNvPr>
        <xdr:cNvSpPr/>
      </xdr:nvSpPr>
      <xdr:spPr>
        <a:xfrm>
          <a:off x="7410450" y="292100"/>
          <a:ext cx="1495425" cy="381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CA" sz="1100"/>
            <a:t>Get .dat files</a:t>
          </a:r>
        </a:p>
      </xdr:txBody>
    </xdr:sp>
    <xdr:clientData/>
  </xdr:twoCellAnchor>
  <xdr:twoCellAnchor>
    <xdr:from>
      <xdr:col>12</xdr:col>
      <xdr:colOff>165100</xdr:colOff>
      <xdr:row>9</xdr:row>
      <xdr:rowOff>33337</xdr:rowOff>
    </xdr:from>
    <xdr:to>
      <xdr:col>18</xdr:col>
      <xdr:colOff>165100</xdr:colOff>
      <xdr:row>23</xdr:row>
      <xdr:rowOff>109537</xdr:rowOff>
    </xdr:to>
    <xdr:graphicFrame macro="">
      <xdr:nvGraphicFramePr>
        <xdr:cNvPr id="3" name="Chart 2">
          <a:extLst>
            <a:ext uri="{FF2B5EF4-FFF2-40B4-BE49-F238E27FC236}">
              <a16:creationId xmlns:a16="http://schemas.microsoft.com/office/drawing/2014/main" id="{4713A0A2-019F-440F-B3A8-A4CF1FEF3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295274</xdr:colOff>
      <xdr:row>9</xdr:row>
      <xdr:rowOff>19051</xdr:rowOff>
    </xdr:from>
    <xdr:to>
      <xdr:col>24</xdr:col>
      <xdr:colOff>590550</xdr:colOff>
      <xdr:row>23</xdr:row>
      <xdr:rowOff>114300</xdr:rowOff>
    </xdr:to>
    <xdr:graphicFrame macro="">
      <xdr:nvGraphicFramePr>
        <xdr:cNvPr id="4" name="Chart 3">
          <a:extLst>
            <a:ext uri="{FF2B5EF4-FFF2-40B4-BE49-F238E27FC236}">
              <a16:creationId xmlns:a16="http://schemas.microsoft.com/office/drawing/2014/main" id="{140D36B5-B45A-459E-9984-A4580B36A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Kokou\Kokou_Case_study_1_Steel_Column\Numerical%20model_validation\Material_law%20(version%201).xlsm" TargetMode="External"/><Relationship Id="rId1" Type="http://schemas.openxmlformats.org/officeDocument/2006/relationships/externalLinkPath" Target="/Kokou/Kokou_Case_study_1_Steel_Column/Numerical%20model_validation/Material_law%20(version%201).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Kokou\Kokou_Case_study_1_Steel_Column\Numerical%20model_validation\Material_law_ABAQUS.xlsm" TargetMode="External"/><Relationship Id="rId1" Type="http://schemas.openxmlformats.org/officeDocument/2006/relationships/externalLinkPath" Target="/Kokou/Kokou_Case_study_1_Steel_Column/Numerical%20model_validation/Material_law_ABAQU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_2"/>
      <sheetName val="Input"/>
      <sheetName val="Validation_4"/>
      <sheetName val="Validation_1"/>
      <sheetName val="Validation_2"/>
      <sheetName val="Validation_0"/>
      <sheetName val="Reference"/>
      <sheetName val="Material_law"/>
      <sheetName val="Abaqus_input"/>
      <sheetName val="Data"/>
      <sheetName val="Material_law (version 1)"/>
    </sheetNames>
    <sheetDataSet>
      <sheetData sheetId="0"/>
      <sheetData sheetId="1"/>
      <sheetData sheetId="2"/>
      <sheetData sheetId="3"/>
      <sheetData sheetId="4"/>
      <sheetData sheetId="5"/>
      <sheetData sheetId="6"/>
      <sheetData sheetId="7">
        <row r="2">
          <cell r="B2">
            <v>0</v>
          </cell>
          <cell r="C2">
            <v>0</v>
          </cell>
        </row>
        <row r="3">
          <cell r="B3">
            <v>51.75</v>
          </cell>
          <cell r="C3">
            <v>1.8956043956043955E-3</v>
          </cell>
        </row>
        <row r="4">
          <cell r="B4">
            <v>56.538137547838865</v>
          </cell>
          <cell r="C4">
            <v>2.0822476492579583E-3</v>
          </cell>
        </row>
        <row r="5">
          <cell r="B5">
            <v>60.82614896295393</v>
          </cell>
          <cell r="C5">
            <v>2.2688909029115211E-3</v>
          </cell>
        </row>
        <row r="6">
          <cell r="B6">
            <v>64.733787814360895</v>
          </cell>
          <cell r="C6">
            <v>2.4555341565650839E-3</v>
          </cell>
        </row>
        <row r="7">
          <cell r="B7">
            <v>68.338806064046238</v>
          </cell>
          <cell r="C7">
            <v>2.6421774102186467E-3</v>
          </cell>
        </row>
        <row r="8">
          <cell r="B8">
            <v>71.695106108329796</v>
          </cell>
          <cell r="C8">
            <v>2.8288206638722095E-3</v>
          </cell>
        </row>
        <row r="9">
          <cell r="B9">
            <v>74.841896116278733</v>
          </cell>
          <cell r="C9">
            <v>3.0154639175257723E-3</v>
          </cell>
        </row>
        <row r="10">
          <cell r="B10">
            <v>77.808765142429706</v>
          </cell>
          <cell r="C10">
            <v>3.2021071711793351E-3</v>
          </cell>
        </row>
        <row r="11">
          <cell r="B11">
            <v>80.618702970083746</v>
          </cell>
          <cell r="C11">
            <v>3.3887504248328979E-3</v>
          </cell>
        </row>
        <row r="12">
          <cell r="B12">
            <v>83.289999155979814</v>
          </cell>
          <cell r="C12">
            <v>3.5753936784864607E-3</v>
          </cell>
        </row>
        <row r="13">
          <cell r="B13">
            <v>85.837491525949247</v>
          </cell>
          <cell r="C13">
            <v>3.7620369321400234E-3</v>
          </cell>
        </row>
        <row r="14">
          <cell r="B14">
            <v>88.273417533470123</v>
          </cell>
          <cell r="C14">
            <v>3.9486801857935867E-3</v>
          </cell>
        </row>
        <row r="15">
          <cell r="B15">
            <v>90.60801285660402</v>
          </cell>
          <cell r="C15">
            <v>4.1353234394471495E-3</v>
          </cell>
        </row>
        <row r="16">
          <cell r="B16">
            <v>92.849943377762784</v>
          </cell>
          <cell r="C16">
            <v>4.3219666931007122E-3</v>
          </cell>
        </row>
        <row r="17">
          <cell r="B17">
            <v>95.006623991918303</v>
          </cell>
          <cell r="C17">
            <v>4.508609946754275E-3</v>
          </cell>
        </row>
        <row r="18">
          <cell r="B18">
            <v>97.084458529376846</v>
          </cell>
          <cell r="C18">
            <v>4.6952532004078378E-3</v>
          </cell>
        </row>
        <row r="19">
          <cell r="B19">
            <v>99.089023435004478</v>
          </cell>
          <cell r="C19">
            <v>4.8818964540614006E-3</v>
          </cell>
        </row>
        <row r="20">
          <cell r="B20">
            <v>101.02521054050067</v>
          </cell>
          <cell r="C20">
            <v>5.0685397077149634E-3</v>
          </cell>
        </row>
        <row r="21">
          <cell r="B21">
            <v>102.89733955353645</v>
          </cell>
          <cell r="C21">
            <v>5.2551829613685262E-3</v>
          </cell>
        </row>
        <row r="22">
          <cell r="B22">
            <v>104.7092477712665</v>
          </cell>
          <cell r="C22">
            <v>5.441826215022089E-3</v>
          </cell>
        </row>
        <row r="23">
          <cell r="B23">
            <v>106.4643624192019</v>
          </cell>
          <cell r="C23">
            <v>5.6284694686756518E-3</v>
          </cell>
        </row>
        <row r="24">
          <cell r="B24">
            <v>108.16575956406606</v>
          </cell>
          <cell r="C24">
            <v>5.8151127223292146E-3</v>
          </cell>
        </row>
        <row r="25">
          <cell r="B25">
            <v>109.81621252988073</v>
          </cell>
          <cell r="C25">
            <v>6.0017559759827773E-3</v>
          </cell>
        </row>
        <row r="26">
          <cell r="B26">
            <v>111.41823201937699</v>
          </cell>
          <cell r="C26">
            <v>6.1883992296363401E-3</v>
          </cell>
        </row>
        <row r="27">
          <cell r="B27">
            <v>112.97409961641196</v>
          </cell>
          <cell r="C27">
            <v>6.3750424832899029E-3</v>
          </cell>
        </row>
        <row r="28">
          <cell r="B28">
            <v>114.48589595879356</v>
          </cell>
          <cell r="C28">
            <v>6.5616857369434657E-3</v>
          </cell>
        </row>
        <row r="29">
          <cell r="B29">
            <v>115.95552458392629</v>
          </cell>
          <cell r="C29">
            <v>6.7483289905970285E-3</v>
          </cell>
        </row>
        <row r="30">
          <cell r="B30">
            <v>117.38473223401013</v>
          </cell>
          <cell r="C30">
            <v>6.9349722442505913E-3</v>
          </cell>
        </row>
        <row r="31">
          <cell r="B31">
            <v>118.77512624370905</v>
          </cell>
          <cell r="C31">
            <v>7.1216154979041541E-3</v>
          </cell>
        </row>
        <row r="32">
          <cell r="B32">
            <v>120.12818950755045</v>
          </cell>
          <cell r="C32">
            <v>7.3082587515577169E-3</v>
          </cell>
        </row>
        <row r="33">
          <cell r="B33">
            <v>121.44529342704929</v>
          </cell>
          <cell r="C33">
            <v>7.4949020052112797E-3</v>
          </cell>
        </row>
        <row r="34">
          <cell r="B34">
            <v>122.72770916160843</v>
          </cell>
          <cell r="C34">
            <v>7.6815452588648424E-3</v>
          </cell>
        </row>
        <row r="35">
          <cell r="B35">
            <v>123.97661744748127</v>
          </cell>
          <cell r="C35">
            <v>7.8681885125184061E-3</v>
          </cell>
        </row>
        <row r="36">
          <cell r="B36">
            <v>125.19311720169316</v>
          </cell>
          <cell r="C36">
            <v>8.0548317661719698E-3</v>
          </cell>
        </row>
        <row r="37">
          <cell r="B37">
            <v>126.37823308997763</v>
          </cell>
          <cell r="C37">
            <v>8.2414750198255334E-3</v>
          </cell>
        </row>
        <row r="38">
          <cell r="B38">
            <v>127.53292220736654</v>
          </cell>
          <cell r="C38">
            <v>8.4281182734790971E-3</v>
          </cell>
        </row>
        <row r="39">
          <cell r="B39">
            <v>128.6580799954705</v>
          </cell>
          <cell r="C39">
            <v>8.6147615271326607E-3</v>
          </cell>
        </row>
        <row r="40">
          <cell r="B40">
            <v>129.75454550046956</v>
          </cell>
          <cell r="C40">
            <v>8.8014047807862244E-3</v>
          </cell>
        </row>
        <row r="41">
          <cell r="B41">
            <v>130.82310605945639</v>
          </cell>
          <cell r="C41">
            <v>8.988048034439788E-3</v>
          </cell>
        </row>
        <row r="42">
          <cell r="B42">
            <v>131.86450148930416</v>
          </cell>
          <cell r="C42">
            <v>9.1746912880933517E-3</v>
          </cell>
        </row>
        <row r="43">
          <cell r="B43">
            <v>132.87942784109666</v>
          </cell>
          <cell r="C43">
            <v>9.3613345417469154E-3</v>
          </cell>
        </row>
        <row r="44">
          <cell r="B44">
            <v>133.86854077390936</v>
          </cell>
          <cell r="C44">
            <v>9.547977795400479E-3</v>
          </cell>
        </row>
        <row r="45">
          <cell r="B45">
            <v>134.83245859401464</v>
          </cell>
          <cell r="C45">
            <v>9.7346210490540427E-3</v>
          </cell>
        </row>
        <row r="46">
          <cell r="B46">
            <v>135.7717649991182</v>
          </cell>
          <cell r="C46">
            <v>9.9212643027076063E-3</v>
          </cell>
        </row>
        <row r="47">
          <cell r="B47">
            <v>136.68701156179404</v>
          </cell>
          <cell r="C47">
            <v>1.010790755636117E-2</v>
          </cell>
        </row>
        <row r="48">
          <cell r="B48">
            <v>137.57871998168864</v>
          </cell>
          <cell r="C48">
            <v>1.0294550810014734E-2</v>
          </cell>
        </row>
        <row r="49">
          <cell r="B49">
            <v>138.44738413217095</v>
          </cell>
          <cell r="C49">
            <v>1.0481194063668297E-2</v>
          </cell>
        </row>
        <row r="50">
          <cell r="B50">
            <v>139.29347192378725</v>
          </cell>
          <cell r="C50">
            <v>1.0667837317321861E-2</v>
          </cell>
        </row>
        <row r="51">
          <cell r="B51">
            <v>140.11742700404983</v>
          </cell>
          <cell r="C51">
            <v>1.0854480570975425E-2</v>
          </cell>
        </row>
        <row r="52">
          <cell r="B52">
            <v>140.91967031066321</v>
          </cell>
          <cell r="C52">
            <v>1.1041123824628988E-2</v>
          </cell>
        </row>
        <row r="53">
          <cell r="B53">
            <v>141.70060149320798</v>
          </cell>
          <cell r="C53">
            <v>1.1227767078282552E-2</v>
          </cell>
        </row>
        <row r="54">
          <cell r="B54">
            <v>142.4606002165041</v>
          </cell>
          <cell r="C54">
            <v>1.1414410331936116E-2</v>
          </cell>
        </row>
        <row r="55">
          <cell r="B55">
            <v>143.2000273573243</v>
          </cell>
          <cell r="C55">
            <v>1.1601053585589679E-2</v>
          </cell>
        </row>
        <row r="56">
          <cell r="B56">
            <v>143.91922610478028</v>
          </cell>
          <cell r="C56">
            <v>1.1787696839243243E-2</v>
          </cell>
        </row>
        <row r="57">
          <cell r="B57">
            <v>144.61852297353403</v>
          </cell>
          <cell r="C57">
            <v>1.1974340092896807E-2</v>
          </cell>
        </row>
        <row r="58">
          <cell r="B58">
            <v>145.29822873796741</v>
          </cell>
          <cell r="C58">
            <v>1.216098334655037E-2</v>
          </cell>
        </row>
        <row r="59">
          <cell r="B59">
            <v>145.9586392945493</v>
          </cell>
          <cell r="C59">
            <v>1.2347626600203934E-2</v>
          </cell>
        </row>
        <row r="60">
          <cell r="B60">
            <v>146.60003645886161</v>
          </cell>
          <cell r="C60">
            <v>1.2534269853857498E-2</v>
          </cell>
        </row>
        <row r="61">
          <cell r="B61">
            <v>147.22268870305751</v>
          </cell>
          <cell r="C61">
            <v>1.2720913107511061E-2</v>
          </cell>
        </row>
        <row r="62">
          <cell r="B62">
            <v>147.82685183892292</v>
          </cell>
          <cell r="C62">
            <v>1.2907556361164625E-2</v>
          </cell>
        </row>
        <row r="63">
          <cell r="B63">
            <v>148.41276965118035</v>
          </cell>
          <cell r="C63">
            <v>1.3094199614818188E-2</v>
          </cell>
        </row>
        <row r="64">
          <cell r="B64">
            <v>148.98067448520334</v>
          </cell>
          <cell r="C64">
            <v>1.3280842868471752E-2</v>
          </cell>
        </row>
        <row r="65">
          <cell r="B65">
            <v>149.53078779289356</v>
          </cell>
          <cell r="C65">
            <v>1.3467486122125316E-2</v>
          </cell>
        </row>
        <row r="66">
          <cell r="B66">
            <v>150.06332064010289</v>
          </cell>
          <cell r="C66">
            <v>1.3654129375778879E-2</v>
          </cell>
        </row>
        <row r="67">
          <cell r="B67">
            <v>150.57847417865432</v>
          </cell>
          <cell r="C67">
            <v>1.3840772629432443E-2</v>
          </cell>
        </row>
        <row r="68">
          <cell r="B68">
            <v>151.07644008572183</v>
          </cell>
          <cell r="C68">
            <v>1.4027415883086007E-2</v>
          </cell>
        </row>
        <row r="69">
          <cell r="B69">
            <v>151.55740097306943</v>
          </cell>
          <cell r="C69">
            <v>1.421405913673957E-2</v>
          </cell>
        </row>
        <row r="70">
          <cell r="B70">
            <v>152.02153076841421</v>
          </cell>
          <cell r="C70">
            <v>1.4400702390393134E-2</v>
          </cell>
        </row>
        <row r="71">
          <cell r="B71">
            <v>152.4689950709697</v>
          </cell>
          <cell r="C71">
            <v>1.4587345644046698E-2</v>
          </cell>
        </row>
        <row r="72">
          <cell r="B72">
            <v>152.89995148303765</v>
          </cell>
          <cell r="C72">
            <v>1.4773988897700261E-2</v>
          </cell>
        </row>
        <row r="73">
          <cell r="B73">
            <v>153.31454991934743</v>
          </cell>
          <cell r="C73">
            <v>1.4960632151353825E-2</v>
          </cell>
        </row>
        <row r="74">
          <cell r="B74">
            <v>153.71293289568951</v>
          </cell>
          <cell r="C74">
            <v>1.5147275405007389E-2</v>
          </cell>
        </row>
        <row r="75">
          <cell r="B75">
            <v>154.09523579825267</v>
          </cell>
          <cell r="C75">
            <v>1.5333918658660952E-2</v>
          </cell>
        </row>
        <row r="76">
          <cell r="B76">
            <v>154.46158713495004</v>
          </cell>
          <cell r="C76">
            <v>1.5520561912314516E-2</v>
          </cell>
        </row>
        <row r="77">
          <cell r="B77">
            <v>154.81210876990713</v>
          </cell>
          <cell r="C77">
            <v>1.5707205165968078E-2</v>
          </cell>
        </row>
        <row r="78">
          <cell r="B78">
            <v>155.14691614218219</v>
          </cell>
          <cell r="C78">
            <v>1.5893848419621642E-2</v>
          </cell>
        </row>
        <row r="79">
          <cell r="B79">
            <v>155.46611846969751</v>
          </cell>
          <cell r="C79">
            <v>1.6080491673275205E-2</v>
          </cell>
        </row>
        <row r="80">
          <cell r="B80">
            <v>155.7698189392749</v>
          </cell>
          <cell r="C80">
            <v>1.6267134926928769E-2</v>
          </cell>
        </row>
        <row r="81">
          <cell r="B81">
            <v>156.05811488359319</v>
          </cell>
          <cell r="C81">
            <v>1.6453778180582333E-2</v>
          </cell>
        </row>
        <row r="82">
          <cell r="B82">
            <v>156.33109794581296</v>
          </cell>
          <cell r="C82">
            <v>1.6640421434235896E-2</v>
          </cell>
        </row>
        <row r="83">
          <cell r="B83">
            <v>156.58885423255197</v>
          </cell>
          <cell r="C83">
            <v>1.682706468788946E-2</v>
          </cell>
        </row>
        <row r="84">
          <cell r="B84">
            <v>156.83146445583299</v>
          </cell>
          <cell r="C84">
            <v>1.7013707941543024E-2</v>
          </cell>
        </row>
        <row r="85">
          <cell r="B85">
            <v>157.05900406457434</v>
          </cell>
          <cell r="C85">
            <v>1.7200351195196587E-2</v>
          </cell>
        </row>
        <row r="86">
          <cell r="B86">
            <v>157.27154336614018</v>
          </cell>
          <cell r="C86">
            <v>1.7386994448850151E-2</v>
          </cell>
        </row>
        <row r="87">
          <cell r="B87">
            <v>157.46914763842412</v>
          </cell>
          <cell r="C87">
            <v>1.7573637702503715E-2</v>
          </cell>
        </row>
        <row r="88">
          <cell r="B88">
            <v>157.65187723289475</v>
          </cell>
          <cell r="C88">
            <v>1.7760280956157278E-2</v>
          </cell>
        </row>
        <row r="89">
          <cell r="B89">
            <v>157.81978766899397</v>
          </cell>
          <cell r="C89">
            <v>1.7946924209810842E-2</v>
          </cell>
        </row>
        <row r="90">
          <cell r="B90">
            <v>157.97292972023885</v>
          </cell>
          <cell r="C90">
            <v>1.8133567463464405E-2</v>
          </cell>
        </row>
        <row r="91">
          <cell r="B91">
            <v>158.11134949234696</v>
          </cell>
          <cell r="C91">
            <v>1.8320210717117969E-2</v>
          </cell>
        </row>
        <row r="92">
          <cell r="B92">
            <v>158.23508849366897</v>
          </cell>
          <cell r="C92">
            <v>1.8506853970771533E-2</v>
          </cell>
        </row>
        <row r="93">
          <cell r="B93">
            <v>158.34418369818394</v>
          </cell>
          <cell r="C93">
            <v>1.8693497224425096E-2</v>
          </cell>
        </row>
        <row r="94">
          <cell r="B94">
            <v>158.43866760128302</v>
          </cell>
          <cell r="C94">
            <v>1.888014047807866E-2</v>
          </cell>
        </row>
        <row r="95">
          <cell r="B95">
            <v>158.51856826853972</v>
          </cell>
          <cell r="C95">
            <v>1.9066783731732224E-2</v>
          </cell>
        </row>
        <row r="96">
          <cell r="B96">
            <v>158.58390937763909</v>
          </cell>
          <cell r="C96">
            <v>1.9253426985385787E-2</v>
          </cell>
        </row>
        <row r="97">
          <cell r="B97">
            <v>158.63471025361252</v>
          </cell>
          <cell r="C97">
            <v>1.9440070239039351E-2</v>
          </cell>
        </row>
        <row r="98">
          <cell r="B98">
            <v>158.67098589750162</v>
          </cell>
          <cell r="C98">
            <v>1.9626713492692915E-2</v>
          </cell>
        </row>
        <row r="99">
          <cell r="B99">
            <v>158.69274700854993</v>
          </cell>
          <cell r="C99">
            <v>1.9813356746346478E-2</v>
          </cell>
        </row>
        <row r="100">
          <cell r="B100">
            <v>158.70000000000002</v>
          </cell>
          <cell r="C100">
            <v>2.0000000000000042E-2</v>
          </cell>
        </row>
        <row r="101">
          <cell r="B101">
            <v>158.70000000000002</v>
          </cell>
          <cell r="C101">
            <v>0.15</v>
          </cell>
        </row>
      </sheetData>
      <sheetData sheetId="8"/>
      <sheetData sheetId="9">
        <row r="3">
          <cell r="B3">
            <v>20</v>
          </cell>
        </row>
      </sheetData>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tion"/>
      <sheetName val="Abaqus_input"/>
      <sheetName val="Abaqus_input V 4 345"/>
      <sheetName val="Abaqus_input V 4 235"/>
      <sheetName val="Abaqus_input V 2"/>
      <sheetName val="Abaqus_input V 1"/>
      <sheetName val="Validation 2"/>
      <sheetName val="Validation 1"/>
      <sheetName val="Validation 4"/>
    </sheetNames>
    <definedNames>
      <definedName name="Create_material_files"/>
    </defined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94443-A080-43F3-B8EF-460BE4AAF12B}">
  <sheetPr codeName="Feuil2"/>
  <dimension ref="A1:E14"/>
  <sheetViews>
    <sheetView workbookViewId="0">
      <selection activeCell="A7" sqref="A7:E11"/>
    </sheetView>
  </sheetViews>
  <sheetFormatPr defaultColWidth="10.85546875" defaultRowHeight="15" x14ac:dyDescent="0.25"/>
  <sheetData>
    <row r="1" spans="1:5" ht="15.75" x14ac:dyDescent="0.25">
      <c r="A1" s="10" t="s">
        <v>10</v>
      </c>
      <c r="B1" s="10"/>
      <c r="C1" s="10"/>
      <c r="D1" s="10"/>
      <c r="E1" s="10"/>
    </row>
    <row r="3" spans="1:5" ht="15" customHeight="1" x14ac:dyDescent="0.25">
      <c r="A3" s="11" t="s">
        <v>11</v>
      </c>
      <c r="B3" s="11"/>
      <c r="C3" s="11"/>
      <c r="D3" s="11"/>
      <c r="E3" s="11"/>
    </row>
    <row r="4" spans="1:5" x14ac:dyDescent="0.25">
      <c r="A4" s="11"/>
      <c r="B4" s="11"/>
      <c r="C4" s="11"/>
      <c r="D4" s="11"/>
      <c r="E4" s="11"/>
    </row>
    <row r="5" spans="1:5" x14ac:dyDescent="0.25">
      <c r="A5" s="11"/>
      <c r="B5" s="11"/>
      <c r="C5" s="11"/>
      <c r="D5" s="11"/>
      <c r="E5" s="11"/>
    </row>
    <row r="6" spans="1:5" x14ac:dyDescent="0.25">
      <c r="A6" s="12"/>
      <c r="B6" s="12"/>
      <c r="C6" s="12"/>
      <c r="D6" s="12"/>
      <c r="E6" s="12"/>
    </row>
    <row r="7" spans="1:5" ht="15" customHeight="1" x14ac:dyDescent="0.25">
      <c r="A7" s="11" t="s">
        <v>12</v>
      </c>
      <c r="B7" s="11"/>
      <c r="C7" s="11"/>
      <c r="D7" s="11"/>
      <c r="E7" s="11"/>
    </row>
    <row r="8" spans="1:5" x14ac:dyDescent="0.25">
      <c r="A8" s="11"/>
      <c r="B8" s="11"/>
      <c r="C8" s="11"/>
      <c r="D8" s="11"/>
      <c r="E8" s="11"/>
    </row>
    <row r="9" spans="1:5" x14ac:dyDescent="0.25">
      <c r="A9" s="11"/>
      <c r="B9" s="11"/>
      <c r="C9" s="11"/>
      <c r="D9" s="11"/>
      <c r="E9" s="11"/>
    </row>
    <row r="10" spans="1:5" x14ac:dyDescent="0.25">
      <c r="A10" s="11"/>
      <c r="B10" s="11"/>
      <c r="C10" s="11"/>
      <c r="D10" s="11"/>
      <c r="E10" s="11"/>
    </row>
    <row r="11" spans="1:5" x14ac:dyDescent="0.25">
      <c r="A11" s="11"/>
      <c r="B11" s="11"/>
      <c r="C11" s="11"/>
      <c r="D11" s="11"/>
      <c r="E11" s="11"/>
    </row>
    <row r="13" spans="1:5" x14ac:dyDescent="0.25">
      <c r="A13" s="11" t="s">
        <v>13</v>
      </c>
      <c r="B13" s="11"/>
      <c r="C13" s="11"/>
      <c r="D13" s="11"/>
      <c r="E13" s="11"/>
    </row>
    <row r="14" spans="1:5" x14ac:dyDescent="0.25">
      <c r="A14" s="11"/>
      <c r="B14" s="11"/>
      <c r="C14" s="11"/>
      <c r="D14" s="11"/>
      <c r="E14" s="11"/>
    </row>
  </sheetData>
  <mergeCells count="4">
    <mergeCell ref="A1:E1"/>
    <mergeCell ref="A3:E5"/>
    <mergeCell ref="A7:E11"/>
    <mergeCell ref="A13:E1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C171-E739-46D8-9BD5-93A2522B593E}">
  <sheetPr codeName="Sheet1"/>
  <dimension ref="A1:B35"/>
  <sheetViews>
    <sheetView workbookViewId="0">
      <selection activeCell="B2" sqref="B2:B35"/>
    </sheetView>
  </sheetViews>
  <sheetFormatPr defaultRowHeight="15" x14ac:dyDescent="0.25"/>
  <sheetData>
    <row r="1" spans="1:2" x14ac:dyDescent="0.25">
      <c r="A1" s="1" t="s">
        <v>0</v>
      </c>
      <c r="B1" s="1" t="s">
        <v>1</v>
      </c>
    </row>
    <row r="2" spans="1:2" x14ac:dyDescent="0.25">
      <c r="A2" s="2">
        <v>0</v>
      </c>
      <c r="B2" s="2">
        <v>0</v>
      </c>
    </row>
    <row r="3" spans="1:2" x14ac:dyDescent="0.25">
      <c r="A3" s="2">
        <v>3.3354265017549302E-4</v>
      </c>
      <c r="B3" s="2">
        <v>119.844357976653</v>
      </c>
    </row>
    <row r="4" spans="1:2" x14ac:dyDescent="0.25">
      <c r="A4" s="2">
        <v>1.26352616647416E-3</v>
      </c>
      <c r="B4" s="2">
        <v>314.39688715953298</v>
      </c>
    </row>
    <row r="5" spans="1:2" x14ac:dyDescent="0.25">
      <c r="A5" s="2">
        <v>2.1926686776034604E-3</v>
      </c>
      <c r="B5" s="2">
        <v>516.73151750972704</v>
      </c>
    </row>
    <row r="6" spans="1:2" x14ac:dyDescent="0.25">
      <c r="A6" s="2">
        <v>2.8691732358514898E-3</v>
      </c>
      <c r="B6" s="2">
        <v>656.80933852140004</v>
      </c>
    </row>
    <row r="7" spans="1:2" x14ac:dyDescent="0.25">
      <c r="A7" s="2">
        <v>3.4620818802632704E-3</v>
      </c>
      <c r="B7" s="2">
        <v>770.42801556420204</v>
      </c>
    </row>
    <row r="8" spans="1:2" x14ac:dyDescent="0.25">
      <c r="A8" s="2">
        <v>4.3945884120700903E-3</v>
      </c>
      <c r="B8" s="2">
        <v>941.63424124513597</v>
      </c>
    </row>
    <row r="9" spans="1:2" x14ac:dyDescent="0.25">
      <c r="A9" s="2">
        <v>4.9873288554480102E-3</v>
      </c>
      <c r="B9" s="2">
        <v>1056.8093385213999</v>
      </c>
    </row>
    <row r="10" spans="1:2" x14ac:dyDescent="0.25">
      <c r="A10" s="2">
        <v>5.8862792809967505E-3</v>
      </c>
      <c r="B10" s="2">
        <v>1138.5214007782099</v>
      </c>
    </row>
    <row r="11" spans="1:2" x14ac:dyDescent="0.25">
      <c r="A11" s="2">
        <v>6.4000000000000003E-3</v>
      </c>
      <c r="B11" s="2">
        <v>1186.9000000000001</v>
      </c>
    </row>
    <row r="12" spans="1:2" x14ac:dyDescent="0.25">
      <c r="A12" s="2">
        <v>6.8303075836239303E-3</v>
      </c>
      <c r="B12" s="2">
        <v>1203.11284046692</v>
      </c>
    </row>
    <row r="13" spans="1:2" x14ac:dyDescent="0.25">
      <c r="A13" s="2">
        <v>7.38671660368472E-3</v>
      </c>
      <c r="B13" s="2">
        <v>1254.4747081712001</v>
      </c>
    </row>
    <row r="14" spans="1:2" x14ac:dyDescent="0.25">
      <c r="A14" s="2">
        <v>9.02482647260003E-3</v>
      </c>
      <c r="B14" s="2">
        <v>1296.4980544747</v>
      </c>
    </row>
    <row r="15" spans="1:2" x14ac:dyDescent="0.25">
      <c r="A15" s="2">
        <v>1.1180995525852401E-2</v>
      </c>
      <c r="B15" s="2">
        <v>1344.74708171206</v>
      </c>
    </row>
    <row r="16" spans="1:2" x14ac:dyDescent="0.25">
      <c r="A16" s="2">
        <v>1.2216609291425E-2</v>
      </c>
      <c r="B16" s="2">
        <v>1361.8677042801501</v>
      </c>
    </row>
    <row r="17" spans="1:2" x14ac:dyDescent="0.25">
      <c r="A17" s="2">
        <v>1.38577467789501E-2</v>
      </c>
      <c r="B17" s="2">
        <v>1375.8754863813199</v>
      </c>
    </row>
    <row r="18" spans="1:2" x14ac:dyDescent="0.25">
      <c r="A18" s="2">
        <v>1.67087543031431E-2</v>
      </c>
      <c r="B18" s="2">
        <v>1394.5525291828701</v>
      </c>
    </row>
    <row r="19" spans="1:2" x14ac:dyDescent="0.25">
      <c r="A19" s="2">
        <v>1.9820137027775499E-2</v>
      </c>
      <c r="B19" s="2">
        <v>1403.89105058365</v>
      </c>
    </row>
    <row r="20" spans="1:2" x14ac:dyDescent="0.25">
      <c r="A20" s="2">
        <v>2.3017806882786301E-2</v>
      </c>
      <c r="B20" s="2">
        <v>1414.78599221789</v>
      </c>
    </row>
    <row r="21" spans="1:2" x14ac:dyDescent="0.25">
      <c r="A21" s="2">
        <v>2.7858969039796299E-2</v>
      </c>
      <c r="B21" s="2">
        <v>1417.89883268482</v>
      </c>
    </row>
    <row r="22" spans="1:2" x14ac:dyDescent="0.25">
      <c r="A22" s="2">
        <v>3.0884569237152201E-2</v>
      </c>
      <c r="B22" s="2">
        <v>1421.0116731517501</v>
      </c>
    </row>
    <row r="23" spans="1:2" x14ac:dyDescent="0.25">
      <c r="A23" s="2">
        <v>3.4083584700433905E-2</v>
      </c>
      <c r="B23" s="2">
        <v>1419.4552529182799</v>
      </c>
    </row>
    <row r="24" spans="1:2" x14ac:dyDescent="0.25">
      <c r="A24" s="2">
        <v>4.03956648986869E-2</v>
      </c>
      <c r="B24" s="2">
        <v>1411.67315175097</v>
      </c>
    </row>
    <row r="25" spans="1:2" x14ac:dyDescent="0.25">
      <c r="A25" s="2">
        <v>4.8265959474764204E-2</v>
      </c>
      <c r="B25" s="2">
        <v>1385.2140077821</v>
      </c>
    </row>
    <row r="26" spans="1:2" x14ac:dyDescent="0.25">
      <c r="A26" s="2">
        <v>5.5964352594220605E-2</v>
      </c>
      <c r="B26" s="2">
        <v>1349.4163424124499</v>
      </c>
    </row>
    <row r="27" spans="1:2" x14ac:dyDescent="0.25">
      <c r="A27" s="2">
        <v>6.2106045145157406E-2</v>
      </c>
      <c r="B27" s="2">
        <v>1318.28793774319</v>
      </c>
    </row>
    <row r="28" spans="1:2" x14ac:dyDescent="0.25">
      <c r="A28" s="2">
        <v>7.1189741979614002E-2</v>
      </c>
      <c r="B28" s="2">
        <v>1263.8132295719799</v>
      </c>
    </row>
    <row r="29" spans="1:2" x14ac:dyDescent="0.25">
      <c r="A29" s="2">
        <v>7.7073077742517801E-2</v>
      </c>
      <c r="B29" s="2">
        <v>1223.3463035019399</v>
      </c>
    </row>
    <row r="30" spans="1:2" x14ac:dyDescent="0.25">
      <c r="A30" s="2">
        <v>8.7196425167360009E-2</v>
      </c>
      <c r="B30" s="2">
        <v>1148.63813229572</v>
      </c>
    </row>
    <row r="31" spans="1:2" x14ac:dyDescent="0.25">
      <c r="A31" s="2">
        <v>9.4551519976676102E-2</v>
      </c>
      <c r="B31" s="2">
        <v>1089.49416342412</v>
      </c>
    </row>
    <row r="32" spans="1:2" x14ac:dyDescent="0.25">
      <c r="A32" s="2">
        <v>0.100349577815404</v>
      </c>
      <c r="B32" s="2">
        <v>1038.1322957198399</v>
      </c>
    </row>
    <row r="33" spans="1:2" x14ac:dyDescent="0.25">
      <c r="A33" s="2">
        <v>0.10597506139337699</v>
      </c>
      <c r="B33" s="2">
        <v>983.65758754863805</v>
      </c>
    </row>
    <row r="34" spans="1:2" x14ac:dyDescent="0.25">
      <c r="A34" s="2">
        <v>0.11289939335493701</v>
      </c>
      <c r="B34" s="2">
        <v>910.50583657587504</v>
      </c>
    </row>
    <row r="35" spans="1:2" x14ac:dyDescent="0.25">
      <c r="A35" s="2">
        <v>0.11930600253422799</v>
      </c>
      <c r="B35" s="2">
        <v>828.01556420233396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AA44-AB1C-4EC3-8BCD-01AFB8AD71D5}">
  <sheetPr codeName="Feuil4"/>
  <dimension ref="A1:J120"/>
  <sheetViews>
    <sheetView tabSelected="1" workbookViewId="0">
      <selection activeCell="K7" sqref="K7"/>
    </sheetView>
  </sheetViews>
  <sheetFormatPr defaultColWidth="11.42578125" defaultRowHeight="15" x14ac:dyDescent="0.25"/>
  <cols>
    <col min="6" max="6" width="12.7109375" bestFit="1" customWidth="1"/>
    <col min="9" max="9" width="12.5703125" bestFit="1" customWidth="1"/>
  </cols>
  <sheetData>
    <row r="1" spans="1:10" ht="18" x14ac:dyDescent="0.35">
      <c r="B1" t="s">
        <v>2</v>
      </c>
      <c r="D1" s="3">
        <v>197100</v>
      </c>
      <c r="F1" t="s">
        <v>3</v>
      </c>
      <c r="G1" s="3">
        <v>1186.9000000000001</v>
      </c>
      <c r="I1" t="s">
        <v>4</v>
      </c>
      <c r="J1" s="3">
        <f>E7</f>
        <v>6.3796069640389879E-3</v>
      </c>
    </row>
    <row r="4" spans="1:10" x14ac:dyDescent="0.25">
      <c r="A4" s="9" t="s">
        <v>5</v>
      </c>
      <c r="B4" s="9" t="s">
        <v>6</v>
      </c>
      <c r="C4" s="9"/>
      <c r="D4" s="9" t="b">
        <v>1</v>
      </c>
      <c r="E4" s="9"/>
      <c r="F4" t="s">
        <v>7</v>
      </c>
      <c r="H4" t="s">
        <v>8</v>
      </c>
      <c r="I4" t="s">
        <v>9</v>
      </c>
    </row>
    <row r="5" spans="1:10" x14ac:dyDescent="0.25">
      <c r="A5" s="9"/>
      <c r="B5" s="4" t="s">
        <v>1</v>
      </c>
      <c r="C5" s="4" t="s">
        <v>0</v>
      </c>
      <c r="D5" s="4" t="s">
        <v>1</v>
      </c>
      <c r="E5" s="4" t="s">
        <v>0</v>
      </c>
      <c r="F5" s="4" t="s">
        <v>0</v>
      </c>
      <c r="H5" t="s">
        <v>1</v>
      </c>
      <c r="I5" s="4" t="s">
        <v>0</v>
      </c>
    </row>
    <row r="6" spans="1:10" x14ac:dyDescent="0.25">
      <c r="A6" s="3">
        <v>1</v>
      </c>
      <c r="B6" s="3">
        <v>0</v>
      </c>
      <c r="C6" s="3">
        <v>0</v>
      </c>
      <c r="D6" s="2">
        <f>B6*(1+C6)</f>
        <v>0</v>
      </c>
      <c r="E6" s="2">
        <f>LN(1+C6)</f>
        <v>0</v>
      </c>
      <c r="F6" s="2">
        <v>0</v>
      </c>
      <c r="G6" s="2"/>
      <c r="H6" s="5"/>
      <c r="I6" s="5"/>
    </row>
    <row r="7" spans="1:10" x14ac:dyDescent="0.25">
      <c r="A7" s="3">
        <v>2</v>
      </c>
      <c r="B7" s="3">
        <v>1186.9000000000001</v>
      </c>
      <c r="C7" s="3">
        <v>6.4000000000000003E-3</v>
      </c>
      <c r="D7" s="2">
        <f t="shared" ref="D7:D31" si="0">B7*(1+C7)</f>
        <v>1194.4961600000001</v>
      </c>
      <c r="E7" s="2">
        <f>LN(1+C7)</f>
        <v>6.3796069640389879E-3</v>
      </c>
      <c r="F7" s="2">
        <f>E7-$J$1</f>
        <v>0</v>
      </c>
      <c r="G7" s="2"/>
      <c r="H7" s="6">
        <v>1194.4961600000001</v>
      </c>
      <c r="I7" s="7">
        <v>0</v>
      </c>
    </row>
    <row r="8" spans="1:10" x14ac:dyDescent="0.25">
      <c r="A8" s="3">
        <v>3</v>
      </c>
      <c r="B8" s="3">
        <v>1203.11284046692</v>
      </c>
      <c r="C8" s="3">
        <v>6.8303075836239303E-3</v>
      </c>
      <c r="D8" s="2">
        <f t="shared" si="0"/>
        <v>1211.3304712251168</v>
      </c>
      <c r="E8" s="2">
        <f t="shared" ref="E8:E31" si="1">LN(1+C8)</f>
        <v>6.8070867099537628E-3</v>
      </c>
      <c r="F8" s="2">
        <f t="shared" ref="F8:F31" si="2">E8-$J$1</f>
        <v>4.2747974591477497E-4</v>
      </c>
      <c r="G8" s="2"/>
      <c r="H8" s="6">
        <v>1211.3304712251168</v>
      </c>
      <c r="I8" s="7">
        <v>4.2747974591477497E-4</v>
      </c>
    </row>
    <row r="9" spans="1:10" x14ac:dyDescent="0.25">
      <c r="A9" s="3">
        <v>4</v>
      </c>
      <c r="B9" s="3">
        <v>1254.4747081712001</v>
      </c>
      <c r="C9" s="3">
        <v>7.38671660368472E-3</v>
      </c>
      <c r="D9" s="2">
        <f t="shared" si="0"/>
        <v>1263.7411573269508</v>
      </c>
      <c r="E9" s="2">
        <f t="shared" si="1"/>
        <v>7.3595684212412705E-3</v>
      </c>
      <c r="F9" s="2">
        <f t="shared" si="2"/>
        <v>9.7996145720228266E-4</v>
      </c>
      <c r="G9" s="2"/>
      <c r="H9" s="6">
        <v>1263.7411573269508</v>
      </c>
      <c r="I9" s="7">
        <v>9.7996145720228266E-4</v>
      </c>
    </row>
    <row r="10" spans="1:10" x14ac:dyDescent="0.25">
      <c r="A10" s="3">
        <v>5</v>
      </c>
      <c r="B10" s="3">
        <v>1296.4980544747</v>
      </c>
      <c r="C10" s="3">
        <v>9.02482647260003E-3</v>
      </c>
      <c r="D10" s="2">
        <f t="shared" si="0"/>
        <v>1308.1987244383977</v>
      </c>
      <c r="E10" s="2">
        <f t="shared" si="1"/>
        <v>8.9843460961270549E-3</v>
      </c>
      <c r="F10" s="2">
        <f t="shared" si="2"/>
        <v>2.6047391320880671E-3</v>
      </c>
      <c r="G10" s="2"/>
      <c r="H10" s="6">
        <v>1308.1987244383977</v>
      </c>
      <c r="I10" s="7">
        <v>2.6047391320880671E-3</v>
      </c>
    </row>
    <row r="11" spans="1:10" x14ac:dyDescent="0.25">
      <c r="A11" s="3">
        <v>6</v>
      </c>
      <c r="B11" s="3">
        <v>1344.74708171206</v>
      </c>
      <c r="C11" s="3">
        <v>1.1180995525852401E-2</v>
      </c>
      <c r="D11" s="2">
        <f t="shared" si="0"/>
        <v>1359.7826928160855</v>
      </c>
      <c r="E11" s="2">
        <f t="shared" si="1"/>
        <v>1.1118950252292635E-2</v>
      </c>
      <c r="F11" s="2">
        <f t="shared" si="2"/>
        <v>4.7393432882536475E-3</v>
      </c>
      <c r="G11" s="2"/>
      <c r="H11" s="6">
        <v>1359.7826928160855</v>
      </c>
      <c r="I11" s="7">
        <v>4.7393432882536475E-3</v>
      </c>
    </row>
    <row r="12" spans="1:10" x14ac:dyDescent="0.25">
      <c r="A12" s="3">
        <v>7</v>
      </c>
      <c r="B12" s="3">
        <v>1361.8677042801501</v>
      </c>
      <c r="C12" s="3">
        <v>1.2216609291425E-2</v>
      </c>
      <c r="D12" s="2">
        <f t="shared" si="0"/>
        <v>1378.5051099299508</v>
      </c>
      <c r="E12" s="2">
        <f t="shared" si="1"/>
        <v>1.2142588763612964E-2</v>
      </c>
      <c r="F12" s="2">
        <f t="shared" si="2"/>
        <v>5.762981799573976E-3</v>
      </c>
      <c r="G12" s="2"/>
      <c r="H12" s="6">
        <v>1378.5051099299508</v>
      </c>
      <c r="I12" s="7">
        <v>5.762981799573976E-3</v>
      </c>
    </row>
    <row r="13" spans="1:10" x14ac:dyDescent="0.25">
      <c r="A13" s="3">
        <v>8</v>
      </c>
      <c r="B13" s="3">
        <v>1375.8754863813199</v>
      </c>
      <c r="C13" s="3">
        <v>1.38577467789501E-2</v>
      </c>
      <c r="D13" s="2">
        <f t="shared" si="0"/>
        <v>1394.942020470957</v>
      </c>
      <c r="E13" s="2">
        <f t="shared" si="1"/>
        <v>1.3762606154911882E-2</v>
      </c>
      <c r="F13" s="2">
        <f t="shared" si="2"/>
        <v>7.3829991908728942E-3</v>
      </c>
      <c r="G13" s="2"/>
      <c r="H13" s="6">
        <v>1394.942020470957</v>
      </c>
      <c r="I13" s="7">
        <v>7.3829991908728942E-3</v>
      </c>
    </row>
    <row r="14" spans="1:10" x14ac:dyDescent="0.25">
      <c r="A14" s="3">
        <v>9</v>
      </c>
      <c r="B14" s="3">
        <v>1394.5525291828701</v>
      </c>
      <c r="C14" s="3">
        <v>1.67087543031431E-2</v>
      </c>
      <c r="D14" s="2">
        <f t="shared" si="0"/>
        <v>1417.8537647558132</v>
      </c>
      <c r="E14" s="2">
        <f t="shared" si="1"/>
        <v>1.6570698769573081E-2</v>
      </c>
      <c r="F14" s="2">
        <f t="shared" si="2"/>
        <v>1.0191091805534094E-2</v>
      </c>
      <c r="G14" s="2"/>
      <c r="H14" s="6">
        <v>1417.8537647558132</v>
      </c>
      <c r="I14" s="7">
        <v>1.0191091805534094E-2</v>
      </c>
    </row>
    <row r="15" spans="1:10" x14ac:dyDescent="0.25">
      <c r="A15" s="3">
        <v>10</v>
      </c>
      <c r="B15" s="3">
        <v>1403.89105058365</v>
      </c>
      <c r="C15" s="3">
        <v>1.9820137027775499E-2</v>
      </c>
      <c r="D15" s="2">
        <f t="shared" si="0"/>
        <v>1431.7163635782856</v>
      </c>
      <c r="E15" s="2">
        <f t="shared" si="1"/>
        <v>1.9626275499836823E-2</v>
      </c>
      <c r="F15" s="2">
        <f t="shared" si="2"/>
        <v>1.3246668535797836E-2</v>
      </c>
      <c r="G15" s="2"/>
      <c r="H15" s="6">
        <v>1431.7163635782856</v>
      </c>
      <c r="I15" s="7">
        <v>1.3246668535797836E-2</v>
      </c>
    </row>
    <row r="16" spans="1:10" x14ac:dyDescent="0.25">
      <c r="A16" s="3">
        <v>11</v>
      </c>
      <c r="B16" s="3">
        <v>1414.78599221789</v>
      </c>
      <c r="C16" s="3">
        <v>2.3017806882786301E-2</v>
      </c>
      <c r="D16" s="2">
        <f t="shared" si="0"/>
        <v>1447.3512629672325</v>
      </c>
      <c r="E16" s="2">
        <f t="shared" si="1"/>
        <v>2.2756893350535337E-2</v>
      </c>
      <c r="F16" s="2">
        <f t="shared" si="2"/>
        <v>1.637728638649635E-2</v>
      </c>
      <c r="G16" s="2"/>
      <c r="H16" s="6">
        <v>1447.3512629672325</v>
      </c>
      <c r="I16" s="7">
        <v>1.637728638649635E-2</v>
      </c>
    </row>
    <row r="17" spans="1:9" x14ac:dyDescent="0.25">
      <c r="A17" s="3">
        <v>12</v>
      </c>
      <c r="B17" s="3">
        <v>1417.89883268482</v>
      </c>
      <c r="C17" s="3">
        <v>2.7858969039796299E-2</v>
      </c>
      <c r="D17" s="2">
        <f t="shared" si="0"/>
        <v>1457.4000323661498</v>
      </c>
      <c r="E17" s="2">
        <f t="shared" si="1"/>
        <v>2.7477967971609004E-2</v>
      </c>
      <c r="F17" s="2">
        <f t="shared" si="2"/>
        <v>2.1098361007570017E-2</v>
      </c>
      <c r="G17" s="2"/>
      <c r="H17" s="6">
        <v>1457.4000323661498</v>
      </c>
      <c r="I17" s="7">
        <v>2.1098361007570017E-2</v>
      </c>
    </row>
    <row r="18" spans="1:9" x14ac:dyDescent="0.25">
      <c r="A18" s="3">
        <v>13</v>
      </c>
      <c r="B18" s="3">
        <v>1421.0116731517501</v>
      </c>
      <c r="C18" s="3">
        <v>3.0884569237152201E-2</v>
      </c>
      <c r="D18" s="2">
        <f t="shared" si="0"/>
        <v>1464.8990065580067</v>
      </c>
      <c r="E18" s="2">
        <f t="shared" si="1"/>
        <v>3.041723876407176E-2</v>
      </c>
      <c r="F18" s="2">
        <f t="shared" si="2"/>
        <v>2.4037631800032773E-2</v>
      </c>
      <c r="G18" s="2"/>
      <c r="H18" s="6">
        <v>1464.8990065580067</v>
      </c>
      <c r="I18" s="7">
        <v>2.4037631800032773E-2</v>
      </c>
    </row>
    <row r="19" spans="1:9" x14ac:dyDescent="0.25">
      <c r="A19" s="3">
        <v>14</v>
      </c>
      <c r="B19" s="3">
        <v>1419.4552529182799</v>
      </c>
      <c r="C19" s="3">
        <v>3.4083584700433905E-2</v>
      </c>
      <c r="D19" s="2">
        <f t="shared" si="0"/>
        <v>1467.8353762595959</v>
      </c>
      <c r="E19" s="2">
        <f t="shared" si="1"/>
        <v>3.3515609086506623E-2</v>
      </c>
      <c r="F19" s="2">
        <f t="shared" si="2"/>
        <v>2.7136002122467636E-2</v>
      </c>
      <c r="G19" s="2"/>
      <c r="H19" s="6">
        <v>1467.8353762595959</v>
      </c>
      <c r="I19" s="7">
        <v>2.7136002122467636E-2</v>
      </c>
    </row>
    <row r="20" spans="1:9" x14ac:dyDescent="0.25">
      <c r="A20" s="3">
        <v>15</v>
      </c>
      <c r="B20" s="3">
        <v>1411.67315175097</v>
      </c>
      <c r="C20" s="3">
        <v>4.03956648986869E-2</v>
      </c>
      <c r="D20" s="2">
        <f t="shared" si="0"/>
        <v>1468.6986273355753</v>
      </c>
      <c r="E20" s="2">
        <f t="shared" si="1"/>
        <v>3.9601087819632841E-2</v>
      </c>
      <c r="F20" s="2">
        <f t="shared" si="2"/>
        <v>3.322148085559385E-2</v>
      </c>
      <c r="G20" s="2"/>
      <c r="H20" s="6">
        <v>1468.6986273355753</v>
      </c>
      <c r="I20" s="7">
        <v>3.322148085559385E-2</v>
      </c>
    </row>
    <row r="21" spans="1:9" x14ac:dyDescent="0.25">
      <c r="A21" s="3">
        <v>16</v>
      </c>
      <c r="B21" s="3">
        <v>1385.2140077821</v>
      </c>
      <c r="C21" s="3">
        <v>4.8265959474764204E-2</v>
      </c>
      <c r="D21" s="2">
        <f t="shared" si="0"/>
        <v>1452.0726909455866</v>
      </c>
      <c r="E21" s="2">
        <f t="shared" si="1"/>
        <v>4.7137331827404233E-2</v>
      </c>
      <c r="F21" s="2">
        <f t="shared" si="2"/>
        <v>4.0757724863365243E-2</v>
      </c>
      <c r="G21" s="2"/>
      <c r="H21" s="6">
        <v>1452.0726909455866</v>
      </c>
      <c r="I21" s="7">
        <v>4.0757724863365243E-2</v>
      </c>
    </row>
    <row r="22" spans="1:9" x14ac:dyDescent="0.25">
      <c r="A22" s="3">
        <v>17</v>
      </c>
      <c r="B22" s="3">
        <v>1349.4163424124499</v>
      </c>
      <c r="C22" s="3">
        <v>5.5964352594220605E-2</v>
      </c>
      <c r="D22" s="2">
        <f t="shared" si="0"/>
        <v>1424.9355543956237</v>
      </c>
      <c r="E22" s="2">
        <f t="shared" si="1"/>
        <v>5.4454427701240281E-2</v>
      </c>
      <c r="F22" s="2">
        <f t="shared" si="2"/>
        <v>4.807482073720129E-2</v>
      </c>
      <c r="G22" s="2"/>
      <c r="H22" s="6">
        <v>1424.9355543956237</v>
      </c>
      <c r="I22" s="7">
        <v>4.807482073720129E-2</v>
      </c>
    </row>
    <row r="23" spans="1:9" x14ac:dyDescent="0.25">
      <c r="A23" s="3">
        <v>18</v>
      </c>
      <c r="B23" s="3">
        <v>1318.28793774319</v>
      </c>
      <c r="C23" s="3">
        <v>6.2106045145157406E-2</v>
      </c>
      <c r="D23" s="2">
        <f t="shared" si="0"/>
        <v>1400.1615879189851</v>
      </c>
      <c r="E23" s="2">
        <f t="shared" si="1"/>
        <v>6.0253772020297004E-2</v>
      </c>
      <c r="F23" s="2">
        <f t="shared" si="2"/>
        <v>5.3874165056258014E-2</v>
      </c>
      <c r="G23" s="2"/>
      <c r="H23" s="6">
        <v>1400.1615879189851</v>
      </c>
      <c r="I23" s="7">
        <v>5.3874165056258014E-2</v>
      </c>
    </row>
    <row r="24" spans="1:9" x14ac:dyDescent="0.25">
      <c r="A24" s="3">
        <v>19</v>
      </c>
      <c r="B24" s="3">
        <v>1263.8132295719799</v>
      </c>
      <c r="C24" s="3">
        <v>7.1189741979614002E-2</v>
      </c>
      <c r="D24" s="2">
        <f t="shared" si="0"/>
        <v>1353.7837672956318</v>
      </c>
      <c r="E24" s="2">
        <f t="shared" si="1"/>
        <v>6.8769939153691645E-2</v>
      </c>
      <c r="F24" s="2">
        <f t="shared" si="2"/>
        <v>6.2390332189652654E-2</v>
      </c>
      <c r="G24" s="2"/>
      <c r="H24" s="6">
        <v>1353.7837672956318</v>
      </c>
      <c r="I24" s="7">
        <v>6.2390332189652654E-2</v>
      </c>
    </row>
    <row r="25" spans="1:9" x14ac:dyDescent="0.25">
      <c r="A25" s="3">
        <v>20</v>
      </c>
      <c r="B25" s="3">
        <v>1223.3463035019399</v>
      </c>
      <c r="C25" s="3">
        <v>7.7073077742517801E-2</v>
      </c>
      <c r="D25" s="2">
        <f t="shared" si="0"/>
        <v>1317.6333682577665</v>
      </c>
      <c r="E25" s="2">
        <f t="shared" si="1"/>
        <v>7.4247248929456458E-2</v>
      </c>
      <c r="F25" s="2">
        <f t="shared" si="2"/>
        <v>6.7867641965417475E-2</v>
      </c>
      <c r="G25" s="2"/>
      <c r="H25" s="6">
        <v>1317.6333682577665</v>
      </c>
      <c r="I25" s="7">
        <v>6.7867641965417475E-2</v>
      </c>
    </row>
    <row r="26" spans="1:9" x14ac:dyDescent="0.25">
      <c r="A26" s="3">
        <v>21</v>
      </c>
      <c r="B26" s="3">
        <v>1148.63813229572</v>
      </c>
      <c r="C26" s="3">
        <v>8.7196425167360009E-2</v>
      </c>
      <c r="D26" s="2">
        <f t="shared" si="0"/>
        <v>1248.7952712428198</v>
      </c>
      <c r="E26" s="2">
        <f t="shared" si="1"/>
        <v>8.3602295739898816E-2</v>
      </c>
      <c r="F26" s="2">
        <f t="shared" si="2"/>
        <v>7.7222688775859832E-2</v>
      </c>
      <c r="G26" s="2"/>
      <c r="H26" s="6">
        <v>1248.7952712428198</v>
      </c>
      <c r="I26" s="7">
        <v>7.7222688775859832E-2</v>
      </c>
    </row>
    <row r="27" spans="1:9" x14ac:dyDescent="0.25">
      <c r="A27" s="3">
        <v>22</v>
      </c>
      <c r="B27" s="3">
        <v>1089.49416342412</v>
      </c>
      <c r="C27" s="3">
        <v>9.4551519976676102E-2</v>
      </c>
      <c r="D27" s="2">
        <f t="shared" si="0"/>
        <v>1192.5074925815875</v>
      </c>
      <c r="E27" s="2">
        <f t="shared" si="1"/>
        <v>9.0344708573880231E-2</v>
      </c>
      <c r="F27" s="2">
        <f t="shared" si="2"/>
        <v>8.3965101609841247E-2</v>
      </c>
      <c r="G27" s="2"/>
      <c r="H27" s="6">
        <v>1192.5074925815875</v>
      </c>
      <c r="I27" s="7">
        <v>8.3965101609841247E-2</v>
      </c>
    </row>
    <row r="28" spans="1:9" x14ac:dyDescent="0.25">
      <c r="A28" s="3">
        <v>23</v>
      </c>
      <c r="B28" s="3">
        <v>1038.1322957198399</v>
      </c>
      <c r="C28" s="3">
        <v>0.100349577815404</v>
      </c>
      <c r="D28" s="2">
        <f t="shared" si="0"/>
        <v>1142.308433311862</v>
      </c>
      <c r="E28" s="2">
        <f t="shared" si="1"/>
        <v>9.5627927331235818E-2</v>
      </c>
      <c r="F28" s="2">
        <f t="shared" si="2"/>
        <v>8.9248320367196834E-2</v>
      </c>
      <c r="G28" s="2"/>
      <c r="H28" s="6">
        <v>1142.308433311862</v>
      </c>
      <c r="I28" s="7">
        <v>8.9248320367196834E-2</v>
      </c>
    </row>
    <row r="29" spans="1:9" x14ac:dyDescent="0.25">
      <c r="A29" s="3">
        <v>24</v>
      </c>
      <c r="B29" s="3">
        <v>983.65758754863805</v>
      </c>
      <c r="C29" s="3">
        <v>0.10597506139337699</v>
      </c>
      <c r="D29" s="2">
        <f t="shared" si="0"/>
        <v>1087.9007607791661</v>
      </c>
      <c r="E29" s="2">
        <f t="shared" si="1"/>
        <v>0.10072735437700477</v>
      </c>
      <c r="F29" s="2">
        <f t="shared" si="2"/>
        <v>9.4347747412965782E-2</v>
      </c>
      <c r="G29" s="2"/>
      <c r="H29" s="6">
        <v>1087.9007607791661</v>
      </c>
      <c r="I29" s="7">
        <v>9.4347747412965782E-2</v>
      </c>
    </row>
    <row r="30" spans="1:9" x14ac:dyDescent="0.25">
      <c r="A30" s="3">
        <v>25</v>
      </c>
      <c r="B30" s="3">
        <v>910.50583657587504</v>
      </c>
      <c r="C30" s="3">
        <v>0.11289939335493701</v>
      </c>
      <c r="D30" s="2">
        <f t="shared" si="0"/>
        <v>1013.3013931714207</v>
      </c>
      <c r="E30" s="2">
        <f t="shared" si="1"/>
        <v>0.10696867589415278</v>
      </c>
      <c r="F30" s="2">
        <f t="shared" si="2"/>
        <v>0.1005890689301138</v>
      </c>
      <c r="G30" s="2"/>
      <c r="H30" s="6">
        <v>1013.3013931714207</v>
      </c>
      <c r="I30" s="7">
        <v>0.1005890689301138</v>
      </c>
    </row>
    <row r="31" spans="1:9" x14ac:dyDescent="0.25">
      <c r="A31" s="3">
        <v>26</v>
      </c>
      <c r="B31" s="3">
        <v>828.01556420233396</v>
      </c>
      <c r="C31" s="3">
        <v>0.11930600253422799</v>
      </c>
      <c r="D31" s="2">
        <f t="shared" si="0"/>
        <v>926.80279120343789</v>
      </c>
      <c r="E31" s="2">
        <f t="shared" si="1"/>
        <v>0.11270885265598934</v>
      </c>
      <c r="F31" s="2">
        <f t="shared" si="2"/>
        <v>0.10632924569195036</v>
      </c>
      <c r="G31" s="2"/>
      <c r="H31" s="6">
        <v>926.80279120343789</v>
      </c>
      <c r="I31" s="7">
        <v>0.10632924569195036</v>
      </c>
    </row>
    <row r="32" spans="1:9" x14ac:dyDescent="0.25">
      <c r="A32" s="3"/>
      <c r="B32" s="3"/>
      <c r="C32" s="3"/>
      <c r="D32" s="2"/>
      <c r="E32" s="2"/>
      <c r="F32" s="2"/>
      <c r="G32" s="2"/>
      <c r="H32" s="8"/>
      <c r="I32" s="8"/>
    </row>
    <row r="33" spans="1:9" x14ac:dyDescent="0.25">
      <c r="A33" s="3"/>
      <c r="B33" s="3"/>
      <c r="C33" s="3"/>
      <c r="D33" s="2"/>
      <c r="E33" s="2"/>
      <c r="F33" s="2"/>
      <c r="G33" s="2"/>
      <c r="H33" s="8"/>
      <c r="I33" s="8"/>
    </row>
    <row r="34" spans="1:9" x14ac:dyDescent="0.25">
      <c r="A34" s="3"/>
      <c r="B34" s="3"/>
      <c r="C34" s="3"/>
      <c r="D34" s="2"/>
      <c r="E34" s="2"/>
      <c r="F34" s="2"/>
      <c r="G34" s="2"/>
      <c r="H34" s="8"/>
      <c r="I34" s="8"/>
    </row>
    <row r="35" spans="1:9" x14ac:dyDescent="0.25">
      <c r="A35" s="3"/>
      <c r="B35" s="3"/>
      <c r="C35" s="3"/>
      <c r="D35" s="2"/>
      <c r="E35" s="2"/>
      <c r="F35" s="2"/>
      <c r="G35" s="2"/>
      <c r="H35" s="8"/>
      <c r="I35" s="8"/>
    </row>
    <row r="36" spans="1:9" x14ac:dyDescent="0.25">
      <c r="A36" s="3"/>
      <c r="B36" s="3"/>
      <c r="C36" s="3"/>
      <c r="D36" s="2"/>
      <c r="E36" s="2"/>
      <c r="F36" s="2"/>
      <c r="G36" s="2"/>
      <c r="H36" s="8"/>
      <c r="I36" s="8"/>
    </row>
    <row r="37" spans="1:9" x14ac:dyDescent="0.25">
      <c r="A37" s="3"/>
      <c r="B37" s="3"/>
      <c r="C37" s="3"/>
      <c r="D37" s="2"/>
      <c r="E37" s="2"/>
      <c r="F37" s="2"/>
      <c r="G37" s="2"/>
      <c r="H37" s="8"/>
      <c r="I37" s="8"/>
    </row>
    <row r="38" spans="1:9" x14ac:dyDescent="0.25">
      <c r="A38" s="3"/>
      <c r="B38" s="3"/>
      <c r="C38" s="3"/>
      <c r="D38" s="2"/>
      <c r="E38" s="2"/>
      <c r="F38" s="2"/>
      <c r="G38" s="2"/>
      <c r="H38" s="2"/>
      <c r="I38" s="2"/>
    </row>
    <row r="39" spans="1:9" x14ac:dyDescent="0.25">
      <c r="A39" s="3"/>
      <c r="B39" s="3"/>
      <c r="C39" s="3"/>
      <c r="D39" s="2"/>
      <c r="E39" s="2"/>
      <c r="F39" s="2"/>
      <c r="G39" s="2"/>
      <c r="H39" s="8"/>
      <c r="I39" s="8"/>
    </row>
    <row r="40" spans="1:9" x14ac:dyDescent="0.25">
      <c r="A40" s="3"/>
      <c r="B40" s="3"/>
      <c r="C40" s="3"/>
      <c r="D40" s="2"/>
      <c r="E40" s="2"/>
      <c r="F40" s="2"/>
      <c r="G40" s="2"/>
      <c r="H40" s="8"/>
      <c r="I40" s="8"/>
    </row>
    <row r="41" spans="1:9" x14ac:dyDescent="0.25">
      <c r="A41" s="3"/>
      <c r="B41" s="3"/>
      <c r="C41" s="3"/>
      <c r="D41" s="2"/>
      <c r="E41" s="2"/>
      <c r="F41" s="2"/>
      <c r="G41" s="2"/>
      <c r="H41" s="8"/>
      <c r="I41" s="8"/>
    </row>
    <row r="42" spans="1:9" x14ac:dyDescent="0.25">
      <c r="A42" s="3"/>
      <c r="B42" s="3"/>
      <c r="C42" s="3"/>
      <c r="D42" s="2"/>
      <c r="E42" s="2"/>
      <c r="F42" s="2"/>
      <c r="G42" s="2"/>
      <c r="H42" s="8"/>
      <c r="I42" s="8"/>
    </row>
    <row r="43" spans="1:9" x14ac:dyDescent="0.25">
      <c r="A43" s="3"/>
      <c r="B43" s="3"/>
      <c r="C43" s="3"/>
      <c r="D43" s="2"/>
      <c r="E43" s="2"/>
      <c r="F43" s="2"/>
      <c r="G43" s="2"/>
      <c r="H43" s="8"/>
      <c r="I43" s="8"/>
    </row>
    <row r="44" spans="1:9" x14ac:dyDescent="0.25">
      <c r="A44" s="3"/>
      <c r="B44" s="3"/>
      <c r="C44" s="3"/>
      <c r="D44" s="2"/>
      <c r="E44" s="2"/>
      <c r="F44" s="2"/>
      <c r="G44" s="2"/>
      <c r="H44" s="8"/>
      <c r="I44" s="8"/>
    </row>
    <row r="45" spans="1:9" x14ac:dyDescent="0.25">
      <c r="A45" s="3"/>
      <c r="B45" s="3"/>
      <c r="C45" s="3"/>
      <c r="D45" s="2"/>
      <c r="E45" s="2"/>
      <c r="F45" s="2"/>
      <c r="G45" s="2"/>
      <c r="H45" s="8"/>
      <c r="I45" s="8"/>
    </row>
    <row r="46" spans="1:9" x14ac:dyDescent="0.25">
      <c r="A46" s="3"/>
      <c r="B46" s="3"/>
      <c r="C46" s="3"/>
      <c r="D46" s="2"/>
      <c r="E46" s="2"/>
      <c r="F46" s="2"/>
      <c r="G46" s="2"/>
      <c r="H46" s="8"/>
      <c r="I46" s="8"/>
    </row>
    <row r="47" spans="1:9" x14ac:dyDescent="0.25">
      <c r="A47" s="3"/>
      <c r="B47" s="3"/>
      <c r="C47" s="3"/>
      <c r="D47" s="2"/>
      <c r="E47" s="2"/>
      <c r="F47" s="2"/>
      <c r="G47" s="2"/>
      <c r="H47" s="8"/>
      <c r="I47" s="8"/>
    </row>
    <row r="48" spans="1:9" x14ac:dyDescent="0.25">
      <c r="A48" s="3"/>
      <c r="B48" s="3"/>
      <c r="C48" s="3"/>
      <c r="D48" s="2"/>
      <c r="E48" s="2"/>
      <c r="F48" s="2"/>
      <c r="G48" s="2"/>
      <c r="H48" s="8"/>
      <c r="I48" s="8"/>
    </row>
    <row r="49" spans="1:9" x14ac:dyDescent="0.25">
      <c r="A49" s="3"/>
      <c r="B49" s="3"/>
      <c r="C49" s="3"/>
      <c r="D49" s="2"/>
      <c r="E49" s="2"/>
      <c r="F49" s="2"/>
      <c r="G49" s="2"/>
      <c r="H49" s="8"/>
      <c r="I49" s="8"/>
    </row>
    <row r="50" spans="1:9" x14ac:dyDescent="0.25">
      <c r="A50" s="3"/>
      <c r="B50" s="3"/>
      <c r="C50" s="3"/>
      <c r="D50" s="2"/>
      <c r="E50" s="2"/>
      <c r="F50" s="2"/>
      <c r="G50" s="2"/>
      <c r="H50" s="8"/>
      <c r="I50" s="8"/>
    </row>
    <row r="51" spans="1:9" x14ac:dyDescent="0.25">
      <c r="A51" s="3"/>
      <c r="B51" s="3"/>
      <c r="C51" s="3"/>
      <c r="D51" s="2"/>
      <c r="E51" s="2"/>
      <c r="F51" s="2"/>
      <c r="G51" s="2"/>
      <c r="H51" s="8"/>
      <c r="I51" s="8"/>
    </row>
    <row r="52" spans="1:9" x14ac:dyDescent="0.25">
      <c r="A52" s="3"/>
      <c r="B52" s="3"/>
      <c r="C52" s="3"/>
      <c r="D52" s="2"/>
      <c r="E52" s="2"/>
      <c r="F52" s="2"/>
      <c r="G52" s="2"/>
      <c r="H52" s="8"/>
      <c r="I52" s="8"/>
    </row>
    <row r="53" spans="1:9" x14ac:dyDescent="0.25">
      <c r="A53" s="3"/>
      <c r="B53" s="3"/>
      <c r="C53" s="3"/>
      <c r="D53" s="2"/>
      <c r="E53" s="2"/>
      <c r="F53" s="2"/>
      <c r="G53" s="2"/>
      <c r="H53" s="8"/>
      <c r="I53" s="8"/>
    </row>
    <row r="54" spans="1:9" x14ac:dyDescent="0.25">
      <c r="A54" s="3"/>
      <c r="B54" s="3"/>
      <c r="C54" s="3"/>
      <c r="D54" s="2"/>
      <c r="E54" s="2"/>
      <c r="F54" s="2"/>
      <c r="G54" s="2"/>
      <c r="H54" s="8"/>
      <c r="I54" s="8"/>
    </row>
    <row r="55" spans="1:9" x14ac:dyDescent="0.25">
      <c r="A55" s="3"/>
      <c r="B55" s="3"/>
      <c r="C55" s="3"/>
      <c r="D55" s="2"/>
      <c r="E55" s="2"/>
      <c r="F55" s="2"/>
      <c r="G55" s="2"/>
      <c r="H55" s="8"/>
      <c r="I55" s="8"/>
    </row>
    <row r="56" spans="1:9" x14ac:dyDescent="0.25">
      <c r="A56" s="3"/>
      <c r="B56" s="3"/>
      <c r="C56" s="3"/>
      <c r="D56" s="2"/>
      <c r="E56" s="2"/>
      <c r="F56" s="2"/>
      <c r="G56" s="2"/>
      <c r="H56" s="8"/>
      <c r="I56" s="8"/>
    </row>
    <row r="57" spans="1:9" x14ac:dyDescent="0.25">
      <c r="A57" s="3"/>
      <c r="B57" s="3"/>
      <c r="C57" s="3"/>
      <c r="D57" s="2"/>
      <c r="E57" s="2"/>
      <c r="F57" s="2"/>
      <c r="G57" s="2"/>
      <c r="H57" s="8"/>
      <c r="I57" s="8"/>
    </row>
    <row r="58" spans="1:9" x14ac:dyDescent="0.25">
      <c r="A58" s="3"/>
      <c r="B58" s="3"/>
      <c r="C58" s="3"/>
      <c r="D58" s="2"/>
      <c r="E58" s="2"/>
      <c r="F58" s="2"/>
      <c r="G58" s="2"/>
      <c r="H58" s="8"/>
      <c r="I58" s="8"/>
    </row>
    <row r="59" spans="1:9" x14ac:dyDescent="0.25">
      <c r="A59" s="3"/>
      <c r="B59" s="3"/>
      <c r="C59" s="3"/>
      <c r="D59" s="2"/>
      <c r="E59" s="2"/>
      <c r="F59" s="2"/>
      <c r="G59" s="2"/>
      <c r="H59" s="8"/>
      <c r="I59" s="8"/>
    </row>
    <row r="60" spans="1:9" x14ac:dyDescent="0.25">
      <c r="A60" s="3"/>
      <c r="B60" s="3"/>
      <c r="C60" s="3"/>
      <c r="D60" s="2"/>
      <c r="E60" s="2"/>
      <c r="F60" s="2"/>
      <c r="G60" s="2"/>
      <c r="H60" s="8"/>
      <c r="I60" s="8"/>
    </row>
    <row r="61" spans="1:9" x14ac:dyDescent="0.25">
      <c r="A61" s="3"/>
      <c r="B61" s="3"/>
      <c r="C61" s="3"/>
      <c r="D61" s="2"/>
      <c r="E61" s="2"/>
      <c r="F61" s="2"/>
      <c r="G61" s="2"/>
      <c r="H61" s="8"/>
      <c r="I61" s="8"/>
    </row>
    <row r="62" spans="1:9" x14ac:dyDescent="0.25">
      <c r="A62" s="3"/>
      <c r="B62" s="3"/>
      <c r="C62" s="3"/>
      <c r="D62" s="2"/>
      <c r="E62" s="2"/>
      <c r="F62" s="2"/>
      <c r="G62" s="2"/>
      <c r="H62" s="8"/>
      <c r="I62" s="8"/>
    </row>
    <row r="63" spans="1:9" x14ac:dyDescent="0.25">
      <c r="A63" s="3"/>
      <c r="B63" s="3"/>
      <c r="C63" s="3"/>
      <c r="D63" s="2"/>
      <c r="E63" s="2"/>
      <c r="F63" s="2"/>
      <c r="G63" s="2"/>
      <c r="H63" s="8"/>
      <c r="I63" s="8"/>
    </row>
    <row r="64" spans="1:9" x14ac:dyDescent="0.25">
      <c r="A64" s="3"/>
      <c r="B64" s="3"/>
      <c r="C64" s="3"/>
      <c r="D64" s="2"/>
      <c r="E64" s="2"/>
      <c r="F64" s="2"/>
      <c r="G64" s="2"/>
      <c r="H64" s="8"/>
      <c r="I64" s="8"/>
    </row>
    <row r="65" spans="1:9" x14ac:dyDescent="0.25">
      <c r="A65" s="3"/>
      <c r="B65" s="3"/>
      <c r="C65" s="3"/>
      <c r="D65" s="2"/>
      <c r="E65" s="2"/>
      <c r="F65" s="2"/>
      <c r="G65" s="2"/>
      <c r="H65" s="8"/>
      <c r="I65" s="8"/>
    </row>
    <row r="66" spans="1:9" x14ac:dyDescent="0.25">
      <c r="A66" s="3"/>
      <c r="B66" s="3"/>
      <c r="C66" s="3"/>
      <c r="D66" s="2"/>
      <c r="E66" s="2"/>
      <c r="F66" s="2"/>
      <c r="G66" s="2"/>
      <c r="H66" s="8"/>
      <c r="I66" s="8"/>
    </row>
    <row r="67" spans="1:9" x14ac:dyDescent="0.25">
      <c r="A67" s="3"/>
      <c r="B67" s="3"/>
      <c r="C67" s="3"/>
      <c r="D67" s="2"/>
      <c r="E67" s="2"/>
      <c r="F67" s="2"/>
      <c r="G67" s="2"/>
      <c r="H67" s="8"/>
      <c r="I67" s="8"/>
    </row>
    <row r="68" spans="1:9" x14ac:dyDescent="0.25">
      <c r="A68" s="3"/>
      <c r="B68" s="3"/>
      <c r="C68" s="3"/>
      <c r="D68" s="2"/>
      <c r="E68" s="2"/>
      <c r="F68" s="2"/>
      <c r="G68" s="2"/>
      <c r="H68" s="8"/>
      <c r="I68" s="8"/>
    </row>
    <row r="69" spans="1:9" x14ac:dyDescent="0.25">
      <c r="A69" s="3"/>
      <c r="B69" s="3"/>
      <c r="C69" s="3"/>
      <c r="D69" s="2"/>
      <c r="E69" s="2"/>
      <c r="F69" s="2"/>
      <c r="G69" s="2"/>
      <c r="H69" s="8"/>
      <c r="I69" s="8"/>
    </row>
    <row r="70" spans="1:9" x14ac:dyDescent="0.25">
      <c r="A70" s="3"/>
      <c r="B70" s="3"/>
      <c r="C70" s="3"/>
      <c r="D70" s="2"/>
      <c r="E70" s="2"/>
      <c r="F70" s="2"/>
      <c r="G70" s="2"/>
      <c r="H70" s="8"/>
      <c r="I70" s="8"/>
    </row>
    <row r="71" spans="1:9" x14ac:dyDescent="0.25">
      <c r="A71" s="3"/>
      <c r="B71" s="3"/>
      <c r="C71" s="3"/>
      <c r="D71" s="2"/>
      <c r="E71" s="2"/>
      <c r="F71" s="2"/>
      <c r="G71" s="2"/>
      <c r="H71" s="8"/>
      <c r="I71" s="8"/>
    </row>
    <row r="72" spans="1:9" x14ac:dyDescent="0.25">
      <c r="A72" s="3"/>
      <c r="B72" s="3"/>
      <c r="C72" s="3"/>
      <c r="D72" s="2"/>
      <c r="E72" s="2"/>
      <c r="F72" s="2"/>
      <c r="G72" s="2"/>
      <c r="H72" s="8"/>
      <c r="I72" s="8"/>
    </row>
    <row r="73" spans="1:9" x14ac:dyDescent="0.25">
      <c r="A73" s="3"/>
      <c r="B73" s="3"/>
      <c r="C73" s="3"/>
      <c r="D73" s="2"/>
      <c r="E73" s="2"/>
      <c r="F73" s="2"/>
      <c r="G73" s="2"/>
      <c r="H73" s="8"/>
      <c r="I73" s="8"/>
    </row>
    <row r="74" spans="1:9" x14ac:dyDescent="0.25">
      <c r="A74" s="3"/>
      <c r="B74" s="3"/>
      <c r="C74" s="3"/>
      <c r="D74" s="2"/>
      <c r="E74" s="2"/>
      <c r="F74" s="2"/>
      <c r="G74" s="2"/>
      <c r="H74" s="8"/>
      <c r="I74" s="8"/>
    </row>
    <row r="75" spans="1:9" x14ac:dyDescent="0.25">
      <c r="A75" s="3"/>
      <c r="B75" s="3"/>
      <c r="C75" s="3"/>
      <c r="D75" s="2"/>
      <c r="E75" s="2"/>
      <c r="F75" s="2"/>
      <c r="G75" s="2"/>
      <c r="H75" s="8"/>
      <c r="I75" s="8"/>
    </row>
    <row r="76" spans="1:9" x14ac:dyDescent="0.25">
      <c r="A76" s="3"/>
      <c r="B76" s="3"/>
      <c r="C76" s="3"/>
      <c r="D76" s="2"/>
      <c r="E76" s="2"/>
      <c r="F76" s="2"/>
      <c r="G76" s="2"/>
      <c r="H76" s="8"/>
      <c r="I76" s="8"/>
    </row>
    <row r="77" spans="1:9" x14ac:dyDescent="0.25">
      <c r="A77" s="3"/>
      <c r="B77" s="3"/>
      <c r="C77" s="3"/>
      <c r="D77" s="2"/>
      <c r="E77" s="2"/>
      <c r="F77" s="2"/>
      <c r="G77" s="2"/>
      <c r="H77" s="8"/>
      <c r="I77" s="8"/>
    </row>
    <row r="78" spans="1:9" x14ac:dyDescent="0.25">
      <c r="A78" s="3"/>
      <c r="B78" s="3"/>
      <c r="C78" s="3"/>
      <c r="D78" s="2"/>
      <c r="E78" s="2"/>
      <c r="F78" s="2"/>
      <c r="G78" s="2"/>
      <c r="H78" s="8"/>
      <c r="I78" s="8"/>
    </row>
    <row r="79" spans="1:9" x14ac:dyDescent="0.25">
      <c r="A79" s="3"/>
      <c r="B79" s="3"/>
      <c r="C79" s="3"/>
      <c r="D79" s="2"/>
      <c r="E79" s="2"/>
      <c r="F79" s="2"/>
      <c r="G79" s="2"/>
      <c r="H79" s="8"/>
      <c r="I79" s="8"/>
    </row>
    <row r="80" spans="1:9" x14ac:dyDescent="0.25">
      <c r="A80" s="3"/>
      <c r="B80" s="3"/>
      <c r="C80" s="3"/>
      <c r="D80" s="2"/>
      <c r="E80" s="2"/>
      <c r="F80" s="2"/>
      <c r="G80" s="2"/>
      <c r="H80" s="8"/>
      <c r="I80" s="8"/>
    </row>
    <row r="81" spans="1:9" x14ac:dyDescent="0.25">
      <c r="A81" s="3"/>
      <c r="B81" s="3"/>
      <c r="C81" s="3"/>
      <c r="D81" s="2"/>
      <c r="E81" s="2"/>
      <c r="F81" s="2"/>
      <c r="G81" s="2"/>
      <c r="H81" s="8"/>
      <c r="I81" s="8"/>
    </row>
    <row r="82" spans="1:9" x14ac:dyDescent="0.25">
      <c r="A82" s="3"/>
      <c r="B82" s="3"/>
      <c r="C82" s="3"/>
      <c r="D82" s="2"/>
      <c r="E82" s="2"/>
      <c r="F82" s="2"/>
      <c r="G82" s="2"/>
      <c r="H82" s="8"/>
      <c r="I82" s="8"/>
    </row>
    <row r="83" spans="1:9" x14ac:dyDescent="0.25">
      <c r="A83" s="3"/>
      <c r="B83" s="3"/>
      <c r="C83" s="3"/>
      <c r="D83" s="2"/>
      <c r="E83" s="2"/>
      <c r="F83" s="2"/>
      <c r="G83" s="2"/>
      <c r="H83" s="8"/>
      <c r="I83" s="8"/>
    </row>
    <row r="84" spans="1:9" x14ac:dyDescent="0.25">
      <c r="A84" s="3"/>
      <c r="B84" s="3"/>
      <c r="C84" s="3"/>
      <c r="D84" s="2"/>
      <c r="E84" s="2"/>
      <c r="F84" s="2"/>
      <c r="G84" s="2"/>
      <c r="H84" s="8"/>
      <c r="I84" s="8"/>
    </row>
    <row r="85" spans="1:9" x14ac:dyDescent="0.25">
      <c r="A85" s="3"/>
      <c r="B85" s="3"/>
      <c r="C85" s="3"/>
      <c r="D85" s="2"/>
      <c r="E85" s="2"/>
      <c r="F85" s="2"/>
      <c r="G85" s="2"/>
      <c r="H85" s="8"/>
      <c r="I85" s="8"/>
    </row>
    <row r="86" spans="1:9" x14ac:dyDescent="0.25">
      <c r="A86" s="3"/>
      <c r="B86" s="3"/>
      <c r="C86" s="3"/>
      <c r="D86" s="2"/>
      <c r="E86" s="2"/>
      <c r="F86" s="2"/>
      <c r="G86" s="2"/>
      <c r="H86" s="8"/>
      <c r="I86" s="8"/>
    </row>
    <row r="87" spans="1:9" x14ac:dyDescent="0.25">
      <c r="A87" s="3"/>
      <c r="B87" s="3"/>
      <c r="C87" s="3"/>
      <c r="D87" s="2"/>
      <c r="E87" s="2"/>
      <c r="F87" s="2"/>
      <c r="G87" s="2"/>
      <c r="H87" s="8"/>
      <c r="I87" s="8"/>
    </row>
    <row r="88" spans="1:9" x14ac:dyDescent="0.25">
      <c r="A88" s="3"/>
      <c r="B88" s="3"/>
      <c r="C88" s="3"/>
      <c r="D88" s="2"/>
      <c r="E88" s="2"/>
      <c r="F88" s="2"/>
      <c r="G88" s="2"/>
      <c r="H88" s="8"/>
      <c r="I88" s="8"/>
    </row>
    <row r="89" spans="1:9" x14ac:dyDescent="0.25">
      <c r="A89" s="3"/>
      <c r="B89" s="3"/>
      <c r="C89" s="3"/>
      <c r="D89" s="2"/>
      <c r="E89" s="2"/>
      <c r="F89" s="2"/>
      <c r="G89" s="2"/>
      <c r="H89" s="8"/>
      <c r="I89" s="8"/>
    </row>
    <row r="90" spans="1:9" x14ac:dyDescent="0.25">
      <c r="A90" s="3"/>
      <c r="B90" s="3"/>
      <c r="C90" s="3"/>
      <c r="D90" s="2"/>
      <c r="E90" s="2"/>
      <c r="F90" s="2"/>
      <c r="G90" s="2"/>
      <c r="H90" s="8"/>
      <c r="I90" s="8"/>
    </row>
    <row r="91" spans="1:9" x14ac:dyDescent="0.25">
      <c r="A91" s="3"/>
      <c r="B91" s="3"/>
      <c r="C91" s="3"/>
      <c r="D91" s="2"/>
      <c r="E91" s="2"/>
      <c r="F91" s="2"/>
      <c r="G91" s="2"/>
      <c r="H91" s="8"/>
      <c r="I91" s="8"/>
    </row>
    <row r="92" spans="1:9" x14ac:dyDescent="0.25">
      <c r="A92" s="3"/>
      <c r="B92" s="3"/>
      <c r="C92" s="3"/>
      <c r="D92" s="2"/>
      <c r="E92" s="2"/>
      <c r="F92" s="2"/>
      <c r="G92" s="2"/>
      <c r="H92" s="8"/>
      <c r="I92" s="8"/>
    </row>
    <row r="93" spans="1:9" x14ac:dyDescent="0.25">
      <c r="A93" s="3"/>
      <c r="B93" s="3"/>
      <c r="C93" s="3"/>
      <c r="D93" s="2"/>
      <c r="E93" s="2"/>
      <c r="F93" s="2"/>
      <c r="G93" s="2"/>
      <c r="H93" s="8"/>
      <c r="I93" s="8"/>
    </row>
    <row r="94" spans="1:9" x14ac:dyDescent="0.25">
      <c r="A94" s="3"/>
      <c r="B94" s="3"/>
      <c r="C94" s="3"/>
      <c r="D94" s="2"/>
      <c r="E94" s="2"/>
      <c r="F94" s="2"/>
      <c r="G94" s="2"/>
      <c r="H94" s="8"/>
      <c r="I94" s="8"/>
    </row>
    <row r="95" spans="1:9" x14ac:dyDescent="0.25">
      <c r="A95" s="3"/>
      <c r="B95" s="3"/>
      <c r="C95" s="3"/>
      <c r="D95" s="2"/>
      <c r="E95" s="2"/>
      <c r="F95" s="2"/>
      <c r="G95" s="2"/>
      <c r="H95" s="8"/>
      <c r="I95" s="8"/>
    </row>
    <row r="96" spans="1:9" x14ac:dyDescent="0.25">
      <c r="A96" s="3"/>
      <c r="B96" s="3"/>
      <c r="C96" s="3"/>
      <c r="D96" s="2"/>
      <c r="E96" s="2"/>
      <c r="F96" s="2"/>
      <c r="G96" s="2"/>
      <c r="H96" s="8"/>
      <c r="I96" s="8"/>
    </row>
    <row r="97" spans="1:9" x14ac:dyDescent="0.25">
      <c r="A97" s="3"/>
      <c r="B97" s="3"/>
      <c r="C97" s="3"/>
      <c r="D97" s="2"/>
      <c r="E97" s="2"/>
      <c r="F97" s="2"/>
      <c r="G97" s="2"/>
      <c r="H97" s="8"/>
      <c r="I97" s="8"/>
    </row>
    <row r="98" spans="1:9" x14ac:dyDescent="0.25">
      <c r="A98" s="3"/>
      <c r="B98" s="3"/>
      <c r="C98" s="3"/>
      <c r="D98" s="2"/>
      <c r="E98" s="2"/>
      <c r="F98" s="2"/>
      <c r="G98" s="2"/>
      <c r="H98" s="8"/>
      <c r="I98" s="8"/>
    </row>
    <row r="99" spans="1:9" x14ac:dyDescent="0.25">
      <c r="A99" s="3"/>
      <c r="B99" s="3"/>
      <c r="C99" s="3"/>
      <c r="D99" s="2"/>
      <c r="E99" s="2"/>
      <c r="F99" s="2"/>
      <c r="G99" s="2"/>
      <c r="H99" s="8"/>
      <c r="I99" s="8"/>
    </row>
    <row r="100" spans="1:9" x14ac:dyDescent="0.25">
      <c r="A100" s="3"/>
      <c r="B100" s="3"/>
      <c r="C100" s="3"/>
      <c r="D100" s="2"/>
      <c r="E100" s="2"/>
      <c r="F100" s="2"/>
      <c r="G100" s="2"/>
      <c r="H100" s="8"/>
      <c r="I100" s="8"/>
    </row>
    <row r="101" spans="1:9" x14ac:dyDescent="0.25">
      <c r="A101" s="3"/>
      <c r="B101" s="3"/>
      <c r="C101" s="3"/>
      <c r="D101" s="2"/>
      <c r="E101" s="2"/>
      <c r="F101" s="2"/>
      <c r="G101" s="2"/>
      <c r="H101" s="8"/>
      <c r="I101" s="8"/>
    </row>
    <row r="102" spans="1:9" x14ac:dyDescent="0.25">
      <c r="A102" s="3"/>
      <c r="B102" s="3"/>
      <c r="C102" s="3"/>
      <c r="D102" s="2"/>
      <c r="E102" s="2"/>
      <c r="F102" s="2"/>
      <c r="G102" s="2"/>
      <c r="H102" s="8"/>
      <c r="I102" s="8"/>
    </row>
    <row r="103" spans="1:9" x14ac:dyDescent="0.25">
      <c r="A103" s="3"/>
      <c r="B103" s="3"/>
      <c r="C103" s="3"/>
      <c r="D103" s="2"/>
      <c r="E103" s="2"/>
      <c r="F103" s="2"/>
      <c r="G103" s="2"/>
      <c r="H103" s="8"/>
      <c r="I103" s="8"/>
    </row>
    <row r="104" spans="1:9" x14ac:dyDescent="0.25">
      <c r="A104" s="3"/>
      <c r="B104" s="3"/>
      <c r="C104" s="3"/>
      <c r="D104" s="2"/>
      <c r="E104" s="2"/>
      <c r="F104" s="2"/>
      <c r="G104" s="2"/>
      <c r="H104" s="8"/>
      <c r="I104" s="8"/>
    </row>
    <row r="105" spans="1:9" x14ac:dyDescent="0.25">
      <c r="A105" s="3"/>
      <c r="B105" s="3"/>
      <c r="C105" s="3"/>
      <c r="D105" s="2"/>
      <c r="E105" s="2"/>
      <c r="F105" s="2"/>
      <c r="G105" s="2"/>
      <c r="H105" s="8"/>
      <c r="I105" s="8"/>
    </row>
    <row r="106" spans="1:9" x14ac:dyDescent="0.25">
      <c r="A106" s="3"/>
      <c r="B106" s="3"/>
      <c r="C106" s="3"/>
      <c r="D106" s="2"/>
      <c r="E106" s="2"/>
      <c r="F106" s="2"/>
      <c r="G106" s="2"/>
      <c r="H106" s="2"/>
      <c r="I106" s="2"/>
    </row>
    <row r="107" spans="1:9" x14ac:dyDescent="0.25">
      <c r="A107" s="3"/>
      <c r="B107" s="3"/>
      <c r="C107" s="3"/>
      <c r="D107" s="2"/>
      <c r="E107" s="2"/>
      <c r="F107" s="2"/>
      <c r="G107" s="2"/>
      <c r="H107" s="2"/>
      <c r="I107" s="2"/>
    </row>
    <row r="108" spans="1:9" x14ac:dyDescent="0.25">
      <c r="A108" s="3"/>
      <c r="B108" s="3"/>
      <c r="C108" s="3"/>
      <c r="D108" s="2"/>
      <c r="E108" s="2"/>
      <c r="F108" s="2"/>
      <c r="G108" s="2"/>
      <c r="H108" s="2"/>
      <c r="I108" s="2"/>
    </row>
    <row r="109" spans="1:9" x14ac:dyDescent="0.25">
      <c r="A109" s="3"/>
      <c r="B109" s="3"/>
      <c r="C109" s="3"/>
      <c r="D109" s="2"/>
      <c r="E109" s="2"/>
      <c r="F109" s="2"/>
      <c r="G109" s="2"/>
      <c r="H109" s="2"/>
      <c r="I109" s="2"/>
    </row>
    <row r="110" spans="1:9" x14ac:dyDescent="0.25">
      <c r="A110" s="3"/>
      <c r="B110" s="3"/>
      <c r="C110" s="3"/>
      <c r="D110" s="2"/>
      <c r="E110" s="2"/>
      <c r="F110" s="2"/>
      <c r="G110" s="2"/>
      <c r="H110" s="2"/>
      <c r="I110" s="2"/>
    </row>
    <row r="111" spans="1:9" x14ac:dyDescent="0.25">
      <c r="A111" s="3"/>
      <c r="B111" s="3"/>
      <c r="C111" s="3"/>
      <c r="D111" s="2"/>
      <c r="E111" s="2"/>
      <c r="F111" s="2"/>
      <c r="G111" s="2"/>
      <c r="H111" s="2"/>
      <c r="I111" s="2"/>
    </row>
    <row r="112" spans="1:9" x14ac:dyDescent="0.25">
      <c r="A112" s="3"/>
      <c r="B112" s="3"/>
      <c r="C112" s="3"/>
      <c r="D112" s="2"/>
      <c r="E112" s="2"/>
      <c r="F112" s="2"/>
      <c r="G112" s="2"/>
      <c r="H112" s="2"/>
      <c r="I112" s="2"/>
    </row>
    <row r="113" spans="1:9" x14ac:dyDescent="0.25">
      <c r="A113" s="3"/>
      <c r="B113" s="3"/>
      <c r="C113" s="3"/>
      <c r="D113" s="2"/>
      <c r="E113" s="2"/>
      <c r="F113" s="2"/>
      <c r="G113" s="2"/>
      <c r="H113" s="2"/>
      <c r="I113" s="2"/>
    </row>
    <row r="114" spans="1:9" x14ac:dyDescent="0.25">
      <c r="A114" s="3"/>
      <c r="B114" s="3"/>
      <c r="C114" s="3"/>
      <c r="D114" s="2"/>
      <c r="E114" s="2"/>
      <c r="F114" s="2"/>
      <c r="G114" s="2"/>
      <c r="H114" s="2"/>
      <c r="I114" s="2"/>
    </row>
    <row r="115" spans="1:9" x14ac:dyDescent="0.25">
      <c r="A115" s="3"/>
      <c r="B115" s="3"/>
      <c r="C115" s="3"/>
      <c r="D115" s="2"/>
      <c r="E115" s="2"/>
      <c r="F115" s="2"/>
      <c r="G115" s="2"/>
      <c r="H115" s="2"/>
      <c r="I115" s="2"/>
    </row>
    <row r="116" spans="1:9" x14ac:dyDescent="0.25">
      <c r="A116" s="3"/>
      <c r="B116" s="3"/>
      <c r="C116" s="3"/>
      <c r="D116" s="2"/>
      <c r="E116" s="2"/>
      <c r="F116" s="2"/>
      <c r="G116" s="2"/>
      <c r="H116" s="2"/>
      <c r="I116" s="2"/>
    </row>
    <row r="117" spans="1:9" x14ac:dyDescent="0.25">
      <c r="A117" s="3"/>
      <c r="B117" s="3"/>
      <c r="C117" s="3"/>
      <c r="D117" s="2"/>
      <c r="E117" s="2"/>
      <c r="F117" s="2"/>
      <c r="G117" s="2"/>
      <c r="H117" s="2"/>
      <c r="I117" s="2"/>
    </row>
    <row r="118" spans="1:9" x14ac:dyDescent="0.25">
      <c r="A118" s="3"/>
      <c r="B118" s="3"/>
      <c r="C118" s="3"/>
      <c r="D118" s="2"/>
      <c r="E118" s="2"/>
      <c r="F118" s="2"/>
      <c r="G118" s="2"/>
      <c r="H118" s="2"/>
      <c r="I118" s="2"/>
    </row>
    <row r="119" spans="1:9" x14ac:dyDescent="0.25">
      <c r="A119" s="3"/>
      <c r="B119" s="3"/>
      <c r="C119" s="3"/>
      <c r="D119" s="2"/>
      <c r="E119" s="2"/>
      <c r="F119" s="2"/>
      <c r="G119" s="2"/>
      <c r="H119" s="2"/>
      <c r="I119" s="2"/>
    </row>
    <row r="120" spans="1:9" x14ac:dyDescent="0.25">
      <c r="A120" s="3"/>
      <c r="B120" s="3"/>
      <c r="C120" s="3"/>
      <c r="D120" s="2"/>
      <c r="E120" s="2"/>
      <c r="F120" s="2"/>
      <c r="G120" s="2"/>
      <c r="H120" s="2"/>
      <c r="I120" s="2"/>
    </row>
  </sheetData>
  <mergeCells count="3">
    <mergeCell ref="A4:A5"/>
    <mergeCell ref="B4:C4"/>
    <mergeCell ref="D4:E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40B51-A390-4C0B-9434-3792A29A841B}">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Information</vt:lpstr>
      <vt:lpstr>Validation 2</vt:lpstr>
      <vt:lpstr>Abaqus_input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Kokou Evignon Attiogbe</dc:creator>
  <cp:lastModifiedBy>Kokou Evignon Attiogbe</cp:lastModifiedBy>
  <dcterms:created xsi:type="dcterms:W3CDTF">2026-02-10T04:23:02Z</dcterms:created>
  <dcterms:modified xsi:type="dcterms:W3CDTF">2026-02-10T18:06:51Z</dcterms:modified>
</cp:coreProperties>
</file>