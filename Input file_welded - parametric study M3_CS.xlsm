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26FAE6F5-2492-4015-893E-E0C1FACE2C08}" xr6:coauthVersionLast="47" xr6:coauthVersionMax="47" xr10:uidLastSave="{00000000-0000-0000-0000-000000000000}"/>
  <bookViews>
    <workbookView xWindow="-120" yWindow="-120" windowWidth="38640" windowHeight="21120" tabRatio="353" activeTab="1" xr2:uid="{00000000-000D-0000-FFFF-FFFF00000000}"/>
  </bookViews>
  <sheets>
    <sheet name="General_parameters" sheetId="2" r:id="rId1"/>
    <sheet name="Input_data" sheetId="1" r:id="rId2"/>
  </sheet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4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<sst xmlns="http://schemas.openxmlformats.org/spreadsheetml/2006/main" count="372" uniqueCount="191">
  <si>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</si>
  <si>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</si>
  <si>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</si>
  <si>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</si>
  <si>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</si>
  <si>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</si>
  <si>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</si>
  <si>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</si>
  <si>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</si>
  <si>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</si>
  <si>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</si>
  <si>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</si>
  <si>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</si>
  <si>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</si>
  <si>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</si>
  <si>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</si>
  <si>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</si>
  <si>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</si>
  <si>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</si>
  <si>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</si>
  <si>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</si>
  <si>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</si>
  <si>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</si>
  <si>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</si>
  <si>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</si>
  <si>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</si>
  <si>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</si>
  <si>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</si>
  <si>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</si>
  <si>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</si>
  <si>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</si>
  <si>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</si>
  <si>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</si>
  <si>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</si>
  <si>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</si>
  <si>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</si>
  <si>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</si>
  <si>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</si>
  <si>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</si>
  <si>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</si>
  <si>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</si>
  <si>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</si>
  <si>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</si>
  <si>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</si>
  <si>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</si>
  <si>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</si>
  <si>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</si>
  <si>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</si>
  <si>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</si>
  <si>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</si>
  <si>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</si>
  <si>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</si>
  <si>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</si>
  <si>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</si>
  <si>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</si>
  <si>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</si>
  <si>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</si>
  <si>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</si>
  <si>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</si>
  <si>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</si>
  <si>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</si>
  <si>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</si>
  <si>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</si>
  <si>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</si>
  <si>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</si>
  <si>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</si>
  <si>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</si>
  <si>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</si>
  <si>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</si>
  <si>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</si>
  <si>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</si>
  <si>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</si>
  <si>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</si>
  <si>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</si>
  <si>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</si>
  <si>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</si>
  <si>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</si>
  <si>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</si>
  <si>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</si>
  <si>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</si>
  <si>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</si>
  <si>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</si>
  <si>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</si>
  <si>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</si>
  <si>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</si>
  <si>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</si>
  <si>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</si>
  <si>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</si>
  <si>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</si>
  <si>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</si>
  <si>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S_1</t>
  </si>
  <si>
    <t>Wg (Lcr/1000)</t>
  </si>
  <si>
    <t>w0(b/200)</t>
  </si>
  <si>
    <t>ecc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</si>
  <si>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</si>
  <si>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</si>
  <si>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</si>
  <si>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</si>
  <si>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</si>
  <si>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</si>
  <si>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</si>
  <si>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</si>
  <si>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</si>
  <si>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</si>
  <si>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</si>
  <si>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</si>
  <si>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</si>
  <si>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</si>
  <si>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</si>
  <si>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</si>
  <si>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</si>
  <si>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</si>
  <si>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</si>
  <si>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</si>
  <si>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</si>
  <si>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</si>
  <si>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</si>
  <si>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</si>
  <si>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</si>
  <si>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</si>
  <si>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</si>
  <si>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</si>
  <si>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</si>
  <si>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</si>
  <si>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</si>
  <si>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</si>
  <si>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</si>
  <si>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</si>
  <si>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</si>
  <si>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</si>
  <si>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</si>
  <si>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</si>
  <si>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</si>
  <si>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</si>
  <si>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</si>
  <si>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</si>
  <si>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</si>
  <si>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</si>
  <si>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</si>
  <si>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</si>
  <si>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</si>
  <si>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</si>
  <si>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</si>
  <si>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</si>
  <si>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</si>
  <si>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</si>
  <si>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</si>
  <si>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</si>
  <si>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</si>
  <si>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</si>
  <si>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</si>
  <si>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</si>
  <si>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</si>
  <si>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</si>
  <si>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</si>
  <si>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</si>
  <si>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</si>
  <si>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</si>
  <si>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</si>
  <si>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</si>
  <si>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</si>
  <si>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</si>
  <si>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</si>
  <si>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</si>
  <si>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</si>
  <si>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</si>
  <si>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</si>
  <si>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</si>
  <si>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</si>
  <si>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</si>
  <si>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</si>
  <si>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</si>
  <si>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</si>
  <si>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</si>
  <si>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</si>
  <si>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</si>
  <si>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</si>
  <si>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</si>
  <si>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</si>
  <si>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</si>
  <si>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</si>
  <si>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</si>
  <si>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</si>
  <si>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</si>
  <si>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</si>
  <si>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</si>
  <si>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</si>
  <si>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</si>
  <si>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</si>
  <si>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</si>
  <si>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Parametric_study_CS_355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</si>
</sst>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657224</xdr:colOff>
          <xdr:row>1</xdr:row>
          <xdr:rowOff>297657</xdr:rowOff>
        </xdr:from>
        <xdr:to>
          <xdr:col>47</xdr:col>
          <xdr:colOff>678655</xdr:colOff>
          <xdr:row>1</xdr:row>
          <xdr:rowOff>895351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3" sqref="B3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3" t="s">
        <v>36</v>
      </c>
      <c r="B1" s="114"/>
      <c r="C1" s="115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90</v>
      </c>
      <c r="C4" s="8"/>
    </row>
    <row r="5" spans="1:16" x14ac:dyDescent="0.25">
      <c r="A5" s="9"/>
      <c r="B5" s="6"/>
      <c r="C5" s="8"/>
    </row>
    <row r="6" spans="1:16" ht="18.75" x14ac:dyDescent="0.3">
      <c r="A6" s="116" t="s">
        <v>37</v>
      </c>
      <c r="B6" s="117"/>
      <c r="C6" s="118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9.9999999999999995E-7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180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6" t="s">
        <v>38</v>
      </c>
      <c r="B14" s="117"/>
      <c r="C14" s="118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15</v>
      </c>
      <c r="C16" s="8"/>
      <c r="E16">
        <v>25</v>
      </c>
    </row>
    <row r="17" spans="1:5" x14ac:dyDescent="0.25">
      <c r="A17" s="9" t="s">
        <v>40</v>
      </c>
      <c r="B17" s="3">
        <v>15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L1" zoomScale="80" zoomScaleNormal="80" workbookViewId="0">
      <pane ySplit="2" topLeftCell="A3" activePane="bottomLeft" state="frozen"/>
      <selection pane="bottomLeft" activeCell="AQ20" sqref="AQ20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4" t="s">
        <v>26</v>
      </c>
      <c r="D1" s="105"/>
      <c r="E1" s="105"/>
      <c r="F1" s="105"/>
      <c r="G1" s="105"/>
      <c r="H1" s="105"/>
      <c r="I1" s="105"/>
      <c r="J1" s="105"/>
      <c r="K1" s="106"/>
      <c r="L1" s="103" t="s">
        <v>25</v>
      </c>
      <c r="M1" s="103"/>
      <c r="N1" s="103"/>
      <c r="O1" s="103"/>
      <c r="P1" s="103"/>
      <c r="Q1" s="103"/>
      <c r="R1" s="103"/>
      <c r="S1" s="103"/>
      <c r="T1" s="36" t="s">
        <v>27</v>
      </c>
      <c r="U1" s="104" t="s">
        <v>17</v>
      </c>
      <c r="V1" s="105"/>
      <c r="W1" s="105"/>
      <c r="X1" s="105"/>
      <c r="Y1" s="105"/>
      <c r="Z1" s="105"/>
      <c r="AA1" s="105"/>
      <c r="AB1" s="105"/>
      <c r="AC1" s="105"/>
      <c r="AD1" s="106"/>
      <c r="AE1" s="107" t="s">
        <v>43</v>
      </c>
      <c r="AF1" s="108"/>
      <c r="AG1" s="109"/>
      <c r="AH1" s="110" t="s">
        <v>88</v>
      </c>
      <c r="AI1" s="111"/>
      <c r="AJ1" s="112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91</v>
      </c>
      <c r="AL2" s="56" t="s">
        <v>92</v>
      </c>
      <c r="AM2" s="56" t="s">
        <v>93</v>
      </c>
      <c r="AN2" s="56" t="s">
        <v>89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4">
        <v>193</v>
      </c>
      <c r="B4" s="95" t="s">
        <v>94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24.7</v>
      </c>
      <c r="I4" s="96">
        <v>0</v>
      </c>
      <c r="J4" s="96">
        <v>0</v>
      </c>
      <c r="K4" s="96">
        <f>3*E4</f>
        <v>1200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3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97">
        <f>AH4/3.5</f>
        <v>1494.3734892590751</v>
      </c>
      <c r="AC4" s="97">
        <f t="shared" ref="AC4:AC9" si="0">Z4*AI4/3.5</f>
        <v>0</v>
      </c>
      <c r="AD4" s="97">
        <f t="shared" ref="AD4:AD9" si="1">AA4*AJ4/3.5</f>
        <v>0</v>
      </c>
      <c r="AE4" s="96">
        <v>20</v>
      </c>
      <c r="AF4" s="96">
        <v>355</v>
      </c>
      <c r="AG4" s="96">
        <v>210000</v>
      </c>
      <c r="AH4" s="97">
        <v>5230.307212406763</v>
      </c>
      <c r="AI4" s="97">
        <v>0</v>
      </c>
      <c r="AJ4" s="98">
        <v>0</v>
      </c>
      <c r="AK4" s="99">
        <f t="shared" ref="AK4:AK36" si="2">K4/1000</f>
        <v>1.2</v>
      </c>
      <c r="AL4" s="99">
        <f t="shared" ref="AL4:AL36" si="3">C4/200</f>
        <v>0.9</v>
      </c>
      <c r="AM4" s="100"/>
      <c r="AN4" s="99">
        <v>1.0469093343512437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194</v>
      </c>
      <c r="B5" s="67" t="s">
        <v>95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24.7</v>
      </c>
      <c r="I5" s="19">
        <v>0</v>
      </c>
      <c r="J5" s="19">
        <v>0</v>
      </c>
      <c r="K5" s="19">
        <f t="shared" ref="K5:K68" si="4">3*E5</f>
        <v>1200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5">W5</f>
        <v>1</v>
      </c>
      <c r="Z5" s="19">
        <f t="shared" ref="Z5:Z68" si="6">IF(X5=90,0,(1-Y5)/(TAN(X5/180*PI())+1))</f>
        <v>0</v>
      </c>
      <c r="AA5" s="19">
        <f t="shared" ref="AA5:AA68" si="7">IF(X5=90,1-W5,Z5*TAN(X5/180*PI()))</f>
        <v>0</v>
      </c>
      <c r="AB5" s="29">
        <f t="shared" ref="AB5:AB68" si="8">AH5/3.5</f>
        <v>1494.3734892590751</v>
      </c>
      <c r="AC5" s="29">
        <f t="shared" si="0"/>
        <v>0</v>
      </c>
      <c r="AD5" s="29">
        <f t="shared" si="1"/>
        <v>0</v>
      </c>
      <c r="AE5" s="28">
        <v>20</v>
      </c>
      <c r="AF5" s="46">
        <v>355</v>
      </c>
      <c r="AG5" s="28">
        <v>210000</v>
      </c>
      <c r="AH5" s="29">
        <v>5230.307212406763</v>
      </c>
      <c r="AI5" s="29">
        <v>0</v>
      </c>
      <c r="AJ5" s="30">
        <v>0</v>
      </c>
      <c r="AK5" s="57">
        <f t="shared" si="2"/>
        <v>1.2</v>
      </c>
      <c r="AL5" s="57">
        <f t="shared" si="3"/>
        <v>0.9</v>
      </c>
      <c r="AM5" s="60"/>
      <c r="AN5" s="57">
        <v>1.0469093343512437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195</v>
      </c>
      <c r="B6" s="67" t="s">
        <v>96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24.7</v>
      </c>
      <c r="I6" s="19">
        <v>0</v>
      </c>
      <c r="J6" s="19">
        <v>0</v>
      </c>
      <c r="K6" s="19">
        <f t="shared" si="4"/>
        <v>1200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5"/>
        <v>1</v>
      </c>
      <c r="Z6" s="19">
        <f t="shared" si="6"/>
        <v>0</v>
      </c>
      <c r="AA6" s="19">
        <f t="shared" si="7"/>
        <v>0</v>
      </c>
      <c r="AB6" s="29">
        <f t="shared" si="8"/>
        <v>1494.3734892590751</v>
      </c>
      <c r="AC6" s="29">
        <f t="shared" si="0"/>
        <v>0</v>
      </c>
      <c r="AD6" s="29">
        <f t="shared" si="1"/>
        <v>0</v>
      </c>
      <c r="AE6" s="28">
        <v>20</v>
      </c>
      <c r="AF6" s="46">
        <v>355</v>
      </c>
      <c r="AG6" s="28">
        <v>210000</v>
      </c>
      <c r="AH6" s="29">
        <v>5230.307212406763</v>
      </c>
      <c r="AI6" s="29">
        <v>0</v>
      </c>
      <c r="AJ6" s="30">
        <v>0</v>
      </c>
      <c r="AK6" s="57">
        <f t="shared" si="2"/>
        <v>1.2</v>
      </c>
      <c r="AL6" s="57">
        <f t="shared" si="3"/>
        <v>0.9</v>
      </c>
      <c r="AM6" s="60"/>
      <c r="AN6" s="57">
        <v>1.0469093343512437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196</v>
      </c>
      <c r="B7" s="67" t="s">
        <v>97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24.7</v>
      </c>
      <c r="I7" s="19">
        <v>0</v>
      </c>
      <c r="J7" s="19">
        <v>0</v>
      </c>
      <c r="K7" s="19">
        <f t="shared" si="4"/>
        <v>1200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5"/>
        <v>1</v>
      </c>
      <c r="Z7" s="19">
        <f t="shared" si="6"/>
        <v>0</v>
      </c>
      <c r="AA7" s="19">
        <f t="shared" si="7"/>
        <v>0</v>
      </c>
      <c r="AB7" s="29">
        <f t="shared" si="8"/>
        <v>1494.3734892590751</v>
      </c>
      <c r="AC7" s="29">
        <f t="shared" si="0"/>
        <v>0</v>
      </c>
      <c r="AD7" s="29">
        <f t="shared" si="1"/>
        <v>0</v>
      </c>
      <c r="AE7" s="28">
        <v>20</v>
      </c>
      <c r="AF7" s="46">
        <v>355</v>
      </c>
      <c r="AG7" s="28">
        <v>210000</v>
      </c>
      <c r="AH7" s="29">
        <v>5230.307212406763</v>
      </c>
      <c r="AI7" s="29">
        <v>0</v>
      </c>
      <c r="AJ7" s="30">
        <v>0</v>
      </c>
      <c r="AK7" s="57">
        <f t="shared" si="2"/>
        <v>1.2</v>
      </c>
      <c r="AL7" s="57">
        <f t="shared" si="3"/>
        <v>0.9</v>
      </c>
      <c r="AM7" s="60"/>
      <c r="AN7" s="57">
        <v>1.0469093343512437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197</v>
      </c>
      <c r="B8" s="67" t="s">
        <v>98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24.7</v>
      </c>
      <c r="I8" s="19">
        <v>0</v>
      </c>
      <c r="J8" s="19">
        <v>0</v>
      </c>
      <c r="K8" s="19">
        <f t="shared" si="4"/>
        <v>1200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5"/>
        <v>1</v>
      </c>
      <c r="Z8" s="19">
        <f t="shared" si="6"/>
        <v>0</v>
      </c>
      <c r="AA8" s="19">
        <f t="shared" si="7"/>
        <v>0</v>
      </c>
      <c r="AB8" s="29">
        <f t="shared" si="8"/>
        <v>1494.3734892590751</v>
      </c>
      <c r="AC8" s="29">
        <f t="shared" si="0"/>
        <v>0</v>
      </c>
      <c r="AD8" s="29">
        <f t="shared" si="1"/>
        <v>0</v>
      </c>
      <c r="AE8" s="28">
        <v>20</v>
      </c>
      <c r="AF8" s="46">
        <v>355</v>
      </c>
      <c r="AG8" s="28">
        <v>210000</v>
      </c>
      <c r="AH8" s="29">
        <v>5230.307212406763</v>
      </c>
      <c r="AI8" s="29">
        <v>0</v>
      </c>
      <c r="AJ8" s="30">
        <v>0</v>
      </c>
      <c r="AK8" s="57">
        <f t="shared" si="2"/>
        <v>1.2</v>
      </c>
      <c r="AL8" s="57">
        <f t="shared" si="3"/>
        <v>0.9</v>
      </c>
      <c r="AM8" s="60"/>
      <c r="AN8" s="57">
        <v>1.0469093343512437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198</v>
      </c>
      <c r="B9" s="67" t="s">
        <v>99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24.7</v>
      </c>
      <c r="I9" s="19">
        <v>0</v>
      </c>
      <c r="J9" s="19">
        <v>0</v>
      </c>
      <c r="K9" s="19">
        <f t="shared" si="4"/>
        <v>1200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5"/>
        <v>1</v>
      </c>
      <c r="Z9" s="19">
        <f t="shared" si="6"/>
        <v>0</v>
      </c>
      <c r="AA9" s="19">
        <f t="shared" si="7"/>
        <v>0</v>
      </c>
      <c r="AB9" s="29">
        <f t="shared" si="8"/>
        <v>1494.3734892590751</v>
      </c>
      <c r="AC9" s="29">
        <f t="shared" si="0"/>
        <v>0</v>
      </c>
      <c r="AD9" s="29">
        <f t="shared" si="1"/>
        <v>0</v>
      </c>
      <c r="AE9" s="28">
        <v>20</v>
      </c>
      <c r="AF9" s="46">
        <v>355</v>
      </c>
      <c r="AG9" s="28">
        <v>210000</v>
      </c>
      <c r="AH9" s="29">
        <v>5230.307212406763</v>
      </c>
      <c r="AI9" s="29">
        <v>0</v>
      </c>
      <c r="AJ9" s="30">
        <v>0</v>
      </c>
      <c r="AK9" s="57">
        <f t="shared" si="2"/>
        <v>1.2</v>
      </c>
      <c r="AL9" s="57">
        <f t="shared" si="3"/>
        <v>0.9</v>
      </c>
      <c r="AM9" s="60"/>
      <c r="AN9" s="57">
        <v>1.0469093343512437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199</v>
      </c>
      <c r="B10" s="67" t="s">
        <v>100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24.7</v>
      </c>
      <c r="I10" s="19">
        <v>0</v>
      </c>
      <c r="J10" s="19">
        <v>0</v>
      </c>
      <c r="K10" s="19">
        <f t="shared" si="4"/>
        <v>1200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5"/>
        <v>1</v>
      </c>
      <c r="Z10" s="19">
        <f t="shared" si="6"/>
        <v>0</v>
      </c>
      <c r="AA10" s="19">
        <f t="shared" si="7"/>
        <v>0</v>
      </c>
      <c r="AB10" s="29">
        <f t="shared" si="8"/>
        <v>1494.3734892590751</v>
      </c>
      <c r="AC10" s="29">
        <v>0</v>
      </c>
      <c r="AD10" s="29">
        <v>0</v>
      </c>
      <c r="AE10" s="28">
        <v>20</v>
      </c>
      <c r="AF10" s="46">
        <v>355</v>
      </c>
      <c r="AG10" s="28">
        <v>210000</v>
      </c>
      <c r="AH10" s="29">
        <v>5230.307212406763</v>
      </c>
      <c r="AI10" s="29">
        <v>0</v>
      </c>
      <c r="AJ10" s="30">
        <v>0</v>
      </c>
      <c r="AK10" s="57">
        <f t="shared" si="2"/>
        <v>1.2</v>
      </c>
      <c r="AL10" s="57">
        <f t="shared" si="3"/>
        <v>0.9</v>
      </c>
      <c r="AM10" s="60"/>
      <c r="AN10" s="57">
        <v>1.0469093343512437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200</v>
      </c>
      <c r="B11" s="67" t="s">
        <v>101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24.7</v>
      </c>
      <c r="I11" s="19">
        <v>0</v>
      </c>
      <c r="J11" s="19">
        <v>0</v>
      </c>
      <c r="K11" s="19">
        <f t="shared" si="4"/>
        <v>1200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5"/>
        <v>1</v>
      </c>
      <c r="Z11" s="19">
        <f t="shared" si="6"/>
        <v>0</v>
      </c>
      <c r="AA11" s="19">
        <f t="shared" si="7"/>
        <v>0</v>
      </c>
      <c r="AB11" s="29">
        <f t="shared" si="8"/>
        <v>1494.3734892590751</v>
      </c>
      <c r="AC11" s="29">
        <v>0</v>
      </c>
      <c r="AD11" s="29">
        <v>0</v>
      </c>
      <c r="AE11" s="28">
        <v>20</v>
      </c>
      <c r="AF11" s="46">
        <v>355</v>
      </c>
      <c r="AG11" s="28">
        <v>210000</v>
      </c>
      <c r="AH11" s="29">
        <v>5230.307212406763</v>
      </c>
      <c r="AI11" s="29">
        <v>0</v>
      </c>
      <c r="AJ11" s="30">
        <v>0</v>
      </c>
      <c r="AK11" s="57">
        <f t="shared" si="2"/>
        <v>1.2</v>
      </c>
      <c r="AL11" s="57">
        <f t="shared" si="3"/>
        <v>0.9</v>
      </c>
      <c r="AM11" s="60"/>
      <c r="AN11" s="57">
        <v>1.0469093343512437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201</v>
      </c>
      <c r="B12" s="67" t="s">
        <v>102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16</v>
      </c>
      <c r="I12" s="19">
        <v>0</v>
      </c>
      <c r="J12" s="19">
        <v>0</v>
      </c>
      <c r="K12" s="19">
        <f t="shared" si="4"/>
        <v>1200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5"/>
        <v>1</v>
      </c>
      <c r="Z12" s="19">
        <f t="shared" si="6"/>
        <v>0</v>
      </c>
      <c r="AA12" s="19">
        <f t="shared" si="7"/>
        <v>0</v>
      </c>
      <c r="AB12" s="29">
        <f t="shared" si="8"/>
        <v>1153.6060772107771</v>
      </c>
      <c r="AC12" s="29">
        <v>0</v>
      </c>
      <c r="AD12" s="29">
        <v>0</v>
      </c>
      <c r="AE12" s="28">
        <v>20</v>
      </c>
      <c r="AF12" s="46">
        <v>355</v>
      </c>
      <c r="AG12" s="28">
        <v>210000</v>
      </c>
      <c r="AH12" s="29">
        <v>4037.6212702377197</v>
      </c>
      <c r="AI12" s="29">
        <v>0</v>
      </c>
      <c r="AJ12" s="30">
        <v>0</v>
      </c>
      <c r="AK12" s="57">
        <f t="shared" si="2"/>
        <v>1.2</v>
      </c>
      <c r="AL12" s="57">
        <f t="shared" si="3"/>
        <v>0.9</v>
      </c>
      <c r="AM12" s="60"/>
      <c r="AN12" s="57">
        <v>1.0503861325196855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202</v>
      </c>
      <c r="B13" s="67" t="s">
        <v>103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16</v>
      </c>
      <c r="I13" s="19">
        <v>0</v>
      </c>
      <c r="J13" s="19">
        <v>0</v>
      </c>
      <c r="K13" s="19">
        <f t="shared" si="4"/>
        <v>1200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5"/>
        <v>1</v>
      </c>
      <c r="Z13" s="19">
        <f t="shared" si="6"/>
        <v>0</v>
      </c>
      <c r="AA13" s="19">
        <f t="shared" si="7"/>
        <v>0</v>
      </c>
      <c r="AB13" s="29">
        <f t="shared" si="8"/>
        <v>1153.6060772107771</v>
      </c>
      <c r="AC13" s="29">
        <v>0</v>
      </c>
      <c r="AD13" s="29">
        <v>0</v>
      </c>
      <c r="AE13" s="28">
        <v>20</v>
      </c>
      <c r="AF13" s="46">
        <v>355</v>
      </c>
      <c r="AG13" s="28">
        <v>210000</v>
      </c>
      <c r="AH13" s="29">
        <v>4037.6212702377197</v>
      </c>
      <c r="AI13" s="29">
        <v>0</v>
      </c>
      <c r="AJ13" s="30">
        <v>0</v>
      </c>
      <c r="AK13" s="57">
        <f t="shared" si="2"/>
        <v>1.2</v>
      </c>
      <c r="AL13" s="57">
        <f t="shared" si="3"/>
        <v>0.9</v>
      </c>
      <c r="AM13" s="60"/>
      <c r="AN13" s="57">
        <v>1.0503861325196855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203</v>
      </c>
      <c r="B14" s="67" t="s">
        <v>104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16</v>
      </c>
      <c r="I14" s="19">
        <v>0</v>
      </c>
      <c r="J14" s="19">
        <v>0</v>
      </c>
      <c r="K14" s="19">
        <f t="shared" si="4"/>
        <v>1200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5"/>
        <v>1</v>
      </c>
      <c r="Z14" s="19">
        <f t="shared" si="6"/>
        <v>0</v>
      </c>
      <c r="AA14" s="19">
        <f t="shared" si="7"/>
        <v>0</v>
      </c>
      <c r="AB14" s="29">
        <f t="shared" si="8"/>
        <v>1153.6060772107771</v>
      </c>
      <c r="AC14" s="29">
        <v>0</v>
      </c>
      <c r="AD14" s="29">
        <v>0</v>
      </c>
      <c r="AE14" s="28">
        <v>20</v>
      </c>
      <c r="AF14" s="46">
        <v>355</v>
      </c>
      <c r="AG14" s="28">
        <v>210000</v>
      </c>
      <c r="AH14" s="29">
        <v>4037.6212702377197</v>
      </c>
      <c r="AI14" s="29">
        <v>0</v>
      </c>
      <c r="AJ14" s="30">
        <v>0</v>
      </c>
      <c r="AK14" s="57">
        <f t="shared" si="2"/>
        <v>1.2</v>
      </c>
      <c r="AL14" s="57">
        <f t="shared" si="3"/>
        <v>0.9</v>
      </c>
      <c r="AM14" s="60"/>
      <c r="AN14" s="57">
        <v>1.0503861325196855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204</v>
      </c>
      <c r="B15" s="67" t="s">
        <v>105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16</v>
      </c>
      <c r="I15" s="19">
        <v>0</v>
      </c>
      <c r="J15" s="19">
        <v>0</v>
      </c>
      <c r="K15" s="19">
        <f t="shared" si="4"/>
        <v>1200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5"/>
        <v>1</v>
      </c>
      <c r="Z15" s="19">
        <f t="shared" si="6"/>
        <v>0</v>
      </c>
      <c r="AA15" s="19">
        <f t="shared" si="7"/>
        <v>0</v>
      </c>
      <c r="AB15" s="29">
        <f t="shared" si="8"/>
        <v>1153.6060772107771</v>
      </c>
      <c r="AC15" s="29">
        <v>0</v>
      </c>
      <c r="AD15" s="29">
        <v>0</v>
      </c>
      <c r="AE15" s="28">
        <v>20</v>
      </c>
      <c r="AF15" s="46">
        <v>355</v>
      </c>
      <c r="AG15" s="28">
        <v>210000</v>
      </c>
      <c r="AH15" s="29">
        <v>4037.6212702377197</v>
      </c>
      <c r="AI15" s="29">
        <v>0</v>
      </c>
      <c r="AJ15" s="30">
        <v>0</v>
      </c>
      <c r="AK15" s="57">
        <f t="shared" si="2"/>
        <v>1.2</v>
      </c>
      <c r="AL15" s="57">
        <f t="shared" si="3"/>
        <v>0.9</v>
      </c>
      <c r="AM15" s="60"/>
      <c r="AN15" s="57">
        <v>1.0503861325196855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205</v>
      </c>
      <c r="B16" s="67" t="s">
        <v>106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16</v>
      </c>
      <c r="I16" s="19">
        <v>0</v>
      </c>
      <c r="J16" s="19">
        <v>0</v>
      </c>
      <c r="K16" s="19">
        <f t="shared" si="4"/>
        <v>1200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5"/>
        <v>1</v>
      </c>
      <c r="Z16" s="19">
        <f t="shared" si="6"/>
        <v>0</v>
      </c>
      <c r="AA16" s="19">
        <f t="shared" si="7"/>
        <v>0</v>
      </c>
      <c r="AB16" s="29">
        <f t="shared" si="8"/>
        <v>1153.6060772107771</v>
      </c>
      <c r="AC16" s="29">
        <v>0</v>
      </c>
      <c r="AD16" s="29">
        <v>0</v>
      </c>
      <c r="AE16" s="28">
        <v>20</v>
      </c>
      <c r="AF16" s="46">
        <v>355</v>
      </c>
      <c r="AG16" s="28">
        <v>210000</v>
      </c>
      <c r="AH16" s="29">
        <v>4037.6212702377197</v>
      </c>
      <c r="AI16" s="29">
        <v>0</v>
      </c>
      <c r="AJ16" s="30">
        <v>0</v>
      </c>
      <c r="AK16" s="57">
        <f t="shared" si="2"/>
        <v>1.2</v>
      </c>
      <c r="AL16" s="57">
        <f t="shared" si="3"/>
        <v>0.9</v>
      </c>
      <c r="AM16" s="60"/>
      <c r="AN16" s="57">
        <v>1.0503861325196855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206</v>
      </c>
      <c r="B17" s="67" t="s">
        <v>107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16</v>
      </c>
      <c r="I17" s="19">
        <v>0</v>
      </c>
      <c r="J17" s="19">
        <v>0</v>
      </c>
      <c r="K17" s="19">
        <f t="shared" si="4"/>
        <v>1200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5"/>
        <v>1</v>
      </c>
      <c r="Z17" s="19">
        <f t="shared" si="6"/>
        <v>0</v>
      </c>
      <c r="AA17" s="19">
        <f t="shared" si="7"/>
        <v>0</v>
      </c>
      <c r="AB17" s="29">
        <f t="shared" si="8"/>
        <v>1153.6060772107771</v>
      </c>
      <c r="AC17" s="29">
        <v>0</v>
      </c>
      <c r="AD17" s="29">
        <v>0</v>
      </c>
      <c r="AE17" s="28">
        <v>20</v>
      </c>
      <c r="AF17" s="46">
        <v>355</v>
      </c>
      <c r="AG17" s="28">
        <v>210000</v>
      </c>
      <c r="AH17" s="29">
        <v>4037.6212702377197</v>
      </c>
      <c r="AI17" s="29">
        <v>0</v>
      </c>
      <c r="AJ17" s="30">
        <v>0</v>
      </c>
      <c r="AK17" s="57">
        <f t="shared" si="2"/>
        <v>1.2</v>
      </c>
      <c r="AL17" s="57">
        <f t="shared" si="3"/>
        <v>0.9</v>
      </c>
      <c r="AM17" s="60"/>
      <c r="AN17" s="57">
        <v>1.0503861325196855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207</v>
      </c>
      <c r="B18" s="67" t="s">
        <v>108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16</v>
      </c>
      <c r="I18" s="19">
        <v>0</v>
      </c>
      <c r="J18" s="19">
        <v>0</v>
      </c>
      <c r="K18" s="19">
        <f t="shared" si="4"/>
        <v>1200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5"/>
        <v>1</v>
      </c>
      <c r="Z18" s="19">
        <f t="shared" si="6"/>
        <v>0</v>
      </c>
      <c r="AA18" s="19">
        <f t="shared" si="7"/>
        <v>0</v>
      </c>
      <c r="AB18" s="29">
        <f t="shared" si="8"/>
        <v>1153.6060772107771</v>
      </c>
      <c r="AC18" s="29">
        <v>0</v>
      </c>
      <c r="AD18" s="29">
        <v>0</v>
      </c>
      <c r="AE18" s="28">
        <v>20</v>
      </c>
      <c r="AF18" s="46">
        <v>355</v>
      </c>
      <c r="AG18" s="28">
        <v>210000</v>
      </c>
      <c r="AH18" s="29">
        <v>4037.6212702377197</v>
      </c>
      <c r="AI18" s="29">
        <v>0</v>
      </c>
      <c r="AJ18" s="30">
        <v>0</v>
      </c>
      <c r="AK18" s="57">
        <f t="shared" si="2"/>
        <v>1.2</v>
      </c>
      <c r="AL18" s="57">
        <f t="shared" si="3"/>
        <v>0.9</v>
      </c>
      <c r="AM18" s="60"/>
      <c r="AN18" s="57">
        <v>1.0503861325196855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208</v>
      </c>
      <c r="B19" s="67" t="s">
        <v>109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16</v>
      </c>
      <c r="I19" s="19">
        <v>0</v>
      </c>
      <c r="J19" s="19">
        <v>0</v>
      </c>
      <c r="K19" s="19">
        <f t="shared" si="4"/>
        <v>1200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5"/>
        <v>1</v>
      </c>
      <c r="Z19" s="19">
        <f t="shared" si="6"/>
        <v>0</v>
      </c>
      <c r="AA19" s="19">
        <f t="shared" si="7"/>
        <v>0</v>
      </c>
      <c r="AB19" s="29">
        <f t="shared" si="8"/>
        <v>1153.6060772107771</v>
      </c>
      <c r="AC19" s="29">
        <v>0</v>
      </c>
      <c r="AD19" s="29">
        <v>0</v>
      </c>
      <c r="AE19" s="28">
        <v>20</v>
      </c>
      <c r="AF19" s="46">
        <v>355</v>
      </c>
      <c r="AG19" s="28">
        <v>210000</v>
      </c>
      <c r="AH19" s="29">
        <v>4037.6212702377197</v>
      </c>
      <c r="AI19" s="29">
        <v>0</v>
      </c>
      <c r="AJ19" s="30">
        <v>0</v>
      </c>
      <c r="AK19" s="57">
        <f t="shared" si="2"/>
        <v>1.2</v>
      </c>
      <c r="AL19" s="57">
        <f t="shared" si="3"/>
        <v>0.9</v>
      </c>
      <c r="AM19" s="60"/>
      <c r="AN19" s="57">
        <v>1.0503861325196855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209</v>
      </c>
      <c r="B20" s="67" t="s">
        <v>110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12</v>
      </c>
      <c r="I20" s="19">
        <v>0</v>
      </c>
      <c r="J20" s="19">
        <v>0</v>
      </c>
      <c r="K20" s="19">
        <f t="shared" si="4"/>
        <v>1200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5"/>
        <v>1</v>
      </c>
      <c r="Z20" s="19">
        <f t="shared" si="6"/>
        <v>0</v>
      </c>
      <c r="AA20" s="19">
        <f t="shared" si="7"/>
        <v>0</v>
      </c>
      <c r="AB20" s="29">
        <f t="shared" si="8"/>
        <v>996.623368470998</v>
      </c>
      <c r="AC20" s="29">
        <v>0</v>
      </c>
      <c r="AD20" s="29">
        <v>0</v>
      </c>
      <c r="AE20" s="28">
        <v>20</v>
      </c>
      <c r="AF20" s="46">
        <v>355</v>
      </c>
      <c r="AG20" s="28">
        <v>210000</v>
      </c>
      <c r="AH20" s="29">
        <v>3488.1817896484931</v>
      </c>
      <c r="AI20" s="29">
        <v>0</v>
      </c>
      <c r="AJ20" s="30">
        <v>0</v>
      </c>
      <c r="AK20" s="57">
        <f t="shared" si="2"/>
        <v>1.2</v>
      </c>
      <c r="AL20" s="57">
        <f t="shared" si="3"/>
        <v>0.9</v>
      </c>
      <c r="AM20" s="60"/>
      <c r="AN20" s="57">
        <v>1.0524704580326627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210</v>
      </c>
      <c r="B21" s="67" t="s">
        <v>111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12</v>
      </c>
      <c r="I21" s="19">
        <v>0</v>
      </c>
      <c r="J21" s="19">
        <v>0</v>
      </c>
      <c r="K21" s="19">
        <f t="shared" si="4"/>
        <v>1200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5"/>
        <v>1</v>
      </c>
      <c r="Z21" s="19">
        <f t="shared" si="6"/>
        <v>0</v>
      </c>
      <c r="AA21" s="19">
        <f t="shared" si="7"/>
        <v>0</v>
      </c>
      <c r="AB21" s="29">
        <f t="shared" si="8"/>
        <v>996.623368470998</v>
      </c>
      <c r="AC21" s="29">
        <v>0</v>
      </c>
      <c r="AD21" s="29">
        <v>0</v>
      </c>
      <c r="AE21" s="28">
        <v>20</v>
      </c>
      <c r="AF21" s="46">
        <v>355</v>
      </c>
      <c r="AG21" s="28">
        <v>210000</v>
      </c>
      <c r="AH21" s="29">
        <v>3488.1817896484931</v>
      </c>
      <c r="AI21" s="29">
        <v>0</v>
      </c>
      <c r="AJ21" s="30">
        <v>0</v>
      </c>
      <c r="AK21" s="57">
        <f t="shared" si="2"/>
        <v>1.2</v>
      </c>
      <c r="AL21" s="57">
        <f t="shared" si="3"/>
        <v>0.9</v>
      </c>
      <c r="AM21" s="60"/>
      <c r="AN21" s="57">
        <v>1.0524704580326627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211</v>
      </c>
      <c r="B22" s="67" t="s">
        <v>112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12</v>
      </c>
      <c r="I22" s="19">
        <v>0</v>
      </c>
      <c r="J22" s="19">
        <v>0</v>
      </c>
      <c r="K22" s="19">
        <f t="shared" si="4"/>
        <v>1200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5"/>
        <v>1</v>
      </c>
      <c r="Z22" s="19">
        <f t="shared" si="6"/>
        <v>0</v>
      </c>
      <c r="AA22" s="19">
        <f t="shared" si="7"/>
        <v>0</v>
      </c>
      <c r="AB22" s="29">
        <f t="shared" si="8"/>
        <v>996.623368470998</v>
      </c>
      <c r="AC22" s="29">
        <v>0</v>
      </c>
      <c r="AD22" s="29">
        <v>0</v>
      </c>
      <c r="AE22" s="28">
        <v>20</v>
      </c>
      <c r="AF22" s="46">
        <v>355</v>
      </c>
      <c r="AG22" s="28">
        <v>210000</v>
      </c>
      <c r="AH22" s="29">
        <v>3488.1817896484931</v>
      </c>
      <c r="AI22" s="29">
        <v>0</v>
      </c>
      <c r="AJ22" s="30">
        <v>0</v>
      </c>
      <c r="AK22" s="57">
        <f t="shared" si="2"/>
        <v>1.2</v>
      </c>
      <c r="AL22" s="57">
        <f t="shared" si="3"/>
        <v>0.9</v>
      </c>
      <c r="AM22" s="60"/>
      <c r="AN22" s="57">
        <v>1.0524704580326627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212</v>
      </c>
      <c r="B23" s="67" t="s">
        <v>113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12</v>
      </c>
      <c r="I23" s="19">
        <v>0</v>
      </c>
      <c r="J23" s="19">
        <v>0</v>
      </c>
      <c r="K23" s="19">
        <f t="shared" si="4"/>
        <v>1200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5"/>
        <v>1</v>
      </c>
      <c r="Z23" s="19">
        <f t="shared" si="6"/>
        <v>0</v>
      </c>
      <c r="AA23" s="19">
        <f t="shared" si="7"/>
        <v>0</v>
      </c>
      <c r="AB23" s="29">
        <f t="shared" si="8"/>
        <v>996.623368470998</v>
      </c>
      <c r="AC23" s="29">
        <v>0</v>
      </c>
      <c r="AD23" s="29">
        <v>0</v>
      </c>
      <c r="AE23" s="28">
        <v>20</v>
      </c>
      <c r="AF23" s="46">
        <v>355</v>
      </c>
      <c r="AG23" s="28">
        <v>210000</v>
      </c>
      <c r="AH23" s="29">
        <v>3488.1817896484931</v>
      </c>
      <c r="AI23" s="29">
        <v>0</v>
      </c>
      <c r="AJ23" s="30">
        <v>0</v>
      </c>
      <c r="AK23" s="57">
        <f t="shared" si="2"/>
        <v>1.2</v>
      </c>
      <c r="AL23" s="57">
        <f t="shared" si="3"/>
        <v>0.9</v>
      </c>
      <c r="AM23" s="60"/>
      <c r="AN23" s="57">
        <v>1.0524704580326627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213</v>
      </c>
      <c r="B24" s="67" t="s">
        <v>114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12</v>
      </c>
      <c r="I24" s="19">
        <v>0</v>
      </c>
      <c r="J24" s="19">
        <v>0</v>
      </c>
      <c r="K24" s="19">
        <f t="shared" si="4"/>
        <v>1200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5"/>
        <v>1</v>
      </c>
      <c r="Z24" s="19">
        <f t="shared" si="6"/>
        <v>0</v>
      </c>
      <c r="AA24" s="19">
        <f t="shared" si="7"/>
        <v>0</v>
      </c>
      <c r="AB24" s="29">
        <f t="shared" si="8"/>
        <v>996.623368470998</v>
      </c>
      <c r="AC24" s="29">
        <v>0</v>
      </c>
      <c r="AD24" s="29">
        <v>0</v>
      </c>
      <c r="AE24" s="28">
        <v>20</v>
      </c>
      <c r="AF24" s="46">
        <v>355</v>
      </c>
      <c r="AG24" s="28">
        <v>210000</v>
      </c>
      <c r="AH24" s="29">
        <v>3488.1817896484931</v>
      </c>
      <c r="AI24" s="29">
        <v>0</v>
      </c>
      <c r="AJ24" s="30">
        <v>0</v>
      </c>
      <c r="AK24" s="57">
        <f t="shared" si="2"/>
        <v>1.2</v>
      </c>
      <c r="AL24" s="57">
        <f t="shared" si="3"/>
        <v>0.9</v>
      </c>
      <c r="AM24" s="60"/>
      <c r="AN24" s="57">
        <v>1.0524704580326627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214</v>
      </c>
      <c r="B25" s="67" t="s">
        <v>115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12</v>
      </c>
      <c r="I25" s="19">
        <v>0</v>
      </c>
      <c r="J25" s="19">
        <v>0</v>
      </c>
      <c r="K25" s="19">
        <f t="shared" si="4"/>
        <v>1200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5"/>
        <v>1</v>
      </c>
      <c r="Z25" s="19">
        <f t="shared" si="6"/>
        <v>0</v>
      </c>
      <c r="AA25" s="19">
        <f t="shared" si="7"/>
        <v>0</v>
      </c>
      <c r="AB25" s="29">
        <f t="shared" si="8"/>
        <v>996.623368470998</v>
      </c>
      <c r="AC25" s="29">
        <v>0</v>
      </c>
      <c r="AD25" s="29">
        <v>0</v>
      </c>
      <c r="AE25" s="28">
        <v>20</v>
      </c>
      <c r="AF25" s="46">
        <v>355</v>
      </c>
      <c r="AG25" s="28">
        <v>210000</v>
      </c>
      <c r="AH25" s="29">
        <v>3488.1817896484931</v>
      </c>
      <c r="AI25" s="29">
        <v>0</v>
      </c>
      <c r="AJ25" s="30">
        <v>0</v>
      </c>
      <c r="AK25" s="57">
        <f t="shared" si="2"/>
        <v>1.2</v>
      </c>
      <c r="AL25" s="57">
        <f t="shared" si="3"/>
        <v>0.9</v>
      </c>
      <c r="AM25" s="60"/>
      <c r="AN25" s="57">
        <v>1.0524704580326627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215</v>
      </c>
      <c r="B26" s="67" t="s">
        <v>116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12</v>
      </c>
      <c r="I26" s="19">
        <v>0</v>
      </c>
      <c r="J26" s="19">
        <v>0</v>
      </c>
      <c r="K26" s="19">
        <f t="shared" si="4"/>
        <v>1200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5"/>
        <v>1</v>
      </c>
      <c r="Z26" s="19">
        <f t="shared" si="6"/>
        <v>0</v>
      </c>
      <c r="AA26" s="19">
        <f t="shared" si="7"/>
        <v>0</v>
      </c>
      <c r="AB26" s="29">
        <f t="shared" si="8"/>
        <v>996.623368470998</v>
      </c>
      <c r="AC26" s="29">
        <v>0</v>
      </c>
      <c r="AD26" s="29">
        <v>0</v>
      </c>
      <c r="AE26" s="28">
        <v>20</v>
      </c>
      <c r="AF26" s="46">
        <v>355</v>
      </c>
      <c r="AG26" s="28">
        <v>210000</v>
      </c>
      <c r="AH26" s="29">
        <v>3488.1817896484931</v>
      </c>
      <c r="AI26" s="29">
        <v>0</v>
      </c>
      <c r="AJ26" s="30">
        <v>0</v>
      </c>
      <c r="AK26" s="57">
        <f t="shared" si="2"/>
        <v>1.2</v>
      </c>
      <c r="AL26" s="57">
        <f t="shared" si="3"/>
        <v>0.9</v>
      </c>
      <c r="AM26" s="60"/>
      <c r="AN26" s="57">
        <v>1.0524704580326627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216</v>
      </c>
      <c r="B27" s="67" t="s">
        <v>117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12</v>
      </c>
      <c r="I27" s="19">
        <v>0</v>
      </c>
      <c r="J27" s="19">
        <v>0</v>
      </c>
      <c r="K27" s="19">
        <f t="shared" si="4"/>
        <v>1200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5"/>
        <v>1</v>
      </c>
      <c r="Z27" s="19">
        <f t="shared" si="6"/>
        <v>0</v>
      </c>
      <c r="AA27" s="19">
        <f t="shared" si="7"/>
        <v>0</v>
      </c>
      <c r="AB27" s="29">
        <f t="shared" si="8"/>
        <v>996.623368470998</v>
      </c>
      <c r="AC27" s="29">
        <v>0</v>
      </c>
      <c r="AD27" s="29">
        <v>0</v>
      </c>
      <c r="AE27" s="28">
        <v>20</v>
      </c>
      <c r="AF27" s="46">
        <v>355</v>
      </c>
      <c r="AG27" s="28">
        <v>210000</v>
      </c>
      <c r="AH27" s="29">
        <v>3488.1817896484931</v>
      </c>
      <c r="AI27" s="29">
        <v>0</v>
      </c>
      <c r="AJ27" s="30">
        <v>0</v>
      </c>
      <c r="AK27" s="57">
        <f t="shared" si="2"/>
        <v>1.2</v>
      </c>
      <c r="AL27" s="57">
        <f t="shared" si="3"/>
        <v>0.9</v>
      </c>
      <c r="AM27" s="60"/>
      <c r="AN27" s="57">
        <v>1.0524704580326627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217</v>
      </c>
      <c r="B28" s="67" t="s">
        <v>118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8.3000000000000007</v>
      </c>
      <c r="I28" s="19">
        <v>0</v>
      </c>
      <c r="J28" s="19">
        <v>0</v>
      </c>
      <c r="K28" s="19">
        <f t="shared" si="4"/>
        <v>1200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5"/>
        <v>1</v>
      </c>
      <c r="Z28" s="19">
        <f t="shared" si="6"/>
        <v>0</v>
      </c>
      <c r="AA28" s="19">
        <f t="shared" si="7"/>
        <v>0</v>
      </c>
      <c r="AB28" s="29">
        <f t="shared" si="8"/>
        <v>851.1729268318976</v>
      </c>
      <c r="AC28" s="29">
        <v>0</v>
      </c>
      <c r="AD28" s="29">
        <v>0</v>
      </c>
      <c r="AE28" s="28">
        <v>20</v>
      </c>
      <c r="AF28" s="46">
        <v>355</v>
      </c>
      <c r="AG28" s="28">
        <v>210000</v>
      </c>
      <c r="AH28" s="29">
        <v>2979.1052439116415</v>
      </c>
      <c r="AI28" s="29">
        <v>0</v>
      </c>
      <c r="AJ28" s="30">
        <v>0</v>
      </c>
      <c r="AK28" s="57">
        <f t="shared" si="2"/>
        <v>1.2</v>
      </c>
      <c r="AL28" s="57">
        <f t="shared" si="3"/>
        <v>0.9</v>
      </c>
      <c r="AM28" s="60"/>
      <c r="AN28" s="57">
        <v>1.0547952786608155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218</v>
      </c>
      <c r="B29" s="67" t="s">
        <v>119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8.3000000000000007</v>
      </c>
      <c r="I29" s="19">
        <v>0</v>
      </c>
      <c r="J29" s="19">
        <v>0</v>
      </c>
      <c r="K29" s="19">
        <f t="shared" si="4"/>
        <v>1200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5"/>
        <v>1</v>
      </c>
      <c r="Z29" s="19">
        <f t="shared" si="6"/>
        <v>0</v>
      </c>
      <c r="AA29" s="19">
        <f t="shared" si="7"/>
        <v>0</v>
      </c>
      <c r="AB29" s="29">
        <f t="shared" si="8"/>
        <v>851.1729268318976</v>
      </c>
      <c r="AC29" s="29">
        <v>0</v>
      </c>
      <c r="AD29" s="29">
        <v>0</v>
      </c>
      <c r="AE29" s="28">
        <v>20</v>
      </c>
      <c r="AF29" s="46">
        <v>355</v>
      </c>
      <c r="AG29" s="28">
        <v>210000</v>
      </c>
      <c r="AH29" s="29">
        <v>2979.1052439116415</v>
      </c>
      <c r="AI29" s="29">
        <v>0</v>
      </c>
      <c r="AJ29" s="30">
        <v>0</v>
      </c>
      <c r="AK29" s="57">
        <f t="shared" si="2"/>
        <v>1.2</v>
      </c>
      <c r="AL29" s="57">
        <f t="shared" si="3"/>
        <v>0.9</v>
      </c>
      <c r="AM29" s="60"/>
      <c r="AN29" s="57">
        <v>1.0547952786608155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219</v>
      </c>
      <c r="B30" s="67" t="s">
        <v>120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8.3000000000000007</v>
      </c>
      <c r="I30" s="19">
        <v>0</v>
      </c>
      <c r="J30" s="19">
        <v>0</v>
      </c>
      <c r="K30" s="19">
        <f t="shared" si="4"/>
        <v>1200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5"/>
        <v>1</v>
      </c>
      <c r="Z30" s="19">
        <f t="shared" si="6"/>
        <v>0</v>
      </c>
      <c r="AA30" s="19">
        <f t="shared" si="7"/>
        <v>0</v>
      </c>
      <c r="AB30" s="29">
        <f t="shared" si="8"/>
        <v>851.1729268318976</v>
      </c>
      <c r="AC30" s="29">
        <v>0</v>
      </c>
      <c r="AD30" s="29">
        <v>0</v>
      </c>
      <c r="AE30" s="28">
        <v>20</v>
      </c>
      <c r="AF30" s="46">
        <v>355</v>
      </c>
      <c r="AG30" s="28">
        <v>210000</v>
      </c>
      <c r="AH30" s="29">
        <v>2979.1052439116415</v>
      </c>
      <c r="AI30" s="29">
        <v>0</v>
      </c>
      <c r="AJ30" s="30">
        <v>0</v>
      </c>
      <c r="AK30" s="57">
        <f t="shared" si="2"/>
        <v>1.2</v>
      </c>
      <c r="AL30" s="57">
        <f t="shared" si="3"/>
        <v>0.9</v>
      </c>
      <c r="AM30" s="60"/>
      <c r="AN30" s="57">
        <v>1.0547952786608155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220</v>
      </c>
      <c r="B31" s="67" t="s">
        <v>121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8.3000000000000007</v>
      </c>
      <c r="I31" s="19">
        <v>0</v>
      </c>
      <c r="J31" s="19">
        <v>0</v>
      </c>
      <c r="K31" s="19">
        <f t="shared" si="4"/>
        <v>1200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5"/>
        <v>1</v>
      </c>
      <c r="Z31" s="19">
        <f t="shared" si="6"/>
        <v>0</v>
      </c>
      <c r="AA31" s="19">
        <f t="shared" si="7"/>
        <v>0</v>
      </c>
      <c r="AB31" s="29">
        <f t="shared" si="8"/>
        <v>851.1729268318976</v>
      </c>
      <c r="AC31" s="29">
        <v>0</v>
      </c>
      <c r="AD31" s="29">
        <v>0</v>
      </c>
      <c r="AE31" s="28">
        <v>20</v>
      </c>
      <c r="AF31" s="46">
        <v>355</v>
      </c>
      <c r="AG31" s="28">
        <v>210000</v>
      </c>
      <c r="AH31" s="29">
        <v>2979.1052439116415</v>
      </c>
      <c r="AI31" s="29">
        <v>0</v>
      </c>
      <c r="AJ31" s="30">
        <v>0</v>
      </c>
      <c r="AK31" s="57">
        <f t="shared" si="2"/>
        <v>1.2</v>
      </c>
      <c r="AL31" s="57">
        <f t="shared" si="3"/>
        <v>0.9</v>
      </c>
      <c r="AM31" s="60"/>
      <c r="AN31" s="57">
        <v>1.0547952786608155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221</v>
      </c>
      <c r="B32" s="67" t="s">
        <v>122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8.3000000000000007</v>
      </c>
      <c r="I32" s="19">
        <v>0</v>
      </c>
      <c r="J32" s="19">
        <v>0</v>
      </c>
      <c r="K32" s="19">
        <f t="shared" si="4"/>
        <v>1200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5"/>
        <v>1</v>
      </c>
      <c r="Z32" s="19">
        <f t="shared" si="6"/>
        <v>0</v>
      </c>
      <c r="AA32" s="19">
        <f t="shared" si="7"/>
        <v>0</v>
      </c>
      <c r="AB32" s="29">
        <f t="shared" si="8"/>
        <v>851.1729268318976</v>
      </c>
      <c r="AC32" s="29">
        <v>0</v>
      </c>
      <c r="AD32" s="29">
        <v>0</v>
      </c>
      <c r="AE32" s="28">
        <v>20</v>
      </c>
      <c r="AF32" s="46">
        <v>355</v>
      </c>
      <c r="AG32" s="28">
        <v>210000</v>
      </c>
      <c r="AH32" s="29">
        <v>2979.1052439116415</v>
      </c>
      <c r="AI32" s="29">
        <v>0</v>
      </c>
      <c r="AJ32" s="30">
        <v>0</v>
      </c>
      <c r="AK32" s="57">
        <f t="shared" si="2"/>
        <v>1.2</v>
      </c>
      <c r="AL32" s="57">
        <f t="shared" si="3"/>
        <v>0.9</v>
      </c>
      <c r="AM32" s="60"/>
      <c r="AN32" s="57">
        <v>1.0547952786608155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222</v>
      </c>
      <c r="B33" s="67" t="s">
        <v>123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8.3000000000000007</v>
      </c>
      <c r="I33" s="19">
        <v>0</v>
      </c>
      <c r="J33" s="19">
        <v>0</v>
      </c>
      <c r="K33" s="19">
        <f t="shared" si="4"/>
        <v>1200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5"/>
        <v>1</v>
      </c>
      <c r="Z33" s="19">
        <f t="shared" si="6"/>
        <v>0</v>
      </c>
      <c r="AA33" s="19">
        <f t="shared" si="7"/>
        <v>0</v>
      </c>
      <c r="AB33" s="29">
        <f t="shared" si="8"/>
        <v>851.1729268318976</v>
      </c>
      <c r="AC33" s="29">
        <v>0</v>
      </c>
      <c r="AD33" s="29">
        <v>0</v>
      </c>
      <c r="AE33" s="28">
        <v>20</v>
      </c>
      <c r="AF33" s="46">
        <v>355</v>
      </c>
      <c r="AG33" s="28">
        <v>210000</v>
      </c>
      <c r="AH33" s="29">
        <v>2979.1052439116415</v>
      </c>
      <c r="AI33" s="29">
        <v>0</v>
      </c>
      <c r="AJ33" s="30">
        <v>0</v>
      </c>
      <c r="AK33" s="57">
        <f t="shared" si="2"/>
        <v>1.2</v>
      </c>
      <c r="AL33" s="57">
        <f t="shared" si="3"/>
        <v>0.9</v>
      </c>
      <c r="AM33" s="60"/>
      <c r="AN33" s="57">
        <v>1.0547952786608155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223</v>
      </c>
      <c r="B34" s="67" t="s">
        <v>124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8.3000000000000007</v>
      </c>
      <c r="I34" s="19">
        <v>0</v>
      </c>
      <c r="J34" s="19">
        <v>0</v>
      </c>
      <c r="K34" s="19">
        <f t="shared" si="4"/>
        <v>1200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5"/>
        <v>1</v>
      </c>
      <c r="Z34" s="19">
        <f t="shared" si="6"/>
        <v>0</v>
      </c>
      <c r="AA34" s="19">
        <f t="shared" si="7"/>
        <v>0</v>
      </c>
      <c r="AB34" s="29">
        <f t="shared" si="8"/>
        <v>851.1729268318976</v>
      </c>
      <c r="AC34" s="29">
        <v>0</v>
      </c>
      <c r="AD34" s="29">
        <v>0</v>
      </c>
      <c r="AE34" s="28">
        <v>20</v>
      </c>
      <c r="AF34" s="46">
        <v>355</v>
      </c>
      <c r="AG34" s="28">
        <v>210000</v>
      </c>
      <c r="AH34" s="29">
        <v>2979.1052439116415</v>
      </c>
      <c r="AI34" s="29">
        <v>0</v>
      </c>
      <c r="AJ34" s="30">
        <v>0</v>
      </c>
      <c r="AK34" s="57">
        <f t="shared" si="2"/>
        <v>1.2</v>
      </c>
      <c r="AL34" s="57">
        <f t="shared" si="3"/>
        <v>0.9</v>
      </c>
      <c r="AM34" s="60"/>
      <c r="AN34" s="57">
        <v>1.0547952786608155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224</v>
      </c>
      <c r="B35" s="67" t="s">
        <v>125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8.3000000000000007</v>
      </c>
      <c r="I35" s="19">
        <v>0</v>
      </c>
      <c r="J35" s="19">
        <v>0</v>
      </c>
      <c r="K35" s="19">
        <f t="shared" si="4"/>
        <v>1200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5"/>
        <v>1</v>
      </c>
      <c r="Z35" s="19">
        <f t="shared" si="6"/>
        <v>0</v>
      </c>
      <c r="AA35" s="19">
        <f t="shared" si="7"/>
        <v>0</v>
      </c>
      <c r="AB35" s="29">
        <f t="shared" si="8"/>
        <v>851.1729268318976</v>
      </c>
      <c r="AC35" s="29">
        <v>0</v>
      </c>
      <c r="AD35" s="29">
        <v>0</v>
      </c>
      <c r="AE35" s="28">
        <v>20</v>
      </c>
      <c r="AF35" s="46">
        <v>355</v>
      </c>
      <c r="AG35" s="28">
        <v>210000</v>
      </c>
      <c r="AH35" s="29">
        <v>2979.1052439116415</v>
      </c>
      <c r="AI35" s="29">
        <v>0</v>
      </c>
      <c r="AJ35" s="30">
        <v>0</v>
      </c>
      <c r="AK35" s="57">
        <f t="shared" si="2"/>
        <v>1.2</v>
      </c>
      <c r="AL35" s="57">
        <f t="shared" si="3"/>
        <v>0.9</v>
      </c>
      <c r="AM35" s="60"/>
      <c r="AN35" s="57">
        <v>1.0547952786608155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225</v>
      </c>
      <c r="B36" s="67" t="s">
        <v>126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5.8</v>
      </c>
      <c r="I36" s="19">
        <v>0</v>
      </c>
      <c r="J36" s="19">
        <v>0</v>
      </c>
      <c r="K36" s="19">
        <f t="shared" si="4"/>
        <v>1200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5"/>
        <v>1</v>
      </c>
      <c r="Z36" s="19">
        <f t="shared" si="6"/>
        <v>0</v>
      </c>
      <c r="AA36" s="19">
        <f t="shared" si="7"/>
        <v>0</v>
      </c>
      <c r="AB36" s="29">
        <f t="shared" si="8"/>
        <v>752.72914756048976</v>
      </c>
      <c r="AC36" s="29">
        <f t="shared" ref="AC36:AC99" si="9">Z36*AI36/3.5</f>
        <v>0</v>
      </c>
      <c r="AD36" s="29">
        <f t="shared" ref="AD36:AD99" si="10">AA36*AJ36/3.5</f>
        <v>0</v>
      </c>
      <c r="AE36" s="28">
        <v>20</v>
      </c>
      <c r="AF36" s="46">
        <v>355</v>
      </c>
      <c r="AG36" s="28">
        <v>210000</v>
      </c>
      <c r="AH36" s="29">
        <v>2634.5520164617142</v>
      </c>
      <c r="AI36" s="29">
        <v>0</v>
      </c>
      <c r="AJ36" s="30">
        <v>0</v>
      </c>
      <c r="AK36" s="57">
        <f t="shared" si="2"/>
        <v>1.2</v>
      </c>
      <c r="AL36" s="57">
        <f t="shared" si="3"/>
        <v>0.9</v>
      </c>
      <c r="AM36" s="60"/>
      <c r="AN36" s="57">
        <v>1.0566496690787432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226</v>
      </c>
      <c r="B37" s="67" t="s">
        <v>127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5.8</v>
      </c>
      <c r="I37" s="19">
        <v>0</v>
      </c>
      <c r="J37" s="19">
        <v>0</v>
      </c>
      <c r="K37" s="19">
        <f t="shared" si="4"/>
        <v>1200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5"/>
        <v>1</v>
      </c>
      <c r="Z37" s="19">
        <f t="shared" si="6"/>
        <v>0</v>
      </c>
      <c r="AA37" s="19">
        <f t="shared" si="7"/>
        <v>0</v>
      </c>
      <c r="AB37" s="29">
        <f t="shared" si="8"/>
        <v>752.72914756048976</v>
      </c>
      <c r="AC37" s="29">
        <f t="shared" si="9"/>
        <v>0</v>
      </c>
      <c r="AD37" s="29">
        <f t="shared" si="10"/>
        <v>0</v>
      </c>
      <c r="AE37" s="28">
        <v>20</v>
      </c>
      <c r="AF37" s="46">
        <v>355</v>
      </c>
      <c r="AG37" s="28">
        <v>210000</v>
      </c>
      <c r="AH37" s="29">
        <v>2634.5520164617142</v>
      </c>
      <c r="AI37" s="29">
        <v>0</v>
      </c>
      <c r="AJ37" s="30">
        <v>0</v>
      </c>
      <c r="AK37" s="57">
        <f t="shared" ref="AK37:AK99" si="11">K37/1000</f>
        <v>1.2</v>
      </c>
      <c r="AL37" s="57">
        <f t="shared" ref="AL37:AL99" si="12">C37/200</f>
        <v>0.9</v>
      </c>
      <c r="AM37" s="60"/>
      <c r="AN37" s="57">
        <v>1.0566496690787432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227</v>
      </c>
      <c r="B38" s="67" t="s">
        <v>128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5.8</v>
      </c>
      <c r="I38" s="19">
        <v>0</v>
      </c>
      <c r="J38" s="19">
        <v>0</v>
      </c>
      <c r="K38" s="19">
        <f t="shared" si="4"/>
        <v>1200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5"/>
        <v>1</v>
      </c>
      <c r="Z38" s="19">
        <f t="shared" si="6"/>
        <v>0</v>
      </c>
      <c r="AA38" s="19">
        <f t="shared" si="7"/>
        <v>0</v>
      </c>
      <c r="AB38" s="29">
        <f t="shared" si="8"/>
        <v>752.72914756048976</v>
      </c>
      <c r="AC38" s="29">
        <f t="shared" si="9"/>
        <v>0</v>
      </c>
      <c r="AD38" s="29">
        <f t="shared" si="10"/>
        <v>0</v>
      </c>
      <c r="AE38" s="28">
        <v>20</v>
      </c>
      <c r="AF38" s="46">
        <v>355</v>
      </c>
      <c r="AG38" s="28">
        <v>210000</v>
      </c>
      <c r="AH38" s="29">
        <v>2634.5520164617142</v>
      </c>
      <c r="AI38" s="29">
        <v>0</v>
      </c>
      <c r="AJ38" s="30">
        <v>0</v>
      </c>
      <c r="AK38" s="57">
        <f t="shared" si="11"/>
        <v>1.2</v>
      </c>
      <c r="AL38" s="57">
        <f t="shared" si="12"/>
        <v>0.9</v>
      </c>
      <c r="AM38" s="60"/>
      <c r="AN38" s="57">
        <v>1.0566496690787432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228</v>
      </c>
      <c r="B39" s="67" t="s">
        <v>129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5.8</v>
      </c>
      <c r="I39" s="19">
        <v>0</v>
      </c>
      <c r="J39" s="19">
        <v>0</v>
      </c>
      <c r="K39" s="19">
        <f t="shared" si="4"/>
        <v>1200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5"/>
        <v>1</v>
      </c>
      <c r="Z39" s="19">
        <f t="shared" si="6"/>
        <v>0</v>
      </c>
      <c r="AA39" s="19">
        <f t="shared" si="7"/>
        <v>0</v>
      </c>
      <c r="AB39" s="29">
        <f t="shared" si="8"/>
        <v>752.72914756048976</v>
      </c>
      <c r="AC39" s="29">
        <f t="shared" si="9"/>
        <v>0</v>
      </c>
      <c r="AD39" s="29">
        <f t="shared" si="10"/>
        <v>0</v>
      </c>
      <c r="AE39" s="28">
        <v>20</v>
      </c>
      <c r="AF39" s="46">
        <v>355</v>
      </c>
      <c r="AG39" s="28">
        <v>210000</v>
      </c>
      <c r="AH39" s="29">
        <v>2634.5520164617142</v>
      </c>
      <c r="AI39" s="29">
        <v>0</v>
      </c>
      <c r="AJ39" s="30">
        <v>0</v>
      </c>
      <c r="AK39" s="57">
        <f t="shared" si="11"/>
        <v>1.2</v>
      </c>
      <c r="AL39" s="57">
        <f t="shared" si="12"/>
        <v>0.9</v>
      </c>
      <c r="AM39" s="60"/>
      <c r="AN39" s="57">
        <v>1.0566496690787432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229</v>
      </c>
      <c r="B40" s="67" t="s">
        <v>130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5.8</v>
      </c>
      <c r="I40" s="19">
        <v>0</v>
      </c>
      <c r="J40" s="19">
        <v>0</v>
      </c>
      <c r="K40" s="19">
        <f t="shared" si="4"/>
        <v>1200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5"/>
        <v>1</v>
      </c>
      <c r="Z40" s="19">
        <f t="shared" si="6"/>
        <v>0</v>
      </c>
      <c r="AA40" s="19">
        <f t="shared" si="7"/>
        <v>0</v>
      </c>
      <c r="AB40" s="29">
        <f t="shared" si="8"/>
        <v>752.72914756048976</v>
      </c>
      <c r="AC40" s="29">
        <f t="shared" si="9"/>
        <v>0</v>
      </c>
      <c r="AD40" s="29">
        <f t="shared" si="10"/>
        <v>0</v>
      </c>
      <c r="AE40" s="28">
        <v>20</v>
      </c>
      <c r="AF40" s="46">
        <v>355</v>
      </c>
      <c r="AG40" s="28">
        <v>210000</v>
      </c>
      <c r="AH40" s="29">
        <v>2634.5520164617142</v>
      </c>
      <c r="AI40" s="29">
        <v>0</v>
      </c>
      <c r="AJ40" s="30">
        <v>0</v>
      </c>
      <c r="AK40" s="57">
        <f t="shared" si="11"/>
        <v>1.2</v>
      </c>
      <c r="AL40" s="57">
        <f t="shared" si="12"/>
        <v>0.9</v>
      </c>
      <c r="AM40" s="60"/>
      <c r="AN40" s="57">
        <v>1.0566496690787432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230</v>
      </c>
      <c r="B41" s="67" t="s">
        <v>131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5.8</v>
      </c>
      <c r="I41" s="19">
        <v>0</v>
      </c>
      <c r="J41" s="19">
        <v>0</v>
      </c>
      <c r="K41" s="19">
        <f t="shared" si="4"/>
        <v>1200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5"/>
        <v>1</v>
      </c>
      <c r="Z41" s="19">
        <f t="shared" si="6"/>
        <v>0</v>
      </c>
      <c r="AA41" s="19">
        <f t="shared" si="7"/>
        <v>0</v>
      </c>
      <c r="AB41" s="29">
        <f t="shared" si="8"/>
        <v>752.72914756048976</v>
      </c>
      <c r="AC41" s="29">
        <f t="shared" si="9"/>
        <v>0</v>
      </c>
      <c r="AD41" s="29">
        <f t="shared" si="10"/>
        <v>0</v>
      </c>
      <c r="AE41" s="28">
        <v>20</v>
      </c>
      <c r="AF41" s="46">
        <v>355</v>
      </c>
      <c r="AG41" s="28">
        <v>210000</v>
      </c>
      <c r="AH41" s="29">
        <v>2634.5520164617142</v>
      </c>
      <c r="AI41" s="29">
        <v>0</v>
      </c>
      <c r="AJ41" s="30">
        <v>0</v>
      </c>
      <c r="AK41" s="57">
        <f t="shared" si="11"/>
        <v>1.2</v>
      </c>
      <c r="AL41" s="57">
        <f t="shared" si="12"/>
        <v>0.9</v>
      </c>
      <c r="AM41" s="60"/>
      <c r="AN41" s="57">
        <v>1.0566496690787432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231</v>
      </c>
      <c r="B42" s="67" t="s">
        <v>132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5.8</v>
      </c>
      <c r="I42" s="19">
        <v>0</v>
      </c>
      <c r="J42" s="19">
        <v>0</v>
      </c>
      <c r="K42" s="19">
        <f t="shared" si="4"/>
        <v>1200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5"/>
        <v>1</v>
      </c>
      <c r="Z42" s="19">
        <f t="shared" si="6"/>
        <v>0</v>
      </c>
      <c r="AA42" s="19">
        <f t="shared" si="7"/>
        <v>0</v>
      </c>
      <c r="AB42" s="29">
        <f t="shared" si="8"/>
        <v>752.72914756048976</v>
      </c>
      <c r="AC42" s="29">
        <f t="shared" si="9"/>
        <v>0</v>
      </c>
      <c r="AD42" s="29">
        <f t="shared" si="10"/>
        <v>0</v>
      </c>
      <c r="AE42" s="28">
        <v>20</v>
      </c>
      <c r="AF42" s="46">
        <v>355</v>
      </c>
      <c r="AG42" s="28">
        <v>210000</v>
      </c>
      <c r="AH42" s="29">
        <v>2634.5520164617142</v>
      </c>
      <c r="AI42" s="29">
        <v>0</v>
      </c>
      <c r="AJ42" s="30">
        <v>0</v>
      </c>
      <c r="AK42" s="57">
        <f t="shared" si="11"/>
        <v>1.2</v>
      </c>
      <c r="AL42" s="57">
        <f t="shared" si="12"/>
        <v>0.9</v>
      </c>
      <c r="AM42" s="60"/>
      <c r="AN42" s="57">
        <v>1.0566496690787432</v>
      </c>
      <c r="AO42" s="57"/>
      <c r="AP42" s="57"/>
      <c r="AU42" s="15"/>
      <c r="AV42" s="15"/>
      <c r="AW42" s="16"/>
    </row>
    <row r="43" spans="1:58" ht="21" x14ac:dyDescent="0.35">
      <c r="A43" s="28">
        <v>232</v>
      </c>
      <c r="B43" s="67" t="s">
        <v>133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5.8</v>
      </c>
      <c r="I43" s="19">
        <v>0</v>
      </c>
      <c r="J43" s="19">
        <v>0</v>
      </c>
      <c r="K43" s="19">
        <f t="shared" si="4"/>
        <v>1200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5"/>
        <v>1</v>
      </c>
      <c r="Z43" s="19">
        <f t="shared" si="6"/>
        <v>0</v>
      </c>
      <c r="AA43" s="19">
        <f t="shared" si="7"/>
        <v>0</v>
      </c>
      <c r="AB43" s="29">
        <f t="shared" si="8"/>
        <v>752.72914756048976</v>
      </c>
      <c r="AC43" s="29">
        <f t="shared" si="9"/>
        <v>0</v>
      </c>
      <c r="AD43" s="29">
        <f t="shared" si="10"/>
        <v>0</v>
      </c>
      <c r="AE43" s="28">
        <v>20</v>
      </c>
      <c r="AF43" s="46">
        <v>355</v>
      </c>
      <c r="AG43" s="28">
        <v>210000</v>
      </c>
      <c r="AH43" s="29">
        <v>2634.5520164617142</v>
      </c>
      <c r="AI43" s="29">
        <v>0</v>
      </c>
      <c r="AJ43" s="30">
        <v>0</v>
      </c>
      <c r="AK43" s="57">
        <f t="shared" si="11"/>
        <v>1.2</v>
      </c>
      <c r="AL43" s="57">
        <f t="shared" si="12"/>
        <v>0.9</v>
      </c>
      <c r="AM43" s="60"/>
      <c r="AN43" s="57">
        <v>1.0566496690787432</v>
      </c>
      <c r="AO43" s="57"/>
      <c r="AP43" s="57"/>
      <c r="AU43" s="15"/>
      <c r="AV43" s="15"/>
      <c r="AW43" s="16"/>
    </row>
    <row r="44" spans="1:58" ht="21" x14ac:dyDescent="0.35">
      <c r="A44" s="28">
        <v>233</v>
      </c>
      <c r="B44" s="67" t="s">
        <v>134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4.28</v>
      </c>
      <c r="I44" s="19">
        <v>0</v>
      </c>
      <c r="J44" s="19">
        <v>0</v>
      </c>
      <c r="K44" s="19">
        <f t="shared" si="4"/>
        <v>1200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5"/>
        <v>1</v>
      </c>
      <c r="Z44" s="19">
        <f t="shared" si="6"/>
        <v>0</v>
      </c>
      <c r="AA44" s="19">
        <f t="shared" si="7"/>
        <v>0</v>
      </c>
      <c r="AB44" s="29">
        <f t="shared" si="8"/>
        <v>692.79570594908989</v>
      </c>
      <c r="AC44" s="29">
        <f t="shared" si="9"/>
        <v>0</v>
      </c>
      <c r="AD44" s="29">
        <f t="shared" si="10"/>
        <v>0</v>
      </c>
      <c r="AE44" s="28">
        <v>20</v>
      </c>
      <c r="AF44" s="46">
        <v>355</v>
      </c>
      <c r="AG44" s="28">
        <v>210000</v>
      </c>
      <c r="AH44" s="29">
        <v>2424.7849708218146</v>
      </c>
      <c r="AI44" s="29">
        <v>0</v>
      </c>
      <c r="AJ44" s="30">
        <v>0</v>
      </c>
      <c r="AK44" s="57">
        <f t="shared" si="11"/>
        <v>1.2</v>
      </c>
      <c r="AL44" s="57">
        <f t="shared" si="12"/>
        <v>0.9</v>
      </c>
      <c r="AM44" s="60"/>
      <c r="AN44" s="57">
        <v>1.0579173971256712</v>
      </c>
      <c r="AO44" s="57"/>
      <c r="AP44" s="57"/>
      <c r="AU44" s="15"/>
      <c r="AV44" s="15"/>
      <c r="AW44" s="16"/>
    </row>
    <row r="45" spans="1:58" ht="21" x14ac:dyDescent="0.35">
      <c r="A45" s="28">
        <v>234</v>
      </c>
      <c r="B45" s="67" t="s">
        <v>135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4.28</v>
      </c>
      <c r="I45" s="19">
        <v>0</v>
      </c>
      <c r="J45" s="19">
        <v>0</v>
      </c>
      <c r="K45" s="19">
        <f t="shared" si="4"/>
        <v>1200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5"/>
        <v>1</v>
      </c>
      <c r="Z45" s="19">
        <f t="shared" si="6"/>
        <v>0</v>
      </c>
      <c r="AA45" s="19">
        <f t="shared" si="7"/>
        <v>0</v>
      </c>
      <c r="AB45" s="29">
        <f t="shared" si="8"/>
        <v>692.79570594908989</v>
      </c>
      <c r="AC45" s="29">
        <f t="shared" si="9"/>
        <v>0</v>
      </c>
      <c r="AD45" s="29">
        <f t="shared" si="10"/>
        <v>0</v>
      </c>
      <c r="AE45" s="28">
        <v>20</v>
      </c>
      <c r="AF45" s="46">
        <v>355</v>
      </c>
      <c r="AG45" s="28">
        <v>210000</v>
      </c>
      <c r="AH45" s="29">
        <v>2424.7849708218146</v>
      </c>
      <c r="AI45" s="29">
        <v>0</v>
      </c>
      <c r="AJ45" s="30">
        <v>0</v>
      </c>
      <c r="AK45" s="57">
        <f t="shared" si="11"/>
        <v>1.2</v>
      </c>
      <c r="AL45" s="57">
        <f t="shared" si="12"/>
        <v>0.9</v>
      </c>
      <c r="AM45" s="60"/>
      <c r="AN45" s="57">
        <v>1.0579173971256712</v>
      </c>
      <c r="AO45" s="57"/>
      <c r="AP45" s="57"/>
      <c r="AU45" s="15"/>
      <c r="AV45" s="15"/>
      <c r="AW45" s="16"/>
    </row>
    <row r="46" spans="1:58" ht="21" x14ac:dyDescent="0.35">
      <c r="A46" s="28">
        <v>235</v>
      </c>
      <c r="B46" s="67" t="s">
        <v>136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4.28</v>
      </c>
      <c r="I46" s="19">
        <v>0</v>
      </c>
      <c r="J46" s="19">
        <v>0</v>
      </c>
      <c r="K46" s="19">
        <f t="shared" si="4"/>
        <v>1200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5"/>
        <v>1</v>
      </c>
      <c r="Z46" s="19">
        <f t="shared" si="6"/>
        <v>0</v>
      </c>
      <c r="AA46" s="19">
        <f t="shared" si="7"/>
        <v>0</v>
      </c>
      <c r="AB46" s="29">
        <f t="shared" si="8"/>
        <v>692.79570594908989</v>
      </c>
      <c r="AC46" s="29">
        <f t="shared" si="9"/>
        <v>0</v>
      </c>
      <c r="AD46" s="29">
        <f t="shared" si="10"/>
        <v>0</v>
      </c>
      <c r="AE46" s="28">
        <v>20</v>
      </c>
      <c r="AF46" s="46">
        <v>355</v>
      </c>
      <c r="AG46" s="28">
        <v>210000</v>
      </c>
      <c r="AH46" s="29">
        <v>2424.7849708218146</v>
      </c>
      <c r="AI46" s="29">
        <v>0</v>
      </c>
      <c r="AJ46" s="30">
        <v>0</v>
      </c>
      <c r="AK46" s="57">
        <f t="shared" si="11"/>
        <v>1.2</v>
      </c>
      <c r="AL46" s="57">
        <f t="shared" si="12"/>
        <v>0.9</v>
      </c>
      <c r="AM46" s="60"/>
      <c r="AN46" s="57">
        <v>1.0579173971256712</v>
      </c>
      <c r="AO46" s="57"/>
      <c r="AP46" s="57"/>
      <c r="AU46" s="15"/>
      <c r="AV46" s="15"/>
      <c r="AW46" s="16"/>
    </row>
    <row r="47" spans="1:58" ht="21" x14ac:dyDescent="0.35">
      <c r="A47" s="28">
        <v>236</v>
      </c>
      <c r="B47" s="67" t="s">
        <v>137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4.28</v>
      </c>
      <c r="I47" s="19">
        <v>0</v>
      </c>
      <c r="J47" s="19">
        <v>0</v>
      </c>
      <c r="K47" s="19">
        <f t="shared" si="4"/>
        <v>1200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5"/>
        <v>1</v>
      </c>
      <c r="Z47" s="19">
        <f t="shared" si="6"/>
        <v>0</v>
      </c>
      <c r="AA47" s="19">
        <f t="shared" si="7"/>
        <v>0</v>
      </c>
      <c r="AB47" s="29">
        <f t="shared" si="8"/>
        <v>692.79570594908989</v>
      </c>
      <c r="AC47" s="29">
        <f t="shared" si="9"/>
        <v>0</v>
      </c>
      <c r="AD47" s="29">
        <f t="shared" si="10"/>
        <v>0</v>
      </c>
      <c r="AE47" s="28">
        <v>20</v>
      </c>
      <c r="AF47" s="46">
        <v>355</v>
      </c>
      <c r="AG47" s="28">
        <v>210000</v>
      </c>
      <c r="AH47" s="29">
        <v>2424.7849708218146</v>
      </c>
      <c r="AI47" s="29">
        <v>0</v>
      </c>
      <c r="AJ47" s="30">
        <v>0</v>
      </c>
      <c r="AK47" s="57">
        <f t="shared" si="11"/>
        <v>1.2</v>
      </c>
      <c r="AL47" s="57">
        <f t="shared" si="12"/>
        <v>0.9</v>
      </c>
      <c r="AM47" s="60"/>
      <c r="AN47" s="57">
        <v>1.0579173971256712</v>
      </c>
      <c r="AO47" s="57"/>
      <c r="AP47" s="57"/>
      <c r="AU47" s="15"/>
      <c r="AV47" s="15"/>
      <c r="AW47" s="16"/>
    </row>
    <row r="48" spans="1:58" ht="21" x14ac:dyDescent="0.35">
      <c r="A48" s="28">
        <v>237</v>
      </c>
      <c r="B48" s="67" t="s">
        <v>138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4.28</v>
      </c>
      <c r="I48" s="19">
        <v>0</v>
      </c>
      <c r="J48" s="19">
        <v>0</v>
      </c>
      <c r="K48" s="61">
        <f t="shared" si="4"/>
        <v>1200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5"/>
        <v>1</v>
      </c>
      <c r="Z48" s="19">
        <f t="shared" si="6"/>
        <v>0</v>
      </c>
      <c r="AA48" s="19">
        <f t="shared" si="7"/>
        <v>0</v>
      </c>
      <c r="AB48" s="29">
        <f t="shared" si="8"/>
        <v>692.79570594908989</v>
      </c>
      <c r="AC48" s="29">
        <f t="shared" si="9"/>
        <v>0</v>
      </c>
      <c r="AD48" s="29">
        <f t="shared" si="10"/>
        <v>0</v>
      </c>
      <c r="AE48" s="28">
        <v>20</v>
      </c>
      <c r="AF48" s="46">
        <v>355</v>
      </c>
      <c r="AG48" s="28">
        <v>210000</v>
      </c>
      <c r="AH48" s="29">
        <v>2424.7849708218146</v>
      </c>
      <c r="AI48" s="29">
        <v>0</v>
      </c>
      <c r="AJ48" s="30">
        <v>0</v>
      </c>
      <c r="AK48" s="57">
        <f t="shared" si="11"/>
        <v>1.2</v>
      </c>
      <c r="AL48" s="57">
        <f t="shared" si="12"/>
        <v>0.9</v>
      </c>
      <c r="AM48" s="60"/>
      <c r="AN48" s="57">
        <v>1.0579173971256712</v>
      </c>
      <c r="AO48" s="57"/>
      <c r="AP48" s="57"/>
      <c r="AU48" s="15"/>
      <c r="AV48" s="15"/>
      <c r="AW48" s="16"/>
    </row>
    <row r="49" spans="1:56" ht="21" x14ac:dyDescent="0.35">
      <c r="A49" s="28">
        <v>238</v>
      </c>
      <c r="B49" s="67" t="s">
        <v>139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4.28</v>
      </c>
      <c r="I49" s="19">
        <v>0</v>
      </c>
      <c r="J49" s="19">
        <v>0</v>
      </c>
      <c r="K49" s="19">
        <f t="shared" si="4"/>
        <v>1200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5"/>
        <v>1</v>
      </c>
      <c r="Z49" s="19">
        <f t="shared" si="6"/>
        <v>0</v>
      </c>
      <c r="AA49" s="19">
        <f t="shared" si="7"/>
        <v>0</v>
      </c>
      <c r="AB49" s="29">
        <f t="shared" si="8"/>
        <v>692.79570594908989</v>
      </c>
      <c r="AC49" s="29">
        <f t="shared" si="9"/>
        <v>0</v>
      </c>
      <c r="AD49" s="29">
        <f t="shared" si="10"/>
        <v>0</v>
      </c>
      <c r="AE49" s="28">
        <v>20</v>
      </c>
      <c r="AF49" s="46">
        <v>355</v>
      </c>
      <c r="AG49" s="28">
        <v>210000</v>
      </c>
      <c r="AH49" s="29">
        <v>2424.7849708218146</v>
      </c>
      <c r="AI49" s="29">
        <v>0</v>
      </c>
      <c r="AJ49" s="30">
        <v>0</v>
      </c>
      <c r="AK49" s="57">
        <f t="shared" si="11"/>
        <v>1.2</v>
      </c>
      <c r="AL49" s="57">
        <f t="shared" si="12"/>
        <v>0.9</v>
      </c>
      <c r="AM49" s="60"/>
      <c r="AN49" s="57">
        <v>1.0579173971256712</v>
      </c>
      <c r="AO49" s="57"/>
      <c r="AP49" s="57"/>
      <c r="AU49" s="15"/>
      <c r="AV49" s="15"/>
      <c r="AW49" s="16"/>
    </row>
    <row r="50" spans="1:56" ht="21" x14ac:dyDescent="0.35">
      <c r="A50" s="81">
        <v>239</v>
      </c>
      <c r="B50" s="67" t="s">
        <v>140</v>
      </c>
      <c r="C50" s="81">
        <v>180</v>
      </c>
      <c r="D50" s="82">
        <v>180</v>
      </c>
      <c r="E50" s="81">
        <v>400</v>
      </c>
      <c r="F50" s="81">
        <v>13.5</v>
      </c>
      <c r="G50" s="82">
        <v>13.5</v>
      </c>
      <c r="H50" s="81">
        <v>4.28</v>
      </c>
      <c r="I50" s="82">
        <v>0</v>
      </c>
      <c r="J50" s="82">
        <v>0</v>
      </c>
      <c r="K50" s="82">
        <f t="shared" si="4"/>
        <v>1200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83">
        <v>3</v>
      </c>
      <c r="U50" s="84" t="s">
        <v>48</v>
      </c>
      <c r="V50" s="82">
        <v>1</v>
      </c>
      <c r="W50" s="81">
        <v>1</v>
      </c>
      <c r="X50" s="81">
        <v>0</v>
      </c>
      <c r="Y50" s="82">
        <f t="shared" si="5"/>
        <v>1</v>
      </c>
      <c r="Z50" s="82">
        <f t="shared" si="6"/>
        <v>0</v>
      </c>
      <c r="AA50" s="82">
        <f t="shared" si="7"/>
        <v>0</v>
      </c>
      <c r="AB50" s="85">
        <f t="shared" si="8"/>
        <v>692.79570594908989</v>
      </c>
      <c r="AC50" s="85">
        <f t="shared" si="9"/>
        <v>0</v>
      </c>
      <c r="AD50" s="85">
        <f t="shared" si="10"/>
        <v>0</v>
      </c>
      <c r="AE50" s="81">
        <v>20</v>
      </c>
      <c r="AF50" s="46">
        <v>355</v>
      </c>
      <c r="AG50" s="81">
        <v>210000</v>
      </c>
      <c r="AH50" s="85">
        <v>2424.7849708218146</v>
      </c>
      <c r="AI50" s="85">
        <v>0</v>
      </c>
      <c r="AJ50" s="86">
        <v>0</v>
      </c>
      <c r="AK50" s="57">
        <f t="shared" si="11"/>
        <v>1.2</v>
      </c>
      <c r="AL50" s="57">
        <f t="shared" si="12"/>
        <v>0.9</v>
      </c>
      <c r="AM50" s="60"/>
      <c r="AN50" s="57">
        <v>1.0579173971256712</v>
      </c>
      <c r="AO50" s="57"/>
      <c r="AP50" s="57"/>
      <c r="AU50" s="15"/>
      <c r="AV50" s="15"/>
      <c r="AW50" s="16"/>
    </row>
    <row r="51" spans="1:56" s="90" customFormat="1" ht="21.75" thickBot="1" x14ac:dyDescent="0.4">
      <c r="A51" s="31">
        <v>240</v>
      </c>
      <c r="B51" s="67" t="s">
        <v>141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4.28</v>
      </c>
      <c r="I51" s="32">
        <v>0</v>
      </c>
      <c r="J51" s="32">
        <v>0</v>
      </c>
      <c r="K51" s="32">
        <f t="shared" si="4"/>
        <v>1200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9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5"/>
        <v>1</v>
      </c>
      <c r="Z51" s="32">
        <f t="shared" si="6"/>
        <v>0</v>
      </c>
      <c r="AA51" s="32">
        <f t="shared" si="7"/>
        <v>0</v>
      </c>
      <c r="AB51" s="33">
        <f t="shared" si="8"/>
        <v>692.79570594908989</v>
      </c>
      <c r="AC51" s="33">
        <f t="shared" si="9"/>
        <v>0</v>
      </c>
      <c r="AD51" s="33">
        <f t="shared" si="10"/>
        <v>0</v>
      </c>
      <c r="AE51" s="31">
        <v>20</v>
      </c>
      <c r="AF51" s="46">
        <v>355</v>
      </c>
      <c r="AG51" s="31">
        <v>210000</v>
      </c>
      <c r="AH51" s="33">
        <v>2424.7849708218146</v>
      </c>
      <c r="AI51" s="33">
        <v>0</v>
      </c>
      <c r="AJ51" s="51">
        <v>0</v>
      </c>
      <c r="AK51" s="57">
        <f t="shared" si="11"/>
        <v>1.2</v>
      </c>
      <c r="AL51" s="57">
        <f t="shared" si="12"/>
        <v>0.9</v>
      </c>
      <c r="AM51" s="60"/>
      <c r="AN51" s="57">
        <v>1.0579173971256712</v>
      </c>
      <c r="AO51" s="89"/>
      <c r="AP51" s="89"/>
      <c r="AU51" s="91"/>
      <c r="AV51" s="91"/>
      <c r="AW51" s="92"/>
      <c r="BD51" s="93"/>
    </row>
    <row r="52" spans="1:56" ht="21" x14ac:dyDescent="0.35">
      <c r="A52" s="46">
        <v>241</v>
      </c>
      <c r="B52" s="67" t="s">
        <v>142</v>
      </c>
      <c r="C52" s="46">
        <v>300</v>
      </c>
      <c r="D52" s="47">
        <v>300</v>
      </c>
      <c r="E52" s="46">
        <v>300</v>
      </c>
      <c r="F52" s="46">
        <v>24.32</v>
      </c>
      <c r="G52" s="47">
        <v>24.32</v>
      </c>
      <c r="H52" s="46">
        <v>14.08</v>
      </c>
      <c r="I52" s="47">
        <v>0</v>
      </c>
      <c r="J52" s="47">
        <v>0</v>
      </c>
      <c r="K52" s="47">
        <f t="shared" si="4"/>
        <v>900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48">
        <v>3</v>
      </c>
      <c r="U52" s="87" t="s">
        <v>48</v>
      </c>
      <c r="V52" s="47">
        <v>1</v>
      </c>
      <c r="W52" s="46">
        <v>1</v>
      </c>
      <c r="X52" s="46">
        <v>0</v>
      </c>
      <c r="Y52" s="47">
        <f t="shared" si="5"/>
        <v>1</v>
      </c>
      <c r="Z52" s="47">
        <f t="shared" si="6"/>
        <v>0</v>
      </c>
      <c r="AA52" s="47">
        <f t="shared" si="7"/>
        <v>0</v>
      </c>
      <c r="AB52" s="49">
        <f t="shared" si="8"/>
        <v>1942.6626635709547</v>
      </c>
      <c r="AC52" s="49">
        <f t="shared" si="9"/>
        <v>0</v>
      </c>
      <c r="AD52" s="49">
        <f t="shared" si="10"/>
        <v>0</v>
      </c>
      <c r="AE52" s="46">
        <v>20</v>
      </c>
      <c r="AF52" s="46">
        <v>355</v>
      </c>
      <c r="AG52" s="46">
        <v>210000</v>
      </c>
      <c r="AH52" s="49">
        <v>6799.3193224983415</v>
      </c>
      <c r="AI52" s="49">
        <v>0</v>
      </c>
      <c r="AJ52" s="88">
        <v>0</v>
      </c>
      <c r="AK52" s="57">
        <f t="shared" si="11"/>
        <v>0.9</v>
      </c>
      <c r="AL52" s="57">
        <f t="shared" si="12"/>
        <v>1.5</v>
      </c>
      <c r="AM52" s="60"/>
      <c r="AN52" s="57">
        <v>1.0563595493767977</v>
      </c>
      <c r="AO52" s="57"/>
      <c r="AP52" s="57"/>
      <c r="AU52" s="15"/>
      <c r="AV52" s="15"/>
      <c r="AW52" s="16"/>
    </row>
    <row r="53" spans="1:56" ht="21" x14ac:dyDescent="0.35">
      <c r="A53" s="28">
        <v>242</v>
      </c>
      <c r="B53" s="67" t="s">
        <v>143</v>
      </c>
      <c r="C53" s="28">
        <v>300</v>
      </c>
      <c r="D53" s="19">
        <v>300</v>
      </c>
      <c r="E53" s="28">
        <v>300</v>
      </c>
      <c r="F53" s="28">
        <v>24.32</v>
      </c>
      <c r="G53" s="47">
        <v>24.32</v>
      </c>
      <c r="H53" s="28">
        <v>14.08</v>
      </c>
      <c r="I53" s="19">
        <v>0</v>
      </c>
      <c r="J53" s="19">
        <v>0</v>
      </c>
      <c r="K53" s="61">
        <f t="shared" si="4"/>
        <v>900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5"/>
        <v>1</v>
      </c>
      <c r="Z53" s="19">
        <f t="shared" si="6"/>
        <v>0</v>
      </c>
      <c r="AA53" s="19">
        <f t="shared" si="7"/>
        <v>0</v>
      </c>
      <c r="AB53" s="29">
        <f t="shared" si="8"/>
        <v>1942.6626635709547</v>
      </c>
      <c r="AC53" s="29">
        <f t="shared" si="9"/>
        <v>0</v>
      </c>
      <c r="AD53" s="29">
        <f t="shared" si="10"/>
        <v>0</v>
      </c>
      <c r="AE53" s="28">
        <v>20</v>
      </c>
      <c r="AF53" s="46">
        <v>355</v>
      </c>
      <c r="AG53" s="28">
        <v>210000</v>
      </c>
      <c r="AH53" s="29">
        <v>6799.3193224983415</v>
      </c>
      <c r="AI53" s="29">
        <v>0</v>
      </c>
      <c r="AJ53" s="30">
        <v>0</v>
      </c>
      <c r="AK53" s="57">
        <f t="shared" si="11"/>
        <v>0.9</v>
      </c>
      <c r="AL53" s="57">
        <f t="shared" si="12"/>
        <v>1.5</v>
      </c>
      <c r="AM53" s="60"/>
      <c r="AN53" s="57">
        <v>1.0563595493767977</v>
      </c>
      <c r="AO53" s="57"/>
      <c r="AP53" s="57"/>
      <c r="AU53" s="15"/>
      <c r="AV53" s="15"/>
      <c r="AW53" s="16"/>
    </row>
    <row r="54" spans="1:56" ht="21" x14ac:dyDescent="0.35">
      <c r="A54" s="28">
        <v>243</v>
      </c>
      <c r="B54" s="67" t="s">
        <v>144</v>
      </c>
      <c r="C54" s="28">
        <v>300</v>
      </c>
      <c r="D54" s="19">
        <v>300</v>
      </c>
      <c r="E54" s="28">
        <v>300</v>
      </c>
      <c r="F54" s="28">
        <v>24.32</v>
      </c>
      <c r="G54" s="47">
        <v>24.32</v>
      </c>
      <c r="H54" s="28">
        <v>14.08</v>
      </c>
      <c r="I54" s="19">
        <v>0</v>
      </c>
      <c r="J54" s="19">
        <v>0</v>
      </c>
      <c r="K54" s="61">
        <f t="shared" si="4"/>
        <v>900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5"/>
        <v>1</v>
      </c>
      <c r="Z54" s="19">
        <f t="shared" si="6"/>
        <v>0</v>
      </c>
      <c r="AA54" s="19">
        <f t="shared" si="7"/>
        <v>0</v>
      </c>
      <c r="AB54" s="29">
        <f t="shared" si="8"/>
        <v>1942.6626635709547</v>
      </c>
      <c r="AC54" s="29">
        <f t="shared" si="9"/>
        <v>0</v>
      </c>
      <c r="AD54" s="29">
        <f t="shared" si="10"/>
        <v>0</v>
      </c>
      <c r="AE54" s="28">
        <v>20</v>
      </c>
      <c r="AF54" s="46">
        <v>355</v>
      </c>
      <c r="AG54" s="28">
        <v>210000</v>
      </c>
      <c r="AH54" s="29">
        <v>6799.3193224983415</v>
      </c>
      <c r="AI54" s="29">
        <v>0</v>
      </c>
      <c r="AJ54" s="30">
        <v>0</v>
      </c>
      <c r="AK54" s="57">
        <f t="shared" si="11"/>
        <v>0.9</v>
      </c>
      <c r="AL54" s="57">
        <f t="shared" si="12"/>
        <v>1.5</v>
      </c>
      <c r="AM54" s="60"/>
      <c r="AN54" s="57">
        <v>1.0563595493767977</v>
      </c>
      <c r="AO54" s="57"/>
      <c r="AP54" s="57"/>
      <c r="AU54" s="15"/>
      <c r="AV54" s="15"/>
      <c r="AW54" s="16"/>
    </row>
    <row r="55" spans="1:56" ht="21" x14ac:dyDescent="0.35">
      <c r="A55" s="28">
        <v>244</v>
      </c>
      <c r="B55" s="67" t="s">
        <v>145</v>
      </c>
      <c r="C55" s="28">
        <v>300</v>
      </c>
      <c r="D55" s="19">
        <v>300</v>
      </c>
      <c r="E55" s="28">
        <v>300</v>
      </c>
      <c r="F55" s="28">
        <v>24.32</v>
      </c>
      <c r="G55" s="47">
        <v>24.32</v>
      </c>
      <c r="H55" s="28">
        <v>14.08</v>
      </c>
      <c r="I55" s="19">
        <v>0</v>
      </c>
      <c r="J55" s="19">
        <v>0</v>
      </c>
      <c r="K55" s="19">
        <f t="shared" si="4"/>
        <v>900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5"/>
        <v>1</v>
      </c>
      <c r="Z55" s="19">
        <f t="shared" si="6"/>
        <v>0</v>
      </c>
      <c r="AA55" s="19">
        <f t="shared" si="7"/>
        <v>0</v>
      </c>
      <c r="AB55" s="29">
        <f t="shared" si="8"/>
        <v>1942.6626635709547</v>
      </c>
      <c r="AC55" s="29">
        <f t="shared" si="9"/>
        <v>0</v>
      </c>
      <c r="AD55" s="29">
        <f t="shared" si="10"/>
        <v>0</v>
      </c>
      <c r="AE55" s="28">
        <v>20</v>
      </c>
      <c r="AF55" s="46">
        <v>355</v>
      </c>
      <c r="AG55" s="28">
        <v>210000</v>
      </c>
      <c r="AH55" s="29">
        <v>6799.3193224983415</v>
      </c>
      <c r="AI55" s="29">
        <v>0</v>
      </c>
      <c r="AJ55" s="30">
        <v>0</v>
      </c>
      <c r="AK55" s="57">
        <f t="shared" si="11"/>
        <v>0.9</v>
      </c>
      <c r="AL55" s="57">
        <f t="shared" si="12"/>
        <v>1.5</v>
      </c>
      <c r="AM55" s="60"/>
      <c r="AN55" s="57">
        <v>1.0563595493767977</v>
      </c>
      <c r="AO55" s="57"/>
      <c r="AP55" s="57"/>
      <c r="AU55" s="15"/>
      <c r="AV55" s="15"/>
      <c r="AW55" s="16"/>
    </row>
    <row r="56" spans="1:56" ht="21" x14ac:dyDescent="0.35">
      <c r="A56" s="28">
        <v>245</v>
      </c>
      <c r="B56" s="67" t="s">
        <v>146</v>
      </c>
      <c r="C56" s="28">
        <v>300</v>
      </c>
      <c r="D56" s="19">
        <v>300</v>
      </c>
      <c r="E56" s="28">
        <v>300</v>
      </c>
      <c r="F56" s="28">
        <v>24.32</v>
      </c>
      <c r="G56" s="47">
        <v>24.32</v>
      </c>
      <c r="H56" s="28">
        <v>14.08</v>
      </c>
      <c r="I56" s="19">
        <v>0</v>
      </c>
      <c r="J56" s="19">
        <v>0</v>
      </c>
      <c r="K56" s="61">
        <f t="shared" si="4"/>
        <v>900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5"/>
        <v>1</v>
      </c>
      <c r="Z56" s="19">
        <f t="shared" si="6"/>
        <v>0</v>
      </c>
      <c r="AA56" s="19">
        <f t="shared" si="7"/>
        <v>0</v>
      </c>
      <c r="AB56" s="29">
        <f t="shared" si="8"/>
        <v>1942.6626635709547</v>
      </c>
      <c r="AC56" s="29">
        <f t="shared" si="9"/>
        <v>0</v>
      </c>
      <c r="AD56" s="29">
        <f t="shared" si="10"/>
        <v>0</v>
      </c>
      <c r="AE56" s="28">
        <v>20</v>
      </c>
      <c r="AF56" s="46">
        <v>355</v>
      </c>
      <c r="AG56" s="28">
        <v>210000</v>
      </c>
      <c r="AH56" s="29">
        <v>6799.3193224983415</v>
      </c>
      <c r="AI56" s="29">
        <v>0</v>
      </c>
      <c r="AJ56" s="30">
        <v>0</v>
      </c>
      <c r="AK56" s="57">
        <f t="shared" si="11"/>
        <v>0.9</v>
      </c>
      <c r="AL56" s="57">
        <f t="shared" si="12"/>
        <v>1.5</v>
      </c>
      <c r="AM56" s="60"/>
      <c r="AN56" s="57">
        <v>1.0563595493767977</v>
      </c>
      <c r="AO56" s="57"/>
      <c r="AP56" s="57"/>
      <c r="AU56" s="15"/>
      <c r="AV56" s="15"/>
      <c r="AW56" s="16"/>
    </row>
    <row r="57" spans="1:56" ht="21" x14ac:dyDescent="0.35">
      <c r="A57" s="28">
        <v>246</v>
      </c>
      <c r="B57" s="67" t="s">
        <v>147</v>
      </c>
      <c r="C57" s="28">
        <v>300</v>
      </c>
      <c r="D57" s="19">
        <v>300</v>
      </c>
      <c r="E57" s="28">
        <v>300</v>
      </c>
      <c r="F57" s="28">
        <v>24.32</v>
      </c>
      <c r="G57" s="47">
        <v>24.32</v>
      </c>
      <c r="H57" s="28">
        <v>14.08</v>
      </c>
      <c r="I57" s="19">
        <v>0</v>
      </c>
      <c r="J57" s="19">
        <v>0</v>
      </c>
      <c r="K57" s="61">
        <f t="shared" si="4"/>
        <v>900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5"/>
        <v>1</v>
      </c>
      <c r="Z57" s="19">
        <f t="shared" si="6"/>
        <v>0</v>
      </c>
      <c r="AA57" s="19">
        <f t="shared" si="7"/>
        <v>0</v>
      </c>
      <c r="AB57" s="29">
        <f t="shared" si="8"/>
        <v>1942.6626635709547</v>
      </c>
      <c r="AC57" s="29">
        <f t="shared" si="9"/>
        <v>0</v>
      </c>
      <c r="AD57" s="29">
        <f t="shared" si="10"/>
        <v>0</v>
      </c>
      <c r="AE57" s="28">
        <v>20</v>
      </c>
      <c r="AF57" s="46">
        <v>355</v>
      </c>
      <c r="AG57" s="28">
        <v>210000</v>
      </c>
      <c r="AH57" s="29">
        <v>6799.3193224983415</v>
      </c>
      <c r="AI57" s="29">
        <v>0</v>
      </c>
      <c r="AJ57" s="30">
        <v>0</v>
      </c>
      <c r="AK57" s="57">
        <f t="shared" si="11"/>
        <v>0.9</v>
      </c>
      <c r="AL57" s="57">
        <f t="shared" si="12"/>
        <v>1.5</v>
      </c>
      <c r="AM57" s="60"/>
      <c r="AN57" s="57">
        <v>1.0563595493767977</v>
      </c>
      <c r="AO57" s="57"/>
      <c r="AP57" s="57"/>
      <c r="AU57" s="15"/>
      <c r="AV57" s="15"/>
      <c r="AW57" s="16"/>
    </row>
    <row r="58" spans="1:56" ht="21" x14ac:dyDescent="0.35">
      <c r="A58" s="28">
        <v>247</v>
      </c>
      <c r="B58" s="67" t="s">
        <v>148</v>
      </c>
      <c r="C58" s="28">
        <v>300</v>
      </c>
      <c r="D58" s="19">
        <v>300</v>
      </c>
      <c r="E58" s="28">
        <v>300</v>
      </c>
      <c r="F58" s="28">
        <v>24.32</v>
      </c>
      <c r="G58" s="47">
        <v>24.32</v>
      </c>
      <c r="H58" s="28">
        <v>14.08</v>
      </c>
      <c r="I58" s="19">
        <v>0</v>
      </c>
      <c r="J58" s="19">
        <v>0</v>
      </c>
      <c r="K58" s="19">
        <f t="shared" si="4"/>
        <v>900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5"/>
        <v>1</v>
      </c>
      <c r="Z58" s="19">
        <f t="shared" si="6"/>
        <v>0</v>
      </c>
      <c r="AA58" s="19">
        <f t="shared" si="7"/>
        <v>0</v>
      </c>
      <c r="AB58" s="29">
        <f t="shared" si="8"/>
        <v>1942.6626635709547</v>
      </c>
      <c r="AC58" s="29">
        <f t="shared" si="9"/>
        <v>0</v>
      </c>
      <c r="AD58" s="29">
        <f t="shared" si="10"/>
        <v>0</v>
      </c>
      <c r="AE58" s="28">
        <v>20</v>
      </c>
      <c r="AF58" s="46">
        <v>355</v>
      </c>
      <c r="AG58" s="28">
        <v>210000</v>
      </c>
      <c r="AH58" s="29">
        <v>6799.3193224983415</v>
      </c>
      <c r="AI58" s="29">
        <v>0</v>
      </c>
      <c r="AJ58" s="30">
        <v>0</v>
      </c>
      <c r="AK58" s="57">
        <f t="shared" si="11"/>
        <v>0.9</v>
      </c>
      <c r="AL58" s="57">
        <f t="shared" si="12"/>
        <v>1.5</v>
      </c>
      <c r="AM58" s="60"/>
      <c r="AN58" s="57">
        <v>1.0563595493767977</v>
      </c>
      <c r="AO58" s="57"/>
      <c r="AP58" s="57"/>
      <c r="AU58" s="15"/>
      <c r="AV58" s="15"/>
      <c r="AW58" s="16"/>
    </row>
    <row r="59" spans="1:56" ht="21" x14ac:dyDescent="0.35">
      <c r="A59" s="28">
        <v>248</v>
      </c>
      <c r="B59" s="67" t="s">
        <v>149</v>
      </c>
      <c r="C59" s="28">
        <v>300</v>
      </c>
      <c r="D59" s="19">
        <v>300</v>
      </c>
      <c r="E59" s="28">
        <v>300</v>
      </c>
      <c r="F59" s="28">
        <v>24.32</v>
      </c>
      <c r="G59" s="47">
        <v>24.32</v>
      </c>
      <c r="H59" s="28">
        <v>14.08</v>
      </c>
      <c r="I59" s="19">
        <v>0</v>
      </c>
      <c r="J59" s="19">
        <v>0</v>
      </c>
      <c r="K59" s="19">
        <f t="shared" si="4"/>
        <v>900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5"/>
        <v>1</v>
      </c>
      <c r="Z59" s="19">
        <f t="shared" si="6"/>
        <v>0</v>
      </c>
      <c r="AA59" s="19">
        <f t="shared" si="7"/>
        <v>0</v>
      </c>
      <c r="AB59" s="29">
        <f t="shared" si="8"/>
        <v>1942.6626635709547</v>
      </c>
      <c r="AC59" s="29">
        <f t="shared" si="9"/>
        <v>0</v>
      </c>
      <c r="AD59" s="29">
        <f t="shared" si="10"/>
        <v>0</v>
      </c>
      <c r="AE59" s="28">
        <v>20</v>
      </c>
      <c r="AF59" s="46">
        <v>355</v>
      </c>
      <c r="AG59" s="28">
        <v>210000</v>
      </c>
      <c r="AH59" s="29">
        <v>6799.3193224983415</v>
      </c>
      <c r="AI59" s="29">
        <v>0</v>
      </c>
      <c r="AJ59" s="30">
        <v>0</v>
      </c>
      <c r="AK59" s="57">
        <f t="shared" si="11"/>
        <v>0.9</v>
      </c>
      <c r="AL59" s="57">
        <f t="shared" si="12"/>
        <v>1.5</v>
      </c>
      <c r="AM59" s="60"/>
      <c r="AN59" s="57">
        <v>1.0563595493767977</v>
      </c>
      <c r="AO59" s="57"/>
      <c r="AP59" s="57"/>
      <c r="AU59" s="15"/>
      <c r="AV59" s="15"/>
      <c r="AW59" s="16"/>
    </row>
    <row r="60" spans="1:56" ht="21" x14ac:dyDescent="0.35">
      <c r="A60" s="28">
        <v>249</v>
      </c>
      <c r="B60" s="67" t="s">
        <v>150</v>
      </c>
      <c r="C60" s="28">
        <v>300</v>
      </c>
      <c r="D60" s="19">
        <v>300</v>
      </c>
      <c r="E60" s="28">
        <v>300</v>
      </c>
      <c r="F60" s="28">
        <v>17.100000000000001</v>
      </c>
      <c r="G60" s="47">
        <v>17.100000000000001</v>
      </c>
      <c r="H60" s="28">
        <v>9.9</v>
      </c>
      <c r="I60" s="19">
        <v>0</v>
      </c>
      <c r="J60" s="19">
        <v>0</v>
      </c>
      <c r="K60" s="19">
        <f t="shared" si="4"/>
        <v>900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5"/>
        <v>1</v>
      </c>
      <c r="Z60" s="19">
        <f t="shared" si="6"/>
        <v>0</v>
      </c>
      <c r="AA60" s="19">
        <f t="shared" si="7"/>
        <v>0</v>
      </c>
      <c r="AB60" s="29">
        <f t="shared" si="8"/>
        <v>1382.7631521855787</v>
      </c>
      <c r="AC60" s="29">
        <f t="shared" si="9"/>
        <v>0</v>
      </c>
      <c r="AD60" s="29">
        <f t="shared" si="10"/>
        <v>0</v>
      </c>
      <c r="AE60" s="28">
        <v>20</v>
      </c>
      <c r="AF60" s="46">
        <v>355</v>
      </c>
      <c r="AG60" s="28">
        <v>210000</v>
      </c>
      <c r="AH60" s="29">
        <v>4839.6710326495258</v>
      </c>
      <c r="AI60" s="29">
        <v>0</v>
      </c>
      <c r="AJ60" s="30">
        <v>0</v>
      </c>
      <c r="AK60" s="57">
        <f t="shared" si="11"/>
        <v>0.9</v>
      </c>
      <c r="AL60" s="57">
        <f t="shared" si="12"/>
        <v>1.5</v>
      </c>
      <c r="AM60" s="60"/>
      <c r="AN60" s="57">
        <v>1.057515475278016</v>
      </c>
      <c r="AO60" s="57"/>
      <c r="AP60" s="57"/>
      <c r="AU60" s="15"/>
      <c r="AV60" s="15"/>
      <c r="AW60" s="16"/>
    </row>
    <row r="61" spans="1:56" ht="21" x14ac:dyDescent="0.35">
      <c r="A61" s="28">
        <v>250</v>
      </c>
      <c r="B61" s="67" t="s">
        <v>151</v>
      </c>
      <c r="C61" s="28">
        <v>300</v>
      </c>
      <c r="D61" s="19">
        <v>300</v>
      </c>
      <c r="E61" s="28">
        <v>300</v>
      </c>
      <c r="F61" s="28">
        <v>17.100000000000001</v>
      </c>
      <c r="G61" s="47">
        <v>17.100000000000001</v>
      </c>
      <c r="H61" s="28">
        <v>9.9</v>
      </c>
      <c r="I61" s="19">
        <v>0</v>
      </c>
      <c r="J61" s="19">
        <v>0</v>
      </c>
      <c r="K61" s="19">
        <f t="shared" si="4"/>
        <v>900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5"/>
        <v>1</v>
      </c>
      <c r="Z61" s="19">
        <f t="shared" si="6"/>
        <v>0</v>
      </c>
      <c r="AA61" s="19">
        <f t="shared" si="7"/>
        <v>0</v>
      </c>
      <c r="AB61" s="29">
        <f t="shared" si="8"/>
        <v>1382.7631521855787</v>
      </c>
      <c r="AC61" s="29">
        <f t="shared" si="9"/>
        <v>0</v>
      </c>
      <c r="AD61" s="29">
        <f t="shared" si="10"/>
        <v>0</v>
      </c>
      <c r="AE61" s="28">
        <v>20</v>
      </c>
      <c r="AF61" s="46">
        <v>355</v>
      </c>
      <c r="AG61" s="28">
        <v>210000</v>
      </c>
      <c r="AH61" s="29">
        <v>4839.6710326495258</v>
      </c>
      <c r="AI61" s="29">
        <v>0</v>
      </c>
      <c r="AJ61" s="30">
        <v>0</v>
      </c>
      <c r="AK61" s="57">
        <f t="shared" si="11"/>
        <v>0.9</v>
      </c>
      <c r="AL61" s="57">
        <f t="shared" si="12"/>
        <v>1.5</v>
      </c>
      <c r="AM61" s="60"/>
      <c r="AN61" s="57">
        <v>1.057515475278016</v>
      </c>
      <c r="AO61" s="57"/>
      <c r="AP61" s="57"/>
      <c r="AU61" s="15"/>
      <c r="AV61" s="15"/>
      <c r="AW61" s="16"/>
    </row>
    <row r="62" spans="1:56" ht="21" x14ac:dyDescent="0.35">
      <c r="A62" s="28">
        <v>251</v>
      </c>
      <c r="B62" s="67" t="s">
        <v>152</v>
      </c>
      <c r="C62" s="28">
        <v>300</v>
      </c>
      <c r="D62" s="19">
        <v>300</v>
      </c>
      <c r="E62" s="28">
        <v>300</v>
      </c>
      <c r="F62" s="28">
        <v>17.100000000000001</v>
      </c>
      <c r="G62" s="47">
        <v>17.100000000000001</v>
      </c>
      <c r="H62" s="28">
        <v>9.9</v>
      </c>
      <c r="I62" s="19">
        <v>0</v>
      </c>
      <c r="J62" s="19">
        <v>0</v>
      </c>
      <c r="K62" s="19">
        <f t="shared" si="4"/>
        <v>900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5"/>
        <v>1</v>
      </c>
      <c r="Z62" s="19">
        <f t="shared" si="6"/>
        <v>0</v>
      </c>
      <c r="AA62" s="19">
        <f t="shared" si="7"/>
        <v>0</v>
      </c>
      <c r="AB62" s="29">
        <f t="shared" si="8"/>
        <v>1382.7631521855787</v>
      </c>
      <c r="AC62" s="29">
        <f t="shared" si="9"/>
        <v>0</v>
      </c>
      <c r="AD62" s="29">
        <f t="shared" si="10"/>
        <v>0</v>
      </c>
      <c r="AE62" s="28">
        <v>20</v>
      </c>
      <c r="AF62" s="46">
        <v>355</v>
      </c>
      <c r="AG62" s="28">
        <v>210000</v>
      </c>
      <c r="AH62" s="29">
        <v>4839.6710326495258</v>
      </c>
      <c r="AI62" s="29">
        <v>0</v>
      </c>
      <c r="AJ62" s="30">
        <v>0</v>
      </c>
      <c r="AK62" s="57">
        <f t="shared" si="11"/>
        <v>0.9</v>
      </c>
      <c r="AL62" s="57">
        <f t="shared" si="12"/>
        <v>1.5</v>
      </c>
      <c r="AM62" s="60"/>
      <c r="AN62" s="57">
        <v>1.057515475278016</v>
      </c>
      <c r="AO62" s="57"/>
      <c r="AP62" s="57"/>
      <c r="AU62" s="15"/>
      <c r="AV62" s="15"/>
      <c r="AW62" s="16"/>
    </row>
    <row r="63" spans="1:56" ht="21" x14ac:dyDescent="0.35">
      <c r="A63" s="28">
        <v>252</v>
      </c>
      <c r="B63" s="67" t="s">
        <v>153</v>
      </c>
      <c r="C63" s="28">
        <v>300</v>
      </c>
      <c r="D63" s="19">
        <v>300</v>
      </c>
      <c r="E63" s="28">
        <v>300</v>
      </c>
      <c r="F63" s="28">
        <v>17.100000000000001</v>
      </c>
      <c r="G63" s="47">
        <v>17.100000000000001</v>
      </c>
      <c r="H63" s="28">
        <v>9.9</v>
      </c>
      <c r="I63" s="19">
        <v>0</v>
      </c>
      <c r="J63" s="19">
        <v>0</v>
      </c>
      <c r="K63" s="19">
        <f t="shared" si="4"/>
        <v>900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5"/>
        <v>1</v>
      </c>
      <c r="Z63" s="19">
        <f t="shared" si="6"/>
        <v>0</v>
      </c>
      <c r="AA63" s="19">
        <f t="shared" si="7"/>
        <v>0</v>
      </c>
      <c r="AB63" s="29">
        <f t="shared" si="8"/>
        <v>1382.7631521855787</v>
      </c>
      <c r="AC63" s="29">
        <f t="shared" si="9"/>
        <v>0</v>
      </c>
      <c r="AD63" s="29">
        <f t="shared" si="10"/>
        <v>0</v>
      </c>
      <c r="AE63" s="28">
        <v>20</v>
      </c>
      <c r="AF63" s="46">
        <v>355</v>
      </c>
      <c r="AG63" s="28">
        <v>210000</v>
      </c>
      <c r="AH63" s="29">
        <v>4839.6710326495258</v>
      </c>
      <c r="AI63" s="29">
        <v>0</v>
      </c>
      <c r="AJ63" s="30">
        <v>0</v>
      </c>
      <c r="AK63" s="57">
        <f t="shared" si="11"/>
        <v>0.9</v>
      </c>
      <c r="AL63" s="57">
        <f t="shared" si="12"/>
        <v>1.5</v>
      </c>
      <c r="AM63" s="60"/>
      <c r="AN63" s="57">
        <v>1.057515475278016</v>
      </c>
      <c r="AO63" s="57"/>
      <c r="AP63" s="57"/>
      <c r="AU63" s="15"/>
      <c r="AV63" s="15"/>
      <c r="AW63" s="16"/>
    </row>
    <row r="64" spans="1:56" ht="21" x14ac:dyDescent="0.35">
      <c r="A64" s="28">
        <v>253</v>
      </c>
      <c r="B64" s="67" t="s">
        <v>154</v>
      </c>
      <c r="C64" s="28">
        <v>300</v>
      </c>
      <c r="D64" s="19">
        <v>300</v>
      </c>
      <c r="E64" s="28">
        <v>300</v>
      </c>
      <c r="F64" s="28">
        <v>17.100000000000001</v>
      </c>
      <c r="G64" s="47">
        <v>17.100000000000001</v>
      </c>
      <c r="H64" s="28">
        <v>9.9</v>
      </c>
      <c r="I64" s="19">
        <v>0</v>
      </c>
      <c r="J64" s="19">
        <v>0</v>
      </c>
      <c r="K64" s="61">
        <f t="shared" si="4"/>
        <v>900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5"/>
        <v>1</v>
      </c>
      <c r="Z64" s="19">
        <f t="shared" si="6"/>
        <v>0</v>
      </c>
      <c r="AA64" s="19">
        <f t="shared" si="7"/>
        <v>0</v>
      </c>
      <c r="AB64" s="29">
        <f t="shared" si="8"/>
        <v>1382.7631521855787</v>
      </c>
      <c r="AC64" s="29">
        <f t="shared" si="9"/>
        <v>0</v>
      </c>
      <c r="AD64" s="29">
        <f t="shared" si="10"/>
        <v>0</v>
      </c>
      <c r="AE64" s="28">
        <v>20</v>
      </c>
      <c r="AF64" s="46">
        <v>355</v>
      </c>
      <c r="AG64" s="28">
        <v>210000</v>
      </c>
      <c r="AH64" s="29">
        <v>4839.6710326495258</v>
      </c>
      <c r="AI64" s="29">
        <v>0</v>
      </c>
      <c r="AJ64" s="30">
        <v>0</v>
      </c>
      <c r="AK64" s="57">
        <f t="shared" si="11"/>
        <v>0.9</v>
      </c>
      <c r="AL64" s="57">
        <f t="shared" si="12"/>
        <v>1.5</v>
      </c>
      <c r="AM64" s="60"/>
      <c r="AN64" s="57">
        <v>1.057515475278016</v>
      </c>
      <c r="AO64" s="57"/>
      <c r="AP64" s="57"/>
      <c r="AU64" s="15"/>
      <c r="AV64" s="15"/>
      <c r="AW64" s="16"/>
    </row>
    <row r="65" spans="1:49" ht="21" x14ac:dyDescent="0.35">
      <c r="A65" s="28">
        <v>254</v>
      </c>
      <c r="B65" s="67" t="s">
        <v>155</v>
      </c>
      <c r="C65" s="28">
        <v>300</v>
      </c>
      <c r="D65" s="19">
        <v>300</v>
      </c>
      <c r="E65" s="28">
        <v>300</v>
      </c>
      <c r="F65" s="28">
        <v>17.100000000000001</v>
      </c>
      <c r="G65" s="47">
        <v>17.100000000000001</v>
      </c>
      <c r="H65" s="28">
        <v>9.9</v>
      </c>
      <c r="I65" s="19">
        <v>0</v>
      </c>
      <c r="J65" s="19">
        <v>0</v>
      </c>
      <c r="K65" s="19">
        <f t="shared" si="4"/>
        <v>900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5"/>
        <v>1</v>
      </c>
      <c r="Z65" s="19">
        <f t="shared" si="6"/>
        <v>0</v>
      </c>
      <c r="AA65" s="19">
        <f t="shared" si="7"/>
        <v>0</v>
      </c>
      <c r="AB65" s="29">
        <f t="shared" si="8"/>
        <v>1382.7631521855787</v>
      </c>
      <c r="AC65" s="29">
        <f t="shared" si="9"/>
        <v>0</v>
      </c>
      <c r="AD65" s="29">
        <f t="shared" si="10"/>
        <v>0</v>
      </c>
      <c r="AE65" s="28">
        <v>20</v>
      </c>
      <c r="AF65" s="46">
        <v>355</v>
      </c>
      <c r="AG65" s="28">
        <v>210000</v>
      </c>
      <c r="AH65" s="29">
        <v>4839.6710326495258</v>
      </c>
      <c r="AI65" s="29">
        <v>0</v>
      </c>
      <c r="AJ65" s="30">
        <v>0</v>
      </c>
      <c r="AK65" s="57">
        <f t="shared" si="11"/>
        <v>0.9</v>
      </c>
      <c r="AL65" s="57">
        <f t="shared" si="12"/>
        <v>1.5</v>
      </c>
      <c r="AM65" s="60"/>
      <c r="AN65" s="57">
        <v>1.057515475278016</v>
      </c>
      <c r="AO65" s="57"/>
      <c r="AP65" s="57"/>
      <c r="AU65" s="15"/>
      <c r="AV65" s="15"/>
      <c r="AW65" s="16"/>
    </row>
    <row r="66" spans="1:49" ht="21" x14ac:dyDescent="0.35">
      <c r="A66" s="28">
        <v>255</v>
      </c>
      <c r="B66" s="67" t="s">
        <v>156</v>
      </c>
      <c r="C66" s="28">
        <v>300</v>
      </c>
      <c r="D66" s="19">
        <v>300</v>
      </c>
      <c r="E66" s="28">
        <v>300</v>
      </c>
      <c r="F66" s="28">
        <v>17.100000000000001</v>
      </c>
      <c r="G66" s="47">
        <v>17.100000000000001</v>
      </c>
      <c r="H66" s="28">
        <v>9.9</v>
      </c>
      <c r="I66" s="19">
        <v>0</v>
      </c>
      <c r="J66" s="19">
        <v>0</v>
      </c>
      <c r="K66" s="19">
        <f t="shared" si="4"/>
        <v>900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5"/>
        <v>1</v>
      </c>
      <c r="Z66" s="19">
        <f t="shared" si="6"/>
        <v>0</v>
      </c>
      <c r="AA66" s="19">
        <f t="shared" si="7"/>
        <v>0</v>
      </c>
      <c r="AB66" s="29">
        <f t="shared" si="8"/>
        <v>1382.7631521855787</v>
      </c>
      <c r="AC66" s="29">
        <f t="shared" si="9"/>
        <v>0</v>
      </c>
      <c r="AD66" s="29">
        <f t="shared" si="10"/>
        <v>0</v>
      </c>
      <c r="AE66" s="28">
        <v>20</v>
      </c>
      <c r="AF66" s="46">
        <v>355</v>
      </c>
      <c r="AG66" s="28">
        <v>210000</v>
      </c>
      <c r="AH66" s="29">
        <v>4839.6710326495258</v>
      </c>
      <c r="AI66" s="29">
        <v>0</v>
      </c>
      <c r="AJ66" s="30">
        <v>0</v>
      </c>
      <c r="AK66" s="57">
        <f t="shared" si="11"/>
        <v>0.9</v>
      </c>
      <c r="AL66" s="57">
        <f t="shared" si="12"/>
        <v>1.5</v>
      </c>
      <c r="AM66" s="60"/>
      <c r="AN66" s="57">
        <v>1.057515475278016</v>
      </c>
      <c r="AO66" s="57"/>
      <c r="AP66" s="57"/>
      <c r="AU66" s="15"/>
      <c r="AV66" s="15"/>
      <c r="AW66" s="16"/>
    </row>
    <row r="67" spans="1:49" ht="21" x14ac:dyDescent="0.35">
      <c r="A67" s="28">
        <v>256</v>
      </c>
      <c r="B67" s="67" t="s">
        <v>157</v>
      </c>
      <c r="C67" s="28">
        <v>300</v>
      </c>
      <c r="D67" s="19">
        <v>300</v>
      </c>
      <c r="E67" s="28">
        <v>300</v>
      </c>
      <c r="F67" s="28">
        <v>17.100000000000001</v>
      </c>
      <c r="G67" s="47">
        <v>17.100000000000001</v>
      </c>
      <c r="H67" s="28">
        <v>9.9</v>
      </c>
      <c r="I67" s="19">
        <v>0</v>
      </c>
      <c r="J67" s="19">
        <v>0</v>
      </c>
      <c r="K67" s="61">
        <f t="shared" si="4"/>
        <v>900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5"/>
        <v>1</v>
      </c>
      <c r="Z67" s="19">
        <f t="shared" si="6"/>
        <v>0</v>
      </c>
      <c r="AA67" s="19">
        <f t="shared" si="7"/>
        <v>0</v>
      </c>
      <c r="AB67" s="29">
        <f t="shared" si="8"/>
        <v>1382.7631521855787</v>
      </c>
      <c r="AC67" s="29">
        <f t="shared" si="9"/>
        <v>0</v>
      </c>
      <c r="AD67" s="29">
        <f t="shared" si="10"/>
        <v>0</v>
      </c>
      <c r="AE67" s="28">
        <v>20</v>
      </c>
      <c r="AF67" s="46">
        <v>355</v>
      </c>
      <c r="AG67" s="28">
        <v>210000</v>
      </c>
      <c r="AH67" s="29">
        <v>4839.6710326495258</v>
      </c>
      <c r="AI67" s="29">
        <v>0</v>
      </c>
      <c r="AJ67" s="30">
        <v>0</v>
      </c>
      <c r="AK67" s="57">
        <f t="shared" si="11"/>
        <v>0.9</v>
      </c>
      <c r="AL67" s="57">
        <f t="shared" si="12"/>
        <v>1.5</v>
      </c>
      <c r="AM67" s="60"/>
      <c r="AN67" s="57">
        <v>1.057515475278016</v>
      </c>
      <c r="AO67" s="57"/>
      <c r="AP67" s="57"/>
      <c r="AU67" s="15"/>
      <c r="AV67" s="15"/>
      <c r="AW67" s="16"/>
    </row>
    <row r="68" spans="1:49" ht="21" x14ac:dyDescent="0.35">
      <c r="A68" s="28">
        <v>257</v>
      </c>
      <c r="B68" s="67" t="s">
        <v>158</v>
      </c>
      <c r="C68" s="28">
        <v>300</v>
      </c>
      <c r="D68" s="19">
        <v>300</v>
      </c>
      <c r="E68" s="28">
        <v>300</v>
      </c>
      <c r="F68" s="28">
        <v>14.25</v>
      </c>
      <c r="G68" s="47">
        <v>14.25</v>
      </c>
      <c r="H68" s="28">
        <v>8.25</v>
      </c>
      <c r="I68" s="19">
        <v>0</v>
      </c>
      <c r="J68" s="19">
        <v>0</v>
      </c>
      <c r="K68" s="61">
        <f t="shared" si="4"/>
        <v>900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5"/>
        <v>1</v>
      </c>
      <c r="Z68" s="19">
        <f t="shared" si="6"/>
        <v>0</v>
      </c>
      <c r="AA68" s="19">
        <f t="shared" si="7"/>
        <v>0</v>
      </c>
      <c r="AB68" s="29">
        <f t="shared" si="8"/>
        <v>1157.8358658941456</v>
      </c>
      <c r="AC68" s="29">
        <f t="shared" si="9"/>
        <v>0</v>
      </c>
      <c r="AD68" s="29">
        <f t="shared" si="10"/>
        <v>0</v>
      </c>
      <c r="AE68" s="28">
        <v>20</v>
      </c>
      <c r="AF68" s="46">
        <v>355</v>
      </c>
      <c r="AG68" s="28">
        <v>210000</v>
      </c>
      <c r="AH68" s="29">
        <v>4052.4255306295099</v>
      </c>
      <c r="AI68" s="29">
        <v>0</v>
      </c>
      <c r="AJ68" s="30">
        <v>0</v>
      </c>
      <c r="AK68" s="57">
        <f t="shared" si="11"/>
        <v>0.9</v>
      </c>
      <c r="AL68" s="57">
        <f t="shared" si="12"/>
        <v>1.5</v>
      </c>
      <c r="AM68" s="60"/>
      <c r="AN68" s="57">
        <v>1.0579625051144577</v>
      </c>
      <c r="AO68" s="57"/>
      <c r="AP68" s="57"/>
    </row>
    <row r="69" spans="1:49" ht="21" x14ac:dyDescent="0.35">
      <c r="A69" s="28">
        <v>258</v>
      </c>
      <c r="B69" s="67" t="s">
        <v>159</v>
      </c>
      <c r="C69" s="28">
        <v>300</v>
      </c>
      <c r="D69" s="19">
        <v>300</v>
      </c>
      <c r="E69" s="28">
        <v>300</v>
      </c>
      <c r="F69" s="28">
        <v>14.25</v>
      </c>
      <c r="G69" s="47">
        <v>14.25</v>
      </c>
      <c r="H69" s="28">
        <v>8.25</v>
      </c>
      <c r="I69" s="19">
        <v>0</v>
      </c>
      <c r="J69" s="19">
        <v>0</v>
      </c>
      <c r="K69" s="61">
        <f t="shared" ref="K69:K99" si="13">3*E69</f>
        <v>900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4">W69</f>
        <v>1</v>
      </c>
      <c r="Z69" s="19">
        <f t="shared" ref="Z69:Z99" si="15">IF(X69=90,0,(1-Y69)/(TAN(X69/180*PI())+1))</f>
        <v>0</v>
      </c>
      <c r="AA69" s="19">
        <f t="shared" ref="AA69:AA99" si="16">IF(X69=90,1-W69,Z69*TAN(X69/180*PI()))</f>
        <v>0</v>
      </c>
      <c r="AB69" s="29">
        <f t="shared" ref="AB69:AB99" si="17">AH69/3.5</f>
        <v>1157.8358658941456</v>
      </c>
      <c r="AC69" s="29">
        <f t="shared" si="9"/>
        <v>0</v>
      </c>
      <c r="AD69" s="29">
        <f t="shared" si="10"/>
        <v>0</v>
      </c>
      <c r="AE69" s="28">
        <v>20</v>
      </c>
      <c r="AF69" s="46">
        <v>355</v>
      </c>
      <c r="AG69" s="28">
        <v>210000</v>
      </c>
      <c r="AH69" s="29">
        <v>4052.4255306295099</v>
      </c>
      <c r="AI69" s="29">
        <v>0</v>
      </c>
      <c r="AJ69" s="30">
        <v>0</v>
      </c>
      <c r="AK69" s="57">
        <f t="shared" si="11"/>
        <v>0.9</v>
      </c>
      <c r="AL69" s="57">
        <f t="shared" si="12"/>
        <v>1.5</v>
      </c>
      <c r="AM69" s="60"/>
      <c r="AN69" s="57">
        <v>1.0579625051144577</v>
      </c>
      <c r="AO69" s="57"/>
      <c r="AP69" s="57"/>
    </row>
    <row r="70" spans="1:49" ht="21" x14ac:dyDescent="0.35">
      <c r="A70" s="28">
        <v>259</v>
      </c>
      <c r="B70" s="67" t="s">
        <v>160</v>
      </c>
      <c r="C70" s="28">
        <v>300</v>
      </c>
      <c r="D70" s="19">
        <v>300</v>
      </c>
      <c r="E70" s="28">
        <v>300</v>
      </c>
      <c r="F70" s="28">
        <v>14.25</v>
      </c>
      <c r="G70" s="47">
        <v>14.25</v>
      </c>
      <c r="H70" s="28">
        <v>8.25</v>
      </c>
      <c r="I70" s="19">
        <v>0</v>
      </c>
      <c r="J70" s="19">
        <v>0</v>
      </c>
      <c r="K70" s="61">
        <f t="shared" si="13"/>
        <v>900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4"/>
        <v>1</v>
      </c>
      <c r="Z70" s="19">
        <f t="shared" si="15"/>
        <v>0</v>
      </c>
      <c r="AA70" s="19">
        <f t="shared" si="16"/>
        <v>0</v>
      </c>
      <c r="AB70" s="29">
        <f t="shared" si="17"/>
        <v>1157.8358658941456</v>
      </c>
      <c r="AC70" s="29">
        <f t="shared" si="9"/>
        <v>0</v>
      </c>
      <c r="AD70" s="29">
        <f t="shared" si="10"/>
        <v>0</v>
      </c>
      <c r="AE70" s="28">
        <v>20</v>
      </c>
      <c r="AF70" s="46">
        <v>355</v>
      </c>
      <c r="AG70" s="28">
        <v>210000</v>
      </c>
      <c r="AH70" s="29">
        <v>4052.4255306295099</v>
      </c>
      <c r="AI70" s="29">
        <v>0</v>
      </c>
      <c r="AJ70" s="30">
        <v>0</v>
      </c>
      <c r="AK70" s="57">
        <f t="shared" si="11"/>
        <v>0.9</v>
      </c>
      <c r="AL70" s="57">
        <f t="shared" si="12"/>
        <v>1.5</v>
      </c>
      <c r="AM70" s="60"/>
      <c r="AN70" s="57">
        <v>1.0579625051144577</v>
      </c>
      <c r="AO70" s="57"/>
      <c r="AP70" s="57"/>
    </row>
    <row r="71" spans="1:49" ht="21" x14ac:dyDescent="0.35">
      <c r="A71" s="28">
        <v>260</v>
      </c>
      <c r="B71" s="67" t="s">
        <v>161</v>
      </c>
      <c r="C71" s="28">
        <v>300</v>
      </c>
      <c r="D71" s="19">
        <v>300</v>
      </c>
      <c r="E71" s="28">
        <v>300</v>
      </c>
      <c r="F71" s="28">
        <v>14.25</v>
      </c>
      <c r="G71" s="47">
        <v>14.25</v>
      </c>
      <c r="H71" s="28">
        <v>8.25</v>
      </c>
      <c r="I71" s="19">
        <v>0</v>
      </c>
      <c r="J71" s="19">
        <v>0</v>
      </c>
      <c r="K71" s="61">
        <f t="shared" si="13"/>
        <v>900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4"/>
        <v>1</v>
      </c>
      <c r="Z71" s="19">
        <f t="shared" si="15"/>
        <v>0</v>
      </c>
      <c r="AA71" s="19">
        <f t="shared" si="16"/>
        <v>0</v>
      </c>
      <c r="AB71" s="29">
        <f t="shared" si="17"/>
        <v>1157.8358658941456</v>
      </c>
      <c r="AC71" s="29">
        <f t="shared" si="9"/>
        <v>0</v>
      </c>
      <c r="AD71" s="29">
        <f t="shared" si="10"/>
        <v>0</v>
      </c>
      <c r="AE71" s="28">
        <v>20</v>
      </c>
      <c r="AF71" s="46">
        <v>355</v>
      </c>
      <c r="AG71" s="28">
        <v>210000</v>
      </c>
      <c r="AH71" s="29">
        <v>4052.4255306295099</v>
      </c>
      <c r="AI71" s="29">
        <v>0</v>
      </c>
      <c r="AJ71" s="30">
        <v>0</v>
      </c>
      <c r="AK71" s="57">
        <f t="shared" si="11"/>
        <v>0.9</v>
      </c>
      <c r="AL71" s="57">
        <f t="shared" si="12"/>
        <v>1.5</v>
      </c>
      <c r="AM71" s="60"/>
      <c r="AN71" s="57">
        <v>1.0579625051144577</v>
      </c>
      <c r="AO71" s="57"/>
      <c r="AP71" s="57"/>
    </row>
    <row r="72" spans="1:49" ht="21" x14ac:dyDescent="0.35">
      <c r="A72" s="28">
        <v>261</v>
      </c>
      <c r="B72" s="67" t="s">
        <v>162</v>
      </c>
      <c r="C72" s="28">
        <v>300</v>
      </c>
      <c r="D72" s="19">
        <v>300</v>
      </c>
      <c r="E72" s="28">
        <v>300</v>
      </c>
      <c r="F72" s="28">
        <v>14.25</v>
      </c>
      <c r="G72" s="47">
        <v>14.25</v>
      </c>
      <c r="H72" s="28">
        <v>8.25</v>
      </c>
      <c r="I72" s="19">
        <v>0</v>
      </c>
      <c r="J72" s="19">
        <v>0</v>
      </c>
      <c r="K72" s="19">
        <f t="shared" si="13"/>
        <v>900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4"/>
        <v>1</v>
      </c>
      <c r="Z72" s="19">
        <f t="shared" si="15"/>
        <v>0</v>
      </c>
      <c r="AA72" s="19">
        <f t="shared" si="16"/>
        <v>0</v>
      </c>
      <c r="AB72" s="29">
        <f t="shared" si="17"/>
        <v>1157.8358658941456</v>
      </c>
      <c r="AC72" s="29">
        <f t="shared" si="9"/>
        <v>0</v>
      </c>
      <c r="AD72" s="29">
        <f t="shared" si="10"/>
        <v>0</v>
      </c>
      <c r="AE72" s="28">
        <v>20</v>
      </c>
      <c r="AF72" s="46">
        <v>355</v>
      </c>
      <c r="AG72" s="28">
        <v>210000</v>
      </c>
      <c r="AH72" s="29">
        <v>4052.4255306295099</v>
      </c>
      <c r="AI72" s="29">
        <v>0</v>
      </c>
      <c r="AJ72" s="30">
        <v>0</v>
      </c>
      <c r="AK72" s="57">
        <f t="shared" si="11"/>
        <v>0.9</v>
      </c>
      <c r="AL72" s="57">
        <f t="shared" si="12"/>
        <v>1.5</v>
      </c>
      <c r="AM72" s="60"/>
      <c r="AN72" s="57">
        <v>1.0579625051144577</v>
      </c>
      <c r="AO72" s="57"/>
      <c r="AP72" s="57"/>
    </row>
    <row r="73" spans="1:49" ht="21" x14ac:dyDescent="0.35">
      <c r="A73" s="28">
        <v>262</v>
      </c>
      <c r="B73" s="67" t="s">
        <v>163</v>
      </c>
      <c r="C73" s="28">
        <v>300</v>
      </c>
      <c r="D73" s="19">
        <v>300</v>
      </c>
      <c r="E73" s="28">
        <v>300</v>
      </c>
      <c r="F73" s="28">
        <v>14.25</v>
      </c>
      <c r="G73" s="47">
        <v>14.25</v>
      </c>
      <c r="H73" s="28">
        <v>8.25</v>
      </c>
      <c r="I73" s="19">
        <v>0</v>
      </c>
      <c r="J73" s="19">
        <v>0</v>
      </c>
      <c r="K73" s="61">
        <f t="shared" si="13"/>
        <v>900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4"/>
        <v>1</v>
      </c>
      <c r="Z73" s="19">
        <f t="shared" si="15"/>
        <v>0</v>
      </c>
      <c r="AA73" s="19">
        <f t="shared" si="16"/>
        <v>0</v>
      </c>
      <c r="AB73" s="29">
        <f t="shared" si="17"/>
        <v>1157.8358658941456</v>
      </c>
      <c r="AC73" s="29">
        <f t="shared" si="9"/>
        <v>0</v>
      </c>
      <c r="AD73" s="29">
        <f t="shared" si="10"/>
        <v>0</v>
      </c>
      <c r="AE73" s="28">
        <v>20</v>
      </c>
      <c r="AF73" s="46">
        <v>355</v>
      </c>
      <c r="AG73" s="28">
        <v>210000</v>
      </c>
      <c r="AH73" s="29">
        <v>4052.4255306295099</v>
      </c>
      <c r="AI73" s="29">
        <v>0</v>
      </c>
      <c r="AJ73" s="30">
        <v>0</v>
      </c>
      <c r="AK73" s="57">
        <f t="shared" si="11"/>
        <v>0.9</v>
      </c>
      <c r="AL73" s="57">
        <f t="shared" si="12"/>
        <v>1.5</v>
      </c>
      <c r="AM73" s="60"/>
      <c r="AN73" s="57">
        <v>1.0579625051144577</v>
      </c>
      <c r="AO73" s="57"/>
      <c r="AP73" s="57"/>
    </row>
    <row r="74" spans="1:49" ht="21" x14ac:dyDescent="0.35">
      <c r="A74" s="28">
        <v>263</v>
      </c>
      <c r="B74" s="67" t="s">
        <v>164</v>
      </c>
      <c r="C74" s="28">
        <v>300</v>
      </c>
      <c r="D74" s="19">
        <v>300</v>
      </c>
      <c r="E74" s="28">
        <v>300</v>
      </c>
      <c r="F74" s="28">
        <v>14.25</v>
      </c>
      <c r="G74" s="47">
        <v>14.25</v>
      </c>
      <c r="H74" s="28">
        <v>8.25</v>
      </c>
      <c r="I74" s="19">
        <v>0</v>
      </c>
      <c r="J74" s="19">
        <v>0</v>
      </c>
      <c r="K74" s="19">
        <f t="shared" si="13"/>
        <v>900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4"/>
        <v>1</v>
      </c>
      <c r="Z74" s="19">
        <f t="shared" si="15"/>
        <v>0</v>
      </c>
      <c r="AA74" s="19">
        <f t="shared" si="16"/>
        <v>0</v>
      </c>
      <c r="AB74" s="29">
        <f t="shared" si="17"/>
        <v>1157.8358658941456</v>
      </c>
      <c r="AC74" s="29">
        <f t="shared" si="9"/>
        <v>0</v>
      </c>
      <c r="AD74" s="29">
        <f t="shared" si="10"/>
        <v>0</v>
      </c>
      <c r="AE74" s="28">
        <v>20</v>
      </c>
      <c r="AF74" s="46">
        <v>355</v>
      </c>
      <c r="AG74" s="28">
        <v>210000</v>
      </c>
      <c r="AH74" s="29">
        <v>4052.4255306295099</v>
      </c>
      <c r="AI74" s="29">
        <v>0</v>
      </c>
      <c r="AJ74" s="30">
        <v>0</v>
      </c>
      <c r="AK74" s="57">
        <f t="shared" si="11"/>
        <v>0.9</v>
      </c>
      <c r="AL74" s="57">
        <f t="shared" si="12"/>
        <v>1.5</v>
      </c>
      <c r="AM74" s="60"/>
      <c r="AN74" s="57">
        <v>1.0579625051144577</v>
      </c>
      <c r="AO74" s="57"/>
      <c r="AP74" s="57"/>
    </row>
    <row r="75" spans="1:49" ht="21" x14ac:dyDescent="0.35">
      <c r="A75" s="28">
        <v>264</v>
      </c>
      <c r="B75" s="67" t="s">
        <v>165</v>
      </c>
      <c r="C75" s="28">
        <v>300</v>
      </c>
      <c r="D75" s="19">
        <v>300</v>
      </c>
      <c r="E75" s="28">
        <v>300</v>
      </c>
      <c r="F75" s="28">
        <v>14.25</v>
      </c>
      <c r="G75" s="47">
        <v>14.25</v>
      </c>
      <c r="H75" s="28">
        <v>8.25</v>
      </c>
      <c r="I75" s="19">
        <v>0</v>
      </c>
      <c r="J75" s="19">
        <v>0</v>
      </c>
      <c r="K75" s="61">
        <f t="shared" si="13"/>
        <v>900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4"/>
        <v>1</v>
      </c>
      <c r="Z75" s="19">
        <f t="shared" si="15"/>
        <v>0</v>
      </c>
      <c r="AA75" s="19">
        <f t="shared" si="16"/>
        <v>0</v>
      </c>
      <c r="AB75" s="29">
        <f t="shared" si="17"/>
        <v>1157.8358658941456</v>
      </c>
      <c r="AC75" s="29">
        <f t="shared" si="9"/>
        <v>0</v>
      </c>
      <c r="AD75" s="29">
        <f t="shared" si="10"/>
        <v>0</v>
      </c>
      <c r="AE75" s="28">
        <v>20</v>
      </c>
      <c r="AF75" s="46">
        <v>355</v>
      </c>
      <c r="AG75" s="28">
        <v>210000</v>
      </c>
      <c r="AH75" s="29">
        <v>4052.4255306295099</v>
      </c>
      <c r="AI75" s="29">
        <v>0</v>
      </c>
      <c r="AJ75" s="30">
        <v>0</v>
      </c>
      <c r="AK75" s="57">
        <f t="shared" si="11"/>
        <v>0.9</v>
      </c>
      <c r="AL75" s="57">
        <f t="shared" si="12"/>
        <v>1.5</v>
      </c>
      <c r="AM75" s="60"/>
      <c r="AN75" s="57">
        <v>1.0579625051144577</v>
      </c>
      <c r="AO75" s="57"/>
      <c r="AP75" s="57"/>
    </row>
    <row r="76" spans="1:49" ht="21" x14ac:dyDescent="0.35">
      <c r="A76" s="28">
        <v>265</v>
      </c>
      <c r="B76" s="67" t="s">
        <v>166</v>
      </c>
      <c r="C76" s="28">
        <v>300</v>
      </c>
      <c r="D76" s="19">
        <v>300</v>
      </c>
      <c r="E76" s="28">
        <v>300</v>
      </c>
      <c r="F76" s="28">
        <v>10.792</v>
      </c>
      <c r="G76" s="47">
        <v>10.792</v>
      </c>
      <c r="H76" s="28">
        <v>6.2479999999999993</v>
      </c>
      <c r="I76" s="19">
        <v>0</v>
      </c>
      <c r="J76" s="19">
        <v>0</v>
      </c>
      <c r="K76" s="19">
        <f t="shared" si="13"/>
        <v>900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4"/>
        <v>1</v>
      </c>
      <c r="Z76" s="19">
        <f t="shared" si="15"/>
        <v>0</v>
      </c>
      <c r="AA76" s="19">
        <f t="shared" si="16"/>
        <v>0</v>
      </c>
      <c r="AB76" s="29">
        <f t="shared" si="17"/>
        <v>885.26335242772677</v>
      </c>
      <c r="AC76" s="29">
        <f t="shared" si="9"/>
        <v>0</v>
      </c>
      <c r="AD76" s="29">
        <f t="shared" si="10"/>
        <v>0</v>
      </c>
      <c r="AE76" s="28">
        <v>20</v>
      </c>
      <c r="AF76" s="46">
        <v>355</v>
      </c>
      <c r="AG76" s="28">
        <v>210000</v>
      </c>
      <c r="AH76" s="29">
        <v>3098.4217334970435</v>
      </c>
      <c r="AI76" s="29">
        <v>0</v>
      </c>
      <c r="AJ76" s="30">
        <v>0</v>
      </c>
      <c r="AK76" s="57">
        <f t="shared" si="11"/>
        <v>0.9</v>
      </c>
      <c r="AL76" s="57">
        <f t="shared" si="12"/>
        <v>1.5</v>
      </c>
      <c r="AM76" s="60"/>
      <c r="AN76" s="57">
        <v>1.0624736971767119</v>
      </c>
      <c r="AO76" s="57"/>
      <c r="AP76" s="57"/>
    </row>
    <row r="77" spans="1:49" ht="21" x14ac:dyDescent="0.35">
      <c r="A77" s="28">
        <v>266</v>
      </c>
      <c r="B77" s="67" t="s">
        <v>167</v>
      </c>
      <c r="C77" s="28">
        <v>300</v>
      </c>
      <c r="D77" s="19">
        <v>300</v>
      </c>
      <c r="E77" s="28">
        <v>300</v>
      </c>
      <c r="F77" s="28">
        <v>10.792</v>
      </c>
      <c r="G77" s="47">
        <v>10.792</v>
      </c>
      <c r="H77" s="28">
        <v>6.2479999999999993</v>
      </c>
      <c r="I77" s="19">
        <v>0</v>
      </c>
      <c r="J77" s="19">
        <v>0</v>
      </c>
      <c r="K77" s="19">
        <f t="shared" si="13"/>
        <v>900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4"/>
        <v>1</v>
      </c>
      <c r="Z77" s="19">
        <f t="shared" si="15"/>
        <v>0</v>
      </c>
      <c r="AA77" s="19">
        <f t="shared" si="16"/>
        <v>0</v>
      </c>
      <c r="AB77" s="29">
        <f t="shared" si="17"/>
        <v>885.26335242772677</v>
      </c>
      <c r="AC77" s="29">
        <f t="shared" si="9"/>
        <v>0</v>
      </c>
      <c r="AD77" s="29">
        <f t="shared" si="10"/>
        <v>0</v>
      </c>
      <c r="AE77" s="28">
        <v>20</v>
      </c>
      <c r="AF77" s="46">
        <v>355</v>
      </c>
      <c r="AG77" s="28">
        <v>210000</v>
      </c>
      <c r="AH77" s="29">
        <v>3098.4217334970435</v>
      </c>
      <c r="AI77" s="29">
        <v>0</v>
      </c>
      <c r="AJ77" s="30">
        <v>0</v>
      </c>
      <c r="AK77" s="57">
        <f t="shared" si="11"/>
        <v>0.9</v>
      </c>
      <c r="AL77" s="57">
        <f t="shared" si="12"/>
        <v>1.5</v>
      </c>
      <c r="AM77" s="60"/>
      <c r="AN77" s="57">
        <v>1.0624736971767119</v>
      </c>
      <c r="AO77" s="57"/>
      <c r="AP77" s="57"/>
    </row>
    <row r="78" spans="1:49" ht="21" x14ac:dyDescent="0.35">
      <c r="A78" s="28">
        <v>267</v>
      </c>
      <c r="B78" s="67" t="s">
        <v>168</v>
      </c>
      <c r="C78" s="28">
        <v>300</v>
      </c>
      <c r="D78" s="19">
        <v>300</v>
      </c>
      <c r="E78" s="28">
        <v>300</v>
      </c>
      <c r="F78" s="28">
        <v>10.792</v>
      </c>
      <c r="G78" s="47">
        <v>10.792</v>
      </c>
      <c r="H78" s="28">
        <v>6.2479999999999993</v>
      </c>
      <c r="I78" s="19">
        <v>0</v>
      </c>
      <c r="J78" s="19">
        <v>0</v>
      </c>
      <c r="K78" s="19">
        <f t="shared" si="13"/>
        <v>900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4"/>
        <v>1</v>
      </c>
      <c r="Z78" s="19">
        <f t="shared" si="15"/>
        <v>0</v>
      </c>
      <c r="AA78" s="19">
        <f t="shared" si="16"/>
        <v>0</v>
      </c>
      <c r="AB78" s="29">
        <f t="shared" si="17"/>
        <v>885.26335242772677</v>
      </c>
      <c r="AC78" s="29">
        <f t="shared" si="9"/>
        <v>0</v>
      </c>
      <c r="AD78" s="29">
        <f t="shared" si="10"/>
        <v>0</v>
      </c>
      <c r="AE78" s="28">
        <v>20</v>
      </c>
      <c r="AF78" s="46">
        <v>355</v>
      </c>
      <c r="AG78" s="28">
        <v>210000</v>
      </c>
      <c r="AH78" s="29">
        <v>3098.4217334970435</v>
      </c>
      <c r="AI78" s="29">
        <v>0</v>
      </c>
      <c r="AJ78" s="30">
        <v>0</v>
      </c>
      <c r="AK78" s="57">
        <f t="shared" si="11"/>
        <v>0.9</v>
      </c>
      <c r="AL78" s="57">
        <f t="shared" si="12"/>
        <v>1.5</v>
      </c>
      <c r="AM78" s="60"/>
      <c r="AN78" s="57">
        <v>1.0624736971767119</v>
      </c>
      <c r="AO78" s="57"/>
      <c r="AP78" s="57"/>
    </row>
    <row r="79" spans="1:49" ht="21" x14ac:dyDescent="0.35">
      <c r="A79" s="28">
        <v>268</v>
      </c>
      <c r="B79" s="67" t="s">
        <v>169</v>
      </c>
      <c r="C79" s="28">
        <v>300</v>
      </c>
      <c r="D79" s="19">
        <v>300</v>
      </c>
      <c r="E79" s="28">
        <v>300</v>
      </c>
      <c r="F79" s="28">
        <v>10.792</v>
      </c>
      <c r="G79" s="47">
        <v>10.792</v>
      </c>
      <c r="H79" s="28">
        <v>6.2479999999999993</v>
      </c>
      <c r="I79" s="19">
        <v>0</v>
      </c>
      <c r="J79" s="19">
        <v>0</v>
      </c>
      <c r="K79" s="19">
        <f t="shared" si="13"/>
        <v>900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4"/>
        <v>1</v>
      </c>
      <c r="Z79" s="19">
        <f t="shared" si="15"/>
        <v>0</v>
      </c>
      <c r="AA79" s="19">
        <f t="shared" si="16"/>
        <v>0</v>
      </c>
      <c r="AB79" s="29">
        <f t="shared" si="17"/>
        <v>885.26335242772677</v>
      </c>
      <c r="AC79" s="29">
        <f t="shared" si="9"/>
        <v>0</v>
      </c>
      <c r="AD79" s="29">
        <f t="shared" si="10"/>
        <v>0</v>
      </c>
      <c r="AE79" s="28">
        <v>20</v>
      </c>
      <c r="AF79" s="46">
        <v>355</v>
      </c>
      <c r="AG79" s="28">
        <v>210000</v>
      </c>
      <c r="AH79" s="29">
        <v>3098.4217334970435</v>
      </c>
      <c r="AI79" s="29">
        <v>0</v>
      </c>
      <c r="AJ79" s="30">
        <v>0</v>
      </c>
      <c r="AK79" s="57">
        <f t="shared" si="11"/>
        <v>0.9</v>
      </c>
      <c r="AL79" s="57">
        <f t="shared" si="12"/>
        <v>1.5</v>
      </c>
      <c r="AM79" s="60"/>
      <c r="AN79" s="57">
        <v>1.0624736971767119</v>
      </c>
      <c r="AO79" s="57"/>
      <c r="AP79" s="57"/>
    </row>
    <row r="80" spans="1:49" ht="21" x14ac:dyDescent="0.35">
      <c r="A80" s="28">
        <v>269</v>
      </c>
      <c r="B80" s="67" t="s">
        <v>170</v>
      </c>
      <c r="C80" s="28">
        <v>300</v>
      </c>
      <c r="D80" s="19">
        <v>300</v>
      </c>
      <c r="E80" s="28">
        <v>300</v>
      </c>
      <c r="F80" s="28">
        <v>10.792</v>
      </c>
      <c r="G80" s="47">
        <v>10.792</v>
      </c>
      <c r="H80" s="28">
        <v>6.2479999999999993</v>
      </c>
      <c r="I80" s="19">
        <v>0</v>
      </c>
      <c r="J80" s="19">
        <v>0</v>
      </c>
      <c r="K80" s="19">
        <f t="shared" si="13"/>
        <v>900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4"/>
        <v>1</v>
      </c>
      <c r="Z80" s="19">
        <f t="shared" si="15"/>
        <v>0</v>
      </c>
      <c r="AA80" s="19">
        <f t="shared" si="16"/>
        <v>0</v>
      </c>
      <c r="AB80" s="29">
        <f t="shared" si="17"/>
        <v>885.26335242772677</v>
      </c>
      <c r="AC80" s="29">
        <f t="shared" si="9"/>
        <v>0</v>
      </c>
      <c r="AD80" s="29">
        <f t="shared" si="10"/>
        <v>0</v>
      </c>
      <c r="AE80" s="28">
        <v>20</v>
      </c>
      <c r="AF80" s="46">
        <v>355</v>
      </c>
      <c r="AG80" s="28">
        <v>210000</v>
      </c>
      <c r="AH80" s="29">
        <v>3098.4217334970435</v>
      </c>
      <c r="AI80" s="29">
        <v>0</v>
      </c>
      <c r="AJ80" s="30">
        <v>0</v>
      </c>
      <c r="AK80" s="57">
        <f t="shared" si="11"/>
        <v>0.9</v>
      </c>
      <c r="AL80" s="57">
        <f t="shared" si="12"/>
        <v>1.5</v>
      </c>
      <c r="AM80" s="60"/>
      <c r="AN80" s="57">
        <v>1.0624736971767119</v>
      </c>
      <c r="AO80" s="57"/>
      <c r="AP80" s="57"/>
    </row>
    <row r="81" spans="1:42" ht="21" x14ac:dyDescent="0.35">
      <c r="A81" s="28">
        <v>270</v>
      </c>
      <c r="B81" s="67" t="s">
        <v>171</v>
      </c>
      <c r="C81" s="28">
        <v>300</v>
      </c>
      <c r="D81" s="19">
        <v>300</v>
      </c>
      <c r="E81" s="28">
        <v>300</v>
      </c>
      <c r="F81" s="28">
        <v>10.792</v>
      </c>
      <c r="G81" s="47">
        <v>10.792</v>
      </c>
      <c r="H81" s="28">
        <v>6.2479999999999993</v>
      </c>
      <c r="I81" s="19">
        <v>0</v>
      </c>
      <c r="J81" s="19">
        <v>0</v>
      </c>
      <c r="K81" s="19">
        <f t="shared" si="13"/>
        <v>900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4"/>
        <v>1</v>
      </c>
      <c r="Z81" s="19">
        <f t="shared" si="15"/>
        <v>0</v>
      </c>
      <c r="AA81" s="19">
        <f t="shared" si="16"/>
        <v>0</v>
      </c>
      <c r="AB81" s="29">
        <f t="shared" si="17"/>
        <v>885.26335242772677</v>
      </c>
      <c r="AC81" s="29">
        <f t="shared" si="9"/>
        <v>0</v>
      </c>
      <c r="AD81" s="29">
        <f t="shared" si="10"/>
        <v>0</v>
      </c>
      <c r="AE81" s="28">
        <v>20</v>
      </c>
      <c r="AF81" s="46">
        <v>355</v>
      </c>
      <c r="AG81" s="28">
        <v>210000</v>
      </c>
      <c r="AH81" s="29">
        <v>3098.4217334970435</v>
      </c>
      <c r="AI81" s="29">
        <v>0</v>
      </c>
      <c r="AJ81" s="30">
        <v>0</v>
      </c>
      <c r="AK81" s="57">
        <f t="shared" si="11"/>
        <v>0.9</v>
      </c>
      <c r="AL81" s="57">
        <f t="shared" si="12"/>
        <v>1.5</v>
      </c>
      <c r="AM81" s="60"/>
      <c r="AN81" s="57">
        <v>1.0624736971767119</v>
      </c>
      <c r="AO81" s="57"/>
      <c r="AP81" s="57"/>
    </row>
    <row r="82" spans="1:42" ht="21" x14ac:dyDescent="0.35">
      <c r="A82" s="28">
        <v>271</v>
      </c>
      <c r="B82" s="67" t="s">
        <v>172</v>
      </c>
      <c r="C82" s="28">
        <v>300</v>
      </c>
      <c r="D82" s="19">
        <v>300</v>
      </c>
      <c r="E82" s="28">
        <v>300</v>
      </c>
      <c r="F82" s="28">
        <v>10.792</v>
      </c>
      <c r="G82" s="47">
        <v>10.792</v>
      </c>
      <c r="H82" s="28">
        <v>6.2479999999999993</v>
      </c>
      <c r="I82" s="19">
        <v>0</v>
      </c>
      <c r="J82" s="19">
        <v>0</v>
      </c>
      <c r="K82" s="19">
        <f t="shared" si="13"/>
        <v>900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4"/>
        <v>1</v>
      </c>
      <c r="Z82" s="19">
        <f t="shared" si="15"/>
        <v>0</v>
      </c>
      <c r="AA82" s="19">
        <f t="shared" si="16"/>
        <v>0</v>
      </c>
      <c r="AB82" s="29">
        <f t="shared" si="17"/>
        <v>885.26335242772677</v>
      </c>
      <c r="AC82" s="29">
        <f t="shared" si="9"/>
        <v>0</v>
      </c>
      <c r="AD82" s="29">
        <f t="shared" si="10"/>
        <v>0</v>
      </c>
      <c r="AE82" s="28">
        <v>20</v>
      </c>
      <c r="AF82" s="46">
        <v>355</v>
      </c>
      <c r="AG82" s="28">
        <v>210000</v>
      </c>
      <c r="AH82" s="29">
        <v>3098.4217334970435</v>
      </c>
      <c r="AI82" s="29">
        <v>0</v>
      </c>
      <c r="AJ82" s="30">
        <v>0</v>
      </c>
      <c r="AK82" s="57">
        <f t="shared" si="11"/>
        <v>0.9</v>
      </c>
      <c r="AL82" s="57">
        <f t="shared" si="12"/>
        <v>1.5</v>
      </c>
      <c r="AM82" s="60"/>
      <c r="AN82" s="57">
        <v>1.0624736971767119</v>
      </c>
      <c r="AO82" s="57"/>
      <c r="AP82" s="57"/>
    </row>
    <row r="83" spans="1:42" ht="21" x14ac:dyDescent="0.35">
      <c r="A83" s="28">
        <v>272</v>
      </c>
      <c r="B83" s="67" t="s">
        <v>173</v>
      </c>
      <c r="C83" s="28">
        <v>300</v>
      </c>
      <c r="D83" s="19">
        <v>300</v>
      </c>
      <c r="E83" s="28">
        <v>300</v>
      </c>
      <c r="F83" s="28">
        <v>10.792</v>
      </c>
      <c r="G83" s="47">
        <v>10.792</v>
      </c>
      <c r="H83" s="28">
        <v>6.2479999999999993</v>
      </c>
      <c r="I83" s="19">
        <v>0</v>
      </c>
      <c r="J83" s="19">
        <v>0</v>
      </c>
      <c r="K83" s="19">
        <f t="shared" si="13"/>
        <v>900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4"/>
        <v>1</v>
      </c>
      <c r="Z83" s="19">
        <f t="shared" si="15"/>
        <v>0</v>
      </c>
      <c r="AA83" s="19">
        <f t="shared" si="16"/>
        <v>0</v>
      </c>
      <c r="AB83" s="29">
        <f t="shared" si="17"/>
        <v>885.26335242772677</v>
      </c>
      <c r="AC83" s="29">
        <f t="shared" si="9"/>
        <v>0</v>
      </c>
      <c r="AD83" s="29">
        <f t="shared" si="10"/>
        <v>0</v>
      </c>
      <c r="AE83" s="28">
        <v>20</v>
      </c>
      <c r="AF83" s="46">
        <v>355</v>
      </c>
      <c r="AG83" s="28">
        <v>210000</v>
      </c>
      <c r="AH83" s="29">
        <v>3098.4217334970435</v>
      </c>
      <c r="AI83" s="29">
        <v>0</v>
      </c>
      <c r="AJ83" s="30">
        <v>0</v>
      </c>
      <c r="AK83" s="57">
        <f t="shared" si="11"/>
        <v>0.9</v>
      </c>
      <c r="AL83" s="57">
        <f t="shared" si="12"/>
        <v>1.5</v>
      </c>
      <c r="AM83" s="60"/>
      <c r="AN83" s="57">
        <v>1.0624736971767119</v>
      </c>
      <c r="AO83" s="57"/>
      <c r="AP83" s="57"/>
    </row>
    <row r="84" spans="1:42" ht="21" x14ac:dyDescent="0.35">
      <c r="A84" s="28">
        <v>273</v>
      </c>
      <c r="B84" s="67" t="s">
        <v>174</v>
      </c>
      <c r="C84" s="28">
        <v>300</v>
      </c>
      <c r="D84" s="19">
        <v>300</v>
      </c>
      <c r="E84" s="28">
        <v>300</v>
      </c>
      <c r="F84" s="28">
        <v>7.7899999999999991</v>
      </c>
      <c r="G84" s="47">
        <v>7.7899999999999991</v>
      </c>
      <c r="H84" s="28">
        <v>4.51</v>
      </c>
      <c r="I84" s="19">
        <v>0</v>
      </c>
      <c r="J84" s="19">
        <v>0</v>
      </c>
      <c r="K84" s="19">
        <f t="shared" si="13"/>
        <v>900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4"/>
        <v>1</v>
      </c>
      <c r="Z84" s="19">
        <f t="shared" si="15"/>
        <v>0</v>
      </c>
      <c r="AA84" s="19">
        <f t="shared" si="16"/>
        <v>0</v>
      </c>
      <c r="AB84" s="29">
        <f t="shared" si="17"/>
        <v>645.23329179852681</v>
      </c>
      <c r="AC84" s="29">
        <f t="shared" si="9"/>
        <v>0</v>
      </c>
      <c r="AD84" s="29">
        <f t="shared" si="10"/>
        <v>0</v>
      </c>
      <c r="AE84" s="28">
        <v>20</v>
      </c>
      <c r="AF84" s="46">
        <v>355</v>
      </c>
      <c r="AG84" s="28">
        <v>210000</v>
      </c>
      <c r="AH84" s="29">
        <v>2258.3165212948438</v>
      </c>
      <c r="AI84" s="29">
        <v>0</v>
      </c>
      <c r="AJ84" s="30">
        <v>0</v>
      </c>
      <c r="AK84" s="57">
        <f t="shared" si="11"/>
        <v>0.9</v>
      </c>
      <c r="AL84" s="57">
        <f t="shared" si="12"/>
        <v>1.5</v>
      </c>
      <c r="AM84" s="60"/>
      <c r="AN84" s="57">
        <v>1.0679434025380787</v>
      </c>
      <c r="AO84" s="57"/>
      <c r="AP84" s="57"/>
    </row>
    <row r="85" spans="1:42" ht="21" x14ac:dyDescent="0.35">
      <c r="A85" s="28">
        <v>274</v>
      </c>
      <c r="B85" s="67" t="s">
        <v>175</v>
      </c>
      <c r="C85" s="28">
        <v>300</v>
      </c>
      <c r="D85" s="19">
        <v>300</v>
      </c>
      <c r="E85" s="28">
        <v>300</v>
      </c>
      <c r="F85" s="28">
        <v>7.7899999999999991</v>
      </c>
      <c r="G85" s="47">
        <v>7.7899999999999991</v>
      </c>
      <c r="H85" s="28">
        <v>4.51</v>
      </c>
      <c r="I85" s="19">
        <v>0</v>
      </c>
      <c r="J85" s="19">
        <v>0</v>
      </c>
      <c r="K85" s="19">
        <f t="shared" si="13"/>
        <v>900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4"/>
        <v>1</v>
      </c>
      <c r="Z85" s="19">
        <f t="shared" si="15"/>
        <v>0</v>
      </c>
      <c r="AA85" s="19">
        <f t="shared" si="16"/>
        <v>0</v>
      </c>
      <c r="AB85" s="29">
        <f t="shared" si="17"/>
        <v>645.23329179852681</v>
      </c>
      <c r="AC85" s="29">
        <f t="shared" si="9"/>
        <v>0</v>
      </c>
      <c r="AD85" s="29">
        <f t="shared" si="10"/>
        <v>0</v>
      </c>
      <c r="AE85" s="28">
        <v>20</v>
      </c>
      <c r="AF85" s="46">
        <v>355</v>
      </c>
      <c r="AG85" s="28">
        <v>210000</v>
      </c>
      <c r="AH85" s="29">
        <v>2258.3165212948438</v>
      </c>
      <c r="AI85" s="29">
        <v>0</v>
      </c>
      <c r="AJ85" s="30">
        <v>0</v>
      </c>
      <c r="AK85" s="57">
        <f t="shared" si="11"/>
        <v>0.9</v>
      </c>
      <c r="AL85" s="57">
        <f t="shared" si="12"/>
        <v>1.5</v>
      </c>
      <c r="AM85" s="60"/>
      <c r="AN85" s="57">
        <v>1.0679434025380787</v>
      </c>
      <c r="AO85" s="57"/>
      <c r="AP85" s="57"/>
    </row>
    <row r="86" spans="1:42" ht="21" x14ac:dyDescent="0.35">
      <c r="A86" s="28">
        <v>275</v>
      </c>
      <c r="B86" s="67" t="s">
        <v>176</v>
      </c>
      <c r="C86" s="28">
        <v>300</v>
      </c>
      <c r="D86" s="19">
        <v>300</v>
      </c>
      <c r="E86" s="28">
        <v>300</v>
      </c>
      <c r="F86" s="28">
        <v>7.7899999999999991</v>
      </c>
      <c r="G86" s="47">
        <v>7.7899999999999991</v>
      </c>
      <c r="H86" s="28">
        <v>4.51</v>
      </c>
      <c r="I86" s="19">
        <v>0</v>
      </c>
      <c r="J86" s="19">
        <v>0</v>
      </c>
      <c r="K86" s="19">
        <f t="shared" si="13"/>
        <v>900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4"/>
        <v>1</v>
      </c>
      <c r="Z86" s="19">
        <f t="shared" si="15"/>
        <v>0</v>
      </c>
      <c r="AA86" s="19">
        <f t="shared" si="16"/>
        <v>0</v>
      </c>
      <c r="AB86" s="29">
        <f t="shared" si="17"/>
        <v>645.23329179852681</v>
      </c>
      <c r="AC86" s="29">
        <f t="shared" si="9"/>
        <v>0</v>
      </c>
      <c r="AD86" s="29">
        <f t="shared" si="10"/>
        <v>0</v>
      </c>
      <c r="AE86" s="28">
        <v>20</v>
      </c>
      <c r="AF86" s="46">
        <v>355</v>
      </c>
      <c r="AG86" s="28">
        <v>210000</v>
      </c>
      <c r="AH86" s="29">
        <v>2258.3165212948438</v>
      </c>
      <c r="AI86" s="29">
        <v>0</v>
      </c>
      <c r="AJ86" s="30">
        <v>0</v>
      </c>
      <c r="AK86" s="57">
        <f t="shared" si="11"/>
        <v>0.9</v>
      </c>
      <c r="AL86" s="57">
        <f t="shared" si="12"/>
        <v>1.5</v>
      </c>
      <c r="AM86" s="60"/>
      <c r="AN86" s="57">
        <v>1.0679434025380787</v>
      </c>
      <c r="AO86" s="57"/>
      <c r="AP86" s="57"/>
    </row>
    <row r="87" spans="1:42" ht="21" x14ac:dyDescent="0.35">
      <c r="A87" s="28">
        <v>276</v>
      </c>
      <c r="B87" s="67" t="s">
        <v>177</v>
      </c>
      <c r="C87" s="28">
        <v>300</v>
      </c>
      <c r="D87" s="19">
        <v>300</v>
      </c>
      <c r="E87" s="28">
        <v>300</v>
      </c>
      <c r="F87" s="28">
        <v>7.7899999999999991</v>
      </c>
      <c r="G87" s="47">
        <v>7.7899999999999991</v>
      </c>
      <c r="H87" s="28">
        <v>4.51</v>
      </c>
      <c r="I87" s="19">
        <v>0</v>
      </c>
      <c r="J87" s="19">
        <v>0</v>
      </c>
      <c r="K87" s="19">
        <f t="shared" si="13"/>
        <v>900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4"/>
        <v>1</v>
      </c>
      <c r="Z87" s="19">
        <f t="shared" si="15"/>
        <v>0</v>
      </c>
      <c r="AA87" s="19">
        <f t="shared" si="16"/>
        <v>0</v>
      </c>
      <c r="AB87" s="29">
        <f t="shared" si="17"/>
        <v>645.23329179852681</v>
      </c>
      <c r="AC87" s="29">
        <f t="shared" si="9"/>
        <v>0</v>
      </c>
      <c r="AD87" s="29">
        <f t="shared" si="10"/>
        <v>0</v>
      </c>
      <c r="AE87" s="28">
        <v>20</v>
      </c>
      <c r="AF87" s="46">
        <v>355</v>
      </c>
      <c r="AG87" s="28">
        <v>210000</v>
      </c>
      <c r="AH87" s="29">
        <v>2258.3165212948438</v>
      </c>
      <c r="AI87" s="29">
        <v>0</v>
      </c>
      <c r="AJ87" s="30">
        <v>0</v>
      </c>
      <c r="AK87" s="57">
        <f t="shared" si="11"/>
        <v>0.9</v>
      </c>
      <c r="AL87" s="57">
        <f t="shared" si="12"/>
        <v>1.5</v>
      </c>
      <c r="AM87" s="60"/>
      <c r="AN87" s="57">
        <v>1.0679434025380787</v>
      </c>
      <c r="AO87" s="57"/>
      <c r="AP87" s="57"/>
    </row>
    <row r="88" spans="1:42" ht="21" x14ac:dyDescent="0.35">
      <c r="A88" s="28">
        <v>277</v>
      </c>
      <c r="B88" s="67" t="s">
        <v>178</v>
      </c>
      <c r="C88" s="28">
        <v>300</v>
      </c>
      <c r="D88" s="19">
        <v>300</v>
      </c>
      <c r="E88" s="28">
        <v>300</v>
      </c>
      <c r="F88" s="28">
        <v>7.7899999999999991</v>
      </c>
      <c r="G88" s="47">
        <v>7.7899999999999991</v>
      </c>
      <c r="H88" s="28">
        <v>4.51</v>
      </c>
      <c r="I88" s="19">
        <v>0</v>
      </c>
      <c r="J88" s="19">
        <v>0</v>
      </c>
      <c r="K88" s="19">
        <f t="shared" si="13"/>
        <v>900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4"/>
        <v>1</v>
      </c>
      <c r="Z88" s="19">
        <f t="shared" si="15"/>
        <v>0</v>
      </c>
      <c r="AA88" s="19">
        <f t="shared" si="16"/>
        <v>0</v>
      </c>
      <c r="AB88" s="29">
        <f t="shared" si="17"/>
        <v>645.23329179852681</v>
      </c>
      <c r="AC88" s="29">
        <f t="shared" si="9"/>
        <v>0</v>
      </c>
      <c r="AD88" s="29">
        <f t="shared" si="10"/>
        <v>0</v>
      </c>
      <c r="AE88" s="28">
        <v>20</v>
      </c>
      <c r="AF88" s="46">
        <v>355</v>
      </c>
      <c r="AG88" s="28">
        <v>210000</v>
      </c>
      <c r="AH88" s="29">
        <v>2258.3165212948438</v>
      </c>
      <c r="AI88" s="29">
        <v>0</v>
      </c>
      <c r="AJ88" s="30">
        <v>0</v>
      </c>
      <c r="AK88" s="57">
        <f t="shared" si="11"/>
        <v>0.9</v>
      </c>
      <c r="AL88" s="57">
        <f t="shared" si="12"/>
        <v>1.5</v>
      </c>
      <c r="AM88" s="60"/>
      <c r="AN88" s="57">
        <v>1.0679434025380787</v>
      </c>
      <c r="AO88" s="57"/>
      <c r="AP88" s="57"/>
    </row>
    <row r="89" spans="1:42" ht="21" x14ac:dyDescent="0.35">
      <c r="A89" s="28">
        <v>278</v>
      </c>
      <c r="B89" s="67" t="s">
        <v>179</v>
      </c>
      <c r="C89" s="28">
        <v>300</v>
      </c>
      <c r="D89" s="19">
        <v>300</v>
      </c>
      <c r="E89" s="28">
        <v>300</v>
      </c>
      <c r="F89" s="28">
        <v>7.7899999999999991</v>
      </c>
      <c r="G89" s="47">
        <v>7.7899999999999991</v>
      </c>
      <c r="H89" s="28">
        <v>4.51</v>
      </c>
      <c r="I89" s="19">
        <v>0</v>
      </c>
      <c r="J89" s="19">
        <v>0</v>
      </c>
      <c r="K89" s="19">
        <f t="shared" si="13"/>
        <v>900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4"/>
        <v>1</v>
      </c>
      <c r="Z89" s="19">
        <f t="shared" si="15"/>
        <v>0</v>
      </c>
      <c r="AA89" s="19">
        <f t="shared" si="16"/>
        <v>0</v>
      </c>
      <c r="AB89" s="29">
        <f t="shared" si="17"/>
        <v>645.23329179852681</v>
      </c>
      <c r="AC89" s="29">
        <f t="shared" si="9"/>
        <v>0</v>
      </c>
      <c r="AD89" s="29">
        <f t="shared" si="10"/>
        <v>0</v>
      </c>
      <c r="AE89" s="28">
        <v>20</v>
      </c>
      <c r="AF89" s="46">
        <v>355</v>
      </c>
      <c r="AG89" s="28">
        <v>210000</v>
      </c>
      <c r="AH89" s="29">
        <v>2258.3165212948438</v>
      </c>
      <c r="AI89" s="29">
        <v>0</v>
      </c>
      <c r="AJ89" s="30">
        <v>0</v>
      </c>
      <c r="AK89" s="57">
        <f t="shared" si="11"/>
        <v>0.9</v>
      </c>
      <c r="AL89" s="57">
        <f t="shared" si="12"/>
        <v>1.5</v>
      </c>
      <c r="AM89" s="60"/>
      <c r="AN89" s="57">
        <v>1.0679434025380787</v>
      </c>
      <c r="AO89" s="57"/>
      <c r="AP89" s="57"/>
    </row>
    <row r="90" spans="1:42" ht="21" x14ac:dyDescent="0.35">
      <c r="A90" s="28">
        <v>279</v>
      </c>
      <c r="B90" s="67" t="s">
        <v>180</v>
      </c>
      <c r="C90" s="28">
        <v>300</v>
      </c>
      <c r="D90" s="19">
        <v>300</v>
      </c>
      <c r="E90" s="28">
        <v>300</v>
      </c>
      <c r="F90" s="28">
        <v>7.7899999999999991</v>
      </c>
      <c r="G90" s="47">
        <v>7.7899999999999991</v>
      </c>
      <c r="H90" s="28">
        <v>4.51</v>
      </c>
      <c r="I90" s="19">
        <v>0</v>
      </c>
      <c r="J90" s="19">
        <v>0</v>
      </c>
      <c r="K90" s="19">
        <f t="shared" si="13"/>
        <v>900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4"/>
        <v>1</v>
      </c>
      <c r="Z90" s="19">
        <f t="shared" si="15"/>
        <v>0</v>
      </c>
      <c r="AA90" s="19">
        <f t="shared" si="16"/>
        <v>0</v>
      </c>
      <c r="AB90" s="29">
        <f t="shared" si="17"/>
        <v>645.23329179852681</v>
      </c>
      <c r="AC90" s="29">
        <f t="shared" si="9"/>
        <v>0</v>
      </c>
      <c r="AD90" s="29">
        <f t="shared" si="10"/>
        <v>0</v>
      </c>
      <c r="AE90" s="28">
        <v>20</v>
      </c>
      <c r="AF90" s="46">
        <v>355</v>
      </c>
      <c r="AG90" s="28">
        <v>210000</v>
      </c>
      <c r="AH90" s="29">
        <v>2258.3165212948438</v>
      </c>
      <c r="AI90" s="29">
        <v>0</v>
      </c>
      <c r="AJ90" s="30">
        <v>0</v>
      </c>
      <c r="AK90" s="57">
        <f t="shared" si="11"/>
        <v>0.9</v>
      </c>
      <c r="AL90" s="57">
        <f t="shared" si="12"/>
        <v>1.5</v>
      </c>
      <c r="AM90" s="60"/>
      <c r="AN90" s="57">
        <v>1.0679434025380787</v>
      </c>
      <c r="AO90" s="57"/>
      <c r="AP90" s="57"/>
    </row>
    <row r="91" spans="1:42" ht="21" x14ac:dyDescent="0.35">
      <c r="A91" s="28">
        <v>280</v>
      </c>
      <c r="B91" s="67" t="s">
        <v>181</v>
      </c>
      <c r="C91" s="28">
        <v>300</v>
      </c>
      <c r="D91" s="19">
        <v>300</v>
      </c>
      <c r="E91" s="28">
        <v>300</v>
      </c>
      <c r="F91" s="28">
        <v>7.7899999999999991</v>
      </c>
      <c r="G91" s="47">
        <v>7.7899999999999991</v>
      </c>
      <c r="H91" s="28">
        <v>4.51</v>
      </c>
      <c r="I91" s="19">
        <v>0</v>
      </c>
      <c r="J91" s="19">
        <v>0</v>
      </c>
      <c r="K91" s="19">
        <f t="shared" si="13"/>
        <v>900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4"/>
        <v>1</v>
      </c>
      <c r="Z91" s="19">
        <f t="shared" si="15"/>
        <v>0</v>
      </c>
      <c r="AA91" s="19">
        <f t="shared" si="16"/>
        <v>0</v>
      </c>
      <c r="AB91" s="29">
        <f t="shared" si="17"/>
        <v>645.23329179852681</v>
      </c>
      <c r="AC91" s="29">
        <f t="shared" si="9"/>
        <v>0</v>
      </c>
      <c r="AD91" s="29">
        <f t="shared" si="10"/>
        <v>0</v>
      </c>
      <c r="AE91" s="28">
        <v>20</v>
      </c>
      <c r="AF91" s="46">
        <v>355</v>
      </c>
      <c r="AG91" s="28">
        <v>210000</v>
      </c>
      <c r="AH91" s="29">
        <v>2258.3165212948438</v>
      </c>
      <c r="AI91" s="29">
        <v>0</v>
      </c>
      <c r="AJ91" s="30">
        <v>0</v>
      </c>
      <c r="AK91" s="57">
        <f t="shared" si="11"/>
        <v>0.9</v>
      </c>
      <c r="AL91" s="57">
        <f t="shared" si="12"/>
        <v>1.5</v>
      </c>
      <c r="AM91" s="60"/>
      <c r="AN91" s="57">
        <v>1.0679434025380787</v>
      </c>
      <c r="AO91" s="57"/>
      <c r="AP91" s="57"/>
    </row>
    <row r="92" spans="1:42" ht="21" x14ac:dyDescent="0.35">
      <c r="A92" s="28">
        <v>281</v>
      </c>
      <c r="B92" s="67" t="s">
        <v>182</v>
      </c>
      <c r="C92" s="28">
        <v>300</v>
      </c>
      <c r="D92" s="19">
        <v>300</v>
      </c>
      <c r="E92" s="28">
        <v>300</v>
      </c>
      <c r="F92" s="28">
        <v>5.7</v>
      </c>
      <c r="G92" s="47">
        <v>5.7</v>
      </c>
      <c r="H92" s="28">
        <v>3.3</v>
      </c>
      <c r="I92" s="19">
        <v>0</v>
      </c>
      <c r="J92" s="19">
        <v>0</v>
      </c>
      <c r="K92" s="19">
        <f t="shared" si="13"/>
        <v>900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4"/>
        <v>1</v>
      </c>
      <c r="Z92" s="19">
        <f t="shared" si="15"/>
        <v>0</v>
      </c>
      <c r="AA92" s="19">
        <f t="shared" si="16"/>
        <v>0</v>
      </c>
      <c r="AB92" s="29">
        <f t="shared" si="17"/>
        <v>475.83986311674261</v>
      </c>
      <c r="AC92" s="29">
        <f t="shared" si="9"/>
        <v>0</v>
      </c>
      <c r="AD92" s="29">
        <f t="shared" si="10"/>
        <v>0</v>
      </c>
      <c r="AE92" s="28">
        <v>20</v>
      </c>
      <c r="AF92" s="46">
        <v>355</v>
      </c>
      <c r="AG92" s="28">
        <v>210000</v>
      </c>
      <c r="AH92" s="29">
        <v>1665.4395209085992</v>
      </c>
      <c r="AI92" s="29">
        <v>0</v>
      </c>
      <c r="AJ92" s="30">
        <v>0</v>
      </c>
      <c r="AK92" s="57">
        <f t="shared" si="11"/>
        <v>0.9</v>
      </c>
      <c r="AL92" s="57">
        <f t="shared" si="12"/>
        <v>1.5</v>
      </c>
      <c r="AM92" s="60"/>
      <c r="AN92" s="57">
        <v>1.0729577328907596</v>
      </c>
      <c r="AO92" s="57"/>
      <c r="AP92" s="57"/>
    </row>
    <row r="93" spans="1:42" ht="21" x14ac:dyDescent="0.35">
      <c r="A93" s="28">
        <v>282</v>
      </c>
      <c r="B93" s="67" t="s">
        <v>183</v>
      </c>
      <c r="C93" s="28">
        <v>300</v>
      </c>
      <c r="D93" s="19">
        <v>300</v>
      </c>
      <c r="E93" s="28">
        <v>300</v>
      </c>
      <c r="F93" s="28">
        <v>5.7</v>
      </c>
      <c r="G93" s="47">
        <v>5.7</v>
      </c>
      <c r="H93" s="28">
        <v>3.3</v>
      </c>
      <c r="I93" s="19">
        <v>0</v>
      </c>
      <c r="J93" s="19">
        <v>0</v>
      </c>
      <c r="K93" s="19">
        <f t="shared" si="13"/>
        <v>900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4"/>
        <v>1</v>
      </c>
      <c r="Z93" s="19">
        <f t="shared" si="15"/>
        <v>0</v>
      </c>
      <c r="AA93" s="19">
        <f t="shared" si="16"/>
        <v>0</v>
      </c>
      <c r="AB93" s="29">
        <f t="shared" si="17"/>
        <v>475.83986311674261</v>
      </c>
      <c r="AC93" s="29">
        <f t="shared" si="9"/>
        <v>0</v>
      </c>
      <c r="AD93" s="29">
        <f t="shared" si="10"/>
        <v>0</v>
      </c>
      <c r="AE93" s="28">
        <v>20</v>
      </c>
      <c r="AF93" s="46">
        <v>355</v>
      </c>
      <c r="AG93" s="28">
        <v>210000</v>
      </c>
      <c r="AH93" s="29">
        <v>1665.4395209085992</v>
      </c>
      <c r="AI93" s="29">
        <v>0</v>
      </c>
      <c r="AJ93" s="30">
        <v>0</v>
      </c>
      <c r="AK93" s="57">
        <f t="shared" si="11"/>
        <v>0.9</v>
      </c>
      <c r="AL93" s="57">
        <f t="shared" si="12"/>
        <v>1.5</v>
      </c>
      <c r="AM93" s="60"/>
      <c r="AN93" s="57">
        <v>1.0729577328907596</v>
      </c>
      <c r="AO93" s="57"/>
      <c r="AP93" s="57"/>
    </row>
    <row r="94" spans="1:42" ht="21" x14ac:dyDescent="0.35">
      <c r="A94" s="28">
        <v>283</v>
      </c>
      <c r="B94" s="67" t="s">
        <v>184</v>
      </c>
      <c r="C94" s="28">
        <v>300</v>
      </c>
      <c r="D94" s="19">
        <v>300</v>
      </c>
      <c r="E94" s="28">
        <v>300</v>
      </c>
      <c r="F94" s="28">
        <v>5.7</v>
      </c>
      <c r="G94" s="47">
        <v>5.7</v>
      </c>
      <c r="H94" s="28">
        <v>3.3</v>
      </c>
      <c r="I94" s="19">
        <v>0</v>
      </c>
      <c r="J94" s="19">
        <v>0</v>
      </c>
      <c r="K94" s="19">
        <f t="shared" si="13"/>
        <v>900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4"/>
        <v>1</v>
      </c>
      <c r="Z94" s="19">
        <f t="shared" si="15"/>
        <v>0</v>
      </c>
      <c r="AA94" s="19">
        <f t="shared" si="16"/>
        <v>0</v>
      </c>
      <c r="AB94" s="29">
        <f t="shared" si="17"/>
        <v>475.83986311674261</v>
      </c>
      <c r="AC94" s="29">
        <f t="shared" si="9"/>
        <v>0</v>
      </c>
      <c r="AD94" s="29">
        <f t="shared" si="10"/>
        <v>0</v>
      </c>
      <c r="AE94" s="28">
        <v>20</v>
      </c>
      <c r="AF94" s="46">
        <v>355</v>
      </c>
      <c r="AG94" s="28">
        <v>210000</v>
      </c>
      <c r="AH94" s="29">
        <v>1665.4395209085992</v>
      </c>
      <c r="AI94" s="29">
        <v>0</v>
      </c>
      <c r="AJ94" s="30">
        <v>0</v>
      </c>
      <c r="AK94" s="57">
        <f t="shared" si="11"/>
        <v>0.9</v>
      </c>
      <c r="AL94" s="57">
        <f t="shared" si="12"/>
        <v>1.5</v>
      </c>
      <c r="AM94" s="60"/>
      <c r="AN94" s="57">
        <v>1.0729577328907596</v>
      </c>
      <c r="AO94" s="57"/>
      <c r="AP94" s="57"/>
    </row>
    <row r="95" spans="1:42" ht="21" x14ac:dyDescent="0.35">
      <c r="A95" s="28">
        <v>284</v>
      </c>
      <c r="B95" s="67" t="s">
        <v>185</v>
      </c>
      <c r="C95" s="28">
        <v>300</v>
      </c>
      <c r="D95" s="19">
        <v>300</v>
      </c>
      <c r="E95" s="28">
        <v>300</v>
      </c>
      <c r="F95" s="28">
        <v>5.7</v>
      </c>
      <c r="G95" s="47">
        <v>5.7</v>
      </c>
      <c r="H95" s="28">
        <v>3.3</v>
      </c>
      <c r="I95" s="19">
        <v>0</v>
      </c>
      <c r="J95" s="19">
        <v>0</v>
      </c>
      <c r="K95" s="19">
        <f t="shared" si="13"/>
        <v>900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4"/>
        <v>1</v>
      </c>
      <c r="Z95" s="19">
        <f t="shared" si="15"/>
        <v>0</v>
      </c>
      <c r="AA95" s="19">
        <f t="shared" si="16"/>
        <v>0</v>
      </c>
      <c r="AB95" s="29">
        <f t="shared" si="17"/>
        <v>475.83986311674261</v>
      </c>
      <c r="AC95" s="29">
        <f t="shared" si="9"/>
        <v>0</v>
      </c>
      <c r="AD95" s="29">
        <f t="shared" si="10"/>
        <v>0</v>
      </c>
      <c r="AE95" s="28">
        <v>20</v>
      </c>
      <c r="AF95" s="46">
        <v>355</v>
      </c>
      <c r="AG95" s="28">
        <v>210000</v>
      </c>
      <c r="AH95" s="29">
        <v>1665.4395209085992</v>
      </c>
      <c r="AI95" s="29">
        <v>0</v>
      </c>
      <c r="AJ95" s="30">
        <v>0</v>
      </c>
      <c r="AK95" s="57">
        <f t="shared" si="11"/>
        <v>0.9</v>
      </c>
      <c r="AL95" s="57">
        <f t="shared" si="12"/>
        <v>1.5</v>
      </c>
      <c r="AM95" s="60"/>
      <c r="AN95" s="57">
        <v>1.0729577328907596</v>
      </c>
      <c r="AO95" s="57"/>
      <c r="AP95" s="57"/>
    </row>
    <row r="96" spans="1:42" ht="21" x14ac:dyDescent="0.35">
      <c r="A96" s="28">
        <v>285</v>
      </c>
      <c r="B96" s="67" t="s">
        <v>186</v>
      </c>
      <c r="C96" s="28">
        <v>300</v>
      </c>
      <c r="D96" s="19">
        <v>300</v>
      </c>
      <c r="E96" s="28">
        <v>300</v>
      </c>
      <c r="F96" s="28">
        <v>5.7</v>
      </c>
      <c r="G96" s="47">
        <v>5.7</v>
      </c>
      <c r="H96" s="28">
        <v>3.3</v>
      </c>
      <c r="I96" s="19">
        <v>0</v>
      </c>
      <c r="J96" s="19">
        <v>0</v>
      </c>
      <c r="K96" s="19">
        <f t="shared" si="13"/>
        <v>900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4"/>
        <v>1</v>
      </c>
      <c r="Z96" s="19">
        <f t="shared" si="15"/>
        <v>0</v>
      </c>
      <c r="AA96" s="19">
        <f t="shared" si="16"/>
        <v>0</v>
      </c>
      <c r="AB96" s="29">
        <f t="shared" si="17"/>
        <v>475.83986311674261</v>
      </c>
      <c r="AC96" s="29">
        <f t="shared" si="9"/>
        <v>0</v>
      </c>
      <c r="AD96" s="29">
        <f t="shared" si="10"/>
        <v>0</v>
      </c>
      <c r="AE96" s="28">
        <v>20</v>
      </c>
      <c r="AF96" s="46">
        <v>355</v>
      </c>
      <c r="AG96" s="28">
        <v>210000</v>
      </c>
      <c r="AH96" s="29">
        <v>1665.4395209085992</v>
      </c>
      <c r="AI96" s="29">
        <v>0</v>
      </c>
      <c r="AJ96" s="30">
        <v>0</v>
      </c>
      <c r="AK96" s="57">
        <f t="shared" si="11"/>
        <v>0.9</v>
      </c>
      <c r="AL96" s="57">
        <f t="shared" si="12"/>
        <v>1.5</v>
      </c>
      <c r="AM96" s="60"/>
      <c r="AN96" s="57">
        <v>1.0729577328907596</v>
      </c>
      <c r="AO96" s="57"/>
      <c r="AP96" s="57"/>
    </row>
    <row r="97" spans="1:42" ht="21" x14ac:dyDescent="0.35">
      <c r="A97" s="28">
        <v>286</v>
      </c>
      <c r="B97" s="67" t="s">
        <v>187</v>
      </c>
      <c r="C97" s="28">
        <v>300</v>
      </c>
      <c r="D97" s="19">
        <v>300</v>
      </c>
      <c r="E97" s="28">
        <v>300</v>
      </c>
      <c r="F97" s="28">
        <v>5.7</v>
      </c>
      <c r="G97" s="47">
        <v>5.7</v>
      </c>
      <c r="H97" s="28">
        <v>3.3</v>
      </c>
      <c r="I97" s="19">
        <v>0</v>
      </c>
      <c r="J97" s="19">
        <v>0</v>
      </c>
      <c r="K97" s="19">
        <f t="shared" si="13"/>
        <v>900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4"/>
        <v>1</v>
      </c>
      <c r="Z97" s="19">
        <f t="shared" si="15"/>
        <v>0</v>
      </c>
      <c r="AA97" s="19">
        <f t="shared" si="16"/>
        <v>0</v>
      </c>
      <c r="AB97" s="29">
        <f t="shared" si="17"/>
        <v>475.83986311674261</v>
      </c>
      <c r="AC97" s="29">
        <f t="shared" si="9"/>
        <v>0</v>
      </c>
      <c r="AD97" s="29">
        <f t="shared" si="10"/>
        <v>0</v>
      </c>
      <c r="AE97" s="28">
        <v>20</v>
      </c>
      <c r="AF97" s="46">
        <v>355</v>
      </c>
      <c r="AG97" s="28">
        <v>210000</v>
      </c>
      <c r="AH97" s="29">
        <v>1665.4395209085992</v>
      </c>
      <c r="AI97" s="29">
        <v>0</v>
      </c>
      <c r="AJ97" s="30">
        <v>0</v>
      </c>
      <c r="AK97" s="57">
        <f t="shared" si="11"/>
        <v>0.9</v>
      </c>
      <c r="AL97" s="57">
        <f t="shared" si="12"/>
        <v>1.5</v>
      </c>
      <c r="AM97" s="60"/>
      <c r="AN97" s="57">
        <v>1.0729577328907596</v>
      </c>
      <c r="AO97" s="57"/>
      <c r="AP97" s="57"/>
    </row>
    <row r="98" spans="1:42" ht="21" x14ac:dyDescent="0.35">
      <c r="A98" s="28">
        <v>287</v>
      </c>
      <c r="B98" s="67" t="s">
        <v>188</v>
      </c>
      <c r="C98" s="28">
        <v>300</v>
      </c>
      <c r="D98" s="19">
        <v>300</v>
      </c>
      <c r="E98" s="28">
        <v>300</v>
      </c>
      <c r="F98" s="28">
        <v>5.7</v>
      </c>
      <c r="G98" s="47">
        <v>5.7</v>
      </c>
      <c r="H98" s="28">
        <v>3.3</v>
      </c>
      <c r="I98" s="19">
        <v>0</v>
      </c>
      <c r="J98" s="19">
        <v>0</v>
      </c>
      <c r="K98" s="19">
        <f t="shared" si="13"/>
        <v>900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4"/>
        <v>1</v>
      </c>
      <c r="Z98" s="19">
        <f t="shared" si="15"/>
        <v>0</v>
      </c>
      <c r="AA98" s="19">
        <f t="shared" si="16"/>
        <v>0</v>
      </c>
      <c r="AB98" s="29">
        <f t="shared" si="17"/>
        <v>475.83986311674261</v>
      </c>
      <c r="AC98" s="29">
        <f t="shared" si="9"/>
        <v>0</v>
      </c>
      <c r="AD98" s="29">
        <f t="shared" si="10"/>
        <v>0</v>
      </c>
      <c r="AE98" s="28">
        <v>20</v>
      </c>
      <c r="AF98" s="46">
        <v>355</v>
      </c>
      <c r="AG98" s="28">
        <v>210000</v>
      </c>
      <c r="AH98" s="29">
        <v>1665.4395209085992</v>
      </c>
      <c r="AI98" s="29">
        <v>0</v>
      </c>
      <c r="AJ98" s="30">
        <v>0</v>
      </c>
      <c r="AK98" s="57">
        <f t="shared" si="11"/>
        <v>0.9</v>
      </c>
      <c r="AL98" s="57">
        <f t="shared" si="12"/>
        <v>1.5</v>
      </c>
      <c r="AM98" s="60"/>
      <c r="AN98" s="57">
        <v>1.0729577328907596</v>
      </c>
      <c r="AO98" s="57"/>
      <c r="AP98" s="57"/>
    </row>
    <row r="99" spans="1:42" ht="21" x14ac:dyDescent="0.35">
      <c r="A99" s="28">
        <v>288</v>
      </c>
      <c r="B99" s="67" t="s">
        <v>189</v>
      </c>
      <c r="C99" s="81">
        <v>300</v>
      </c>
      <c r="D99" s="82">
        <v>300</v>
      </c>
      <c r="E99" s="81">
        <v>300</v>
      </c>
      <c r="F99" s="81">
        <v>5.7</v>
      </c>
      <c r="G99" s="82">
        <v>5.7</v>
      </c>
      <c r="H99" s="81">
        <v>3.3</v>
      </c>
      <c r="I99" s="82">
        <v>0</v>
      </c>
      <c r="J99" s="82">
        <v>0</v>
      </c>
      <c r="K99" s="82">
        <f t="shared" si="13"/>
        <v>900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83">
        <v>3</v>
      </c>
      <c r="U99" s="84" t="s">
        <v>48</v>
      </c>
      <c r="V99" s="82">
        <v>1</v>
      </c>
      <c r="W99" s="81">
        <v>1</v>
      </c>
      <c r="X99" s="81">
        <v>0</v>
      </c>
      <c r="Y99" s="82">
        <f t="shared" si="14"/>
        <v>1</v>
      </c>
      <c r="Z99" s="82">
        <f t="shared" si="15"/>
        <v>0</v>
      </c>
      <c r="AA99" s="82">
        <f t="shared" si="16"/>
        <v>0</v>
      </c>
      <c r="AB99" s="85">
        <f t="shared" si="17"/>
        <v>475.83986311674261</v>
      </c>
      <c r="AC99" s="85">
        <f t="shared" si="9"/>
        <v>0</v>
      </c>
      <c r="AD99" s="85">
        <f t="shared" si="10"/>
        <v>0</v>
      </c>
      <c r="AE99" s="81">
        <v>20</v>
      </c>
      <c r="AF99" s="46">
        <v>355</v>
      </c>
      <c r="AG99" s="81">
        <v>210000</v>
      </c>
      <c r="AH99" s="85">
        <v>1665.4395209085992</v>
      </c>
      <c r="AI99" s="85">
        <v>0</v>
      </c>
      <c r="AJ99" s="86">
        <v>0</v>
      </c>
      <c r="AK99" s="57">
        <f t="shared" si="11"/>
        <v>0.9</v>
      </c>
      <c r="AL99" s="57">
        <f t="shared" si="12"/>
        <v>1.5</v>
      </c>
      <c r="AM99" s="60"/>
      <c r="AN99" s="57">
        <v>1.0729577328907596</v>
      </c>
      <c r="AO99" s="57"/>
      <c r="AP99" s="57"/>
    </row>
    <row r="100" spans="1:42" ht="21" x14ac:dyDescent="0.35">
      <c r="A100" s="94"/>
      <c r="B100" s="101"/>
      <c r="C100" s="28"/>
      <c r="D100" s="19"/>
      <c r="E100" s="102"/>
      <c r="F100" s="102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2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1"/>
      <c r="C101" s="28"/>
      <c r="D101" s="19"/>
      <c r="E101" s="102"/>
      <c r="F101" s="102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2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1"/>
      <c r="C102" s="28"/>
      <c r="D102" s="19"/>
      <c r="E102" s="102"/>
      <c r="F102" s="102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2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1"/>
      <c r="C103" s="28"/>
      <c r="D103" s="19"/>
      <c r="E103" s="102"/>
      <c r="F103" s="102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2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1"/>
      <c r="C104" s="28"/>
      <c r="D104" s="19"/>
      <c r="E104" s="102"/>
      <c r="F104" s="102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2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1"/>
      <c r="C105" s="28"/>
      <c r="D105" s="19"/>
      <c r="E105" s="102"/>
      <c r="F105" s="102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2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1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7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8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295275</xdr:rowOff>
              </from>
              <to>
                <xdr:col>47</xdr:col>
                <xdr:colOff>676275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2026-05-12T18:04:52Z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