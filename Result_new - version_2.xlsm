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1255947B-7484-49D5-90E0-D0D7EE9AD30A}" xr6:coauthVersionLast="47" xr6:coauthVersionMax="47" xr10:uidLastSave="{00000000-0000-0000-0000-000000000000}"/>
  <bookViews>
    <workbookView xWindow="19090" yWindow="-1280" windowWidth="25820" windowHeight="13900" activeTab="1" xr2:uid="{00000000-000D-0000-FFFF-FFFF00000000}"/>
  </bookViews>
  <sheets>
    <sheet name="Local and Global" sheetId="27" r:id="rId1"/>
    <sheet name="Global Only" sheetId="20" r:id="rId2"/>
    <sheet name="Global Only I" sheetId="31" r:id="rId3"/>
    <sheet name="HR_Local and Global" sheetId="22" r:id="rId4"/>
    <sheet name="HR_Global Only" sheetId="23" r:id="rId5"/>
    <sheet name="Sheet1" sheetId="19" r:id="rId6"/>
    <sheet name="Local" sheetId="24" r:id="rId7"/>
    <sheet name="Sheet2" sheetId="25" r:id="rId8"/>
    <sheet name="curves" sheetId="26" r:id="rId9"/>
    <sheet name="Sheet3" sheetId="28" r:id="rId10"/>
  </sheets>
  <externalReferences>
    <externalReference r:id="rId11"/>
  </externalReferences>
  <definedNames>
    <definedName name="_xlnm._FilterDatabase" localSheetId="1" hidden="1">'Global Only'!$A$1:$AL$294</definedName>
    <definedName name="_xlnm._FilterDatabase" localSheetId="2" hidden="1">'Global Only I'!$A$1:$AL$53</definedName>
  </definedName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38" i="31" l="1"/>
  <c r="V38" i="31"/>
  <c r="AQ22" i="20"/>
  <c r="V43" i="20"/>
  <c r="P95" i="23"/>
  <c r="AI95" i="23"/>
  <c r="AP95" i="23"/>
  <c r="P96" i="23"/>
  <c r="AI96" i="23"/>
  <c r="AP96" i="23"/>
  <c r="P94" i="23"/>
  <c r="AI94" i="23"/>
  <c r="AP94" i="23"/>
  <c r="P87" i="23"/>
  <c r="AI87" i="23"/>
  <c r="AP87" i="23"/>
  <c r="P86" i="23"/>
  <c r="AI86" i="23"/>
  <c r="AP86" i="23"/>
  <c r="P79" i="23"/>
  <c r="AI79" i="23"/>
  <c r="AP79" i="23"/>
  <c r="P78" i="23"/>
  <c r="AI78" i="23"/>
  <c r="AP78" i="23"/>
  <c r="P71" i="23"/>
  <c r="AI71" i="23"/>
  <c r="AP71" i="23"/>
  <c r="P70" i="23"/>
  <c r="AI70" i="23"/>
  <c r="AP70" i="23"/>
  <c r="P62" i="23"/>
  <c r="AI62" i="23"/>
  <c r="AP62" i="23"/>
  <c r="P54" i="23"/>
  <c r="AI54" i="23"/>
  <c r="AP54" i="23"/>
  <c r="P47" i="23"/>
  <c r="AI47" i="23"/>
  <c r="AP47" i="23"/>
  <c r="P46" i="23"/>
  <c r="AI46" i="23"/>
  <c r="AP46" i="23"/>
  <c r="P39" i="23"/>
  <c r="AI39" i="23"/>
  <c r="AP39" i="23"/>
  <c r="P38" i="23"/>
  <c r="AI38" i="23"/>
  <c r="AP38" i="23"/>
  <c r="P30" i="23"/>
  <c r="AI30" i="23"/>
  <c r="AP30" i="23"/>
  <c r="P22" i="23"/>
  <c r="AI22" i="23"/>
  <c r="AP22" i="23"/>
  <c r="P14" i="23"/>
  <c r="AI14" i="23"/>
  <c r="AP14" i="23"/>
  <c r="P6" i="23"/>
  <c r="AI6" i="23"/>
  <c r="AP6" i="23"/>
  <c r="P7" i="23"/>
  <c r="AI7" i="23"/>
  <c r="AQ7" i="23"/>
  <c r="P8" i="23"/>
  <c r="AI8" i="23"/>
  <c r="AQ8" i="23"/>
  <c r="P9" i="23"/>
  <c r="AI9" i="23"/>
  <c r="AQ9" i="23"/>
  <c r="P10" i="23"/>
  <c r="AI10" i="23"/>
  <c r="AQ10" i="23"/>
  <c r="P11" i="23"/>
  <c r="AI11" i="23"/>
  <c r="AQ11" i="23"/>
  <c r="P12" i="23"/>
  <c r="AI12" i="23"/>
  <c r="AQ12" i="23"/>
  <c r="P13" i="23"/>
  <c r="AI13" i="23"/>
  <c r="AQ13" i="23"/>
  <c r="AQ14" i="23"/>
  <c r="P15" i="23"/>
  <c r="AI15" i="23"/>
  <c r="AQ15" i="23"/>
  <c r="P16" i="23"/>
  <c r="AI16" i="23"/>
  <c r="AQ16" i="23"/>
  <c r="P17" i="23"/>
  <c r="AI17" i="23"/>
  <c r="AQ17" i="23"/>
  <c r="P18" i="23"/>
  <c r="AI18" i="23"/>
  <c r="AQ18" i="23"/>
  <c r="P19" i="23"/>
  <c r="AI19" i="23"/>
  <c r="AQ19" i="23"/>
  <c r="P20" i="23"/>
  <c r="AI20" i="23"/>
  <c r="AQ20" i="23"/>
  <c r="P21" i="23"/>
  <c r="AI21" i="23"/>
  <c r="AQ21" i="23"/>
  <c r="AQ22" i="23"/>
  <c r="P23" i="23"/>
  <c r="AI23" i="23"/>
  <c r="AQ23" i="23"/>
  <c r="P24" i="23"/>
  <c r="AI24" i="23"/>
  <c r="AQ24" i="23"/>
  <c r="P25" i="23"/>
  <c r="AI25" i="23"/>
  <c r="AQ25" i="23"/>
  <c r="P26" i="23"/>
  <c r="AI26" i="23"/>
  <c r="AQ26" i="23"/>
  <c r="P27" i="23"/>
  <c r="AI27" i="23"/>
  <c r="AQ27" i="23"/>
  <c r="P28" i="23"/>
  <c r="AI28" i="23"/>
  <c r="AQ28" i="23"/>
  <c r="P29" i="23"/>
  <c r="AI29" i="23"/>
  <c r="AQ29" i="23"/>
  <c r="AQ30" i="23"/>
  <c r="P31" i="23"/>
  <c r="AI31" i="23"/>
  <c r="AQ31" i="23"/>
  <c r="P32" i="23"/>
  <c r="AI32" i="23"/>
  <c r="AQ32" i="23"/>
  <c r="P33" i="23"/>
  <c r="AI33" i="23"/>
  <c r="AQ33" i="23"/>
  <c r="P34" i="23"/>
  <c r="AI34" i="23"/>
  <c r="AQ34" i="23"/>
  <c r="P35" i="23"/>
  <c r="AI35" i="23"/>
  <c r="AQ35" i="23"/>
  <c r="P36" i="23"/>
  <c r="AI36" i="23"/>
  <c r="AQ36" i="23"/>
  <c r="P37" i="23"/>
  <c r="AI37" i="23"/>
  <c r="AQ37" i="23"/>
  <c r="AQ38" i="23"/>
  <c r="AQ39" i="23"/>
  <c r="P40" i="23"/>
  <c r="AI40" i="23"/>
  <c r="AQ40" i="23"/>
  <c r="P41" i="23"/>
  <c r="AI41" i="23"/>
  <c r="AQ41" i="23"/>
  <c r="P42" i="23"/>
  <c r="AI42" i="23"/>
  <c r="AQ42" i="23"/>
  <c r="P43" i="23"/>
  <c r="AI43" i="23"/>
  <c r="AQ43" i="23"/>
  <c r="P44" i="23"/>
  <c r="AI44" i="23"/>
  <c r="AQ44" i="23"/>
  <c r="P45" i="23"/>
  <c r="AI45" i="23"/>
  <c r="AQ45" i="23"/>
  <c r="AQ46" i="23"/>
  <c r="AQ47" i="23"/>
  <c r="P48" i="23"/>
  <c r="AI48" i="23"/>
  <c r="AQ48" i="23"/>
  <c r="P49" i="23"/>
  <c r="AI49" i="23"/>
  <c r="AQ49" i="23"/>
  <c r="P50" i="23"/>
  <c r="AI50" i="23"/>
  <c r="AQ50" i="23"/>
  <c r="P51" i="23"/>
  <c r="AI51" i="23"/>
  <c r="AQ51" i="23"/>
  <c r="P52" i="23"/>
  <c r="AI52" i="23"/>
  <c r="AQ52" i="23"/>
  <c r="P53" i="23"/>
  <c r="AI53" i="23"/>
  <c r="AQ53" i="23"/>
  <c r="AQ54" i="23"/>
  <c r="P55" i="23"/>
  <c r="AI55" i="23"/>
  <c r="AQ55" i="23"/>
  <c r="P56" i="23"/>
  <c r="AI56" i="23"/>
  <c r="AQ56" i="23"/>
  <c r="P57" i="23"/>
  <c r="AI57" i="23"/>
  <c r="AQ57" i="23"/>
  <c r="P58" i="23"/>
  <c r="AI58" i="23"/>
  <c r="AQ58" i="23"/>
  <c r="P59" i="23"/>
  <c r="AI59" i="23"/>
  <c r="AQ59" i="23"/>
  <c r="P60" i="23"/>
  <c r="AI60" i="23"/>
  <c r="AQ60" i="23"/>
  <c r="P61" i="23"/>
  <c r="AI61" i="23"/>
  <c r="AQ61" i="23"/>
  <c r="AQ62" i="23"/>
  <c r="P63" i="23"/>
  <c r="AI63" i="23"/>
  <c r="AQ63" i="23"/>
  <c r="P64" i="23"/>
  <c r="AI64" i="23"/>
  <c r="AQ64" i="23"/>
  <c r="P65" i="23"/>
  <c r="AI65" i="23"/>
  <c r="AQ65" i="23"/>
  <c r="P66" i="23"/>
  <c r="AI66" i="23"/>
  <c r="AQ66" i="23"/>
  <c r="P67" i="23"/>
  <c r="AI67" i="23"/>
  <c r="AQ67" i="23"/>
  <c r="P68" i="23"/>
  <c r="AI68" i="23"/>
  <c r="AQ68" i="23"/>
  <c r="P69" i="23"/>
  <c r="AI69" i="23"/>
  <c r="AQ69" i="23"/>
  <c r="AQ70" i="23"/>
  <c r="AQ71" i="23"/>
  <c r="P72" i="23"/>
  <c r="AI72" i="23"/>
  <c r="AQ72" i="23"/>
  <c r="P73" i="23"/>
  <c r="AI73" i="23"/>
  <c r="AQ73" i="23"/>
  <c r="P74" i="23"/>
  <c r="AI74" i="23"/>
  <c r="AQ74" i="23"/>
  <c r="P75" i="23"/>
  <c r="AI75" i="23"/>
  <c r="AQ75" i="23"/>
  <c r="P76" i="23"/>
  <c r="AI76" i="23"/>
  <c r="AQ76" i="23"/>
  <c r="P77" i="23"/>
  <c r="AI77" i="23"/>
  <c r="AQ77" i="23"/>
  <c r="AQ78" i="23"/>
  <c r="AQ79" i="23"/>
  <c r="P80" i="23"/>
  <c r="AI80" i="23"/>
  <c r="AQ80" i="23"/>
  <c r="P81" i="23"/>
  <c r="AI81" i="23"/>
  <c r="AQ81" i="23"/>
  <c r="P82" i="23"/>
  <c r="AI82" i="23"/>
  <c r="AQ82" i="23"/>
  <c r="P83" i="23"/>
  <c r="AI83" i="23"/>
  <c r="AQ83" i="23"/>
  <c r="P84" i="23"/>
  <c r="AI84" i="23"/>
  <c r="AQ84" i="23"/>
  <c r="P85" i="23"/>
  <c r="AI85" i="23"/>
  <c r="AQ85" i="23"/>
  <c r="AQ86" i="23"/>
  <c r="AQ87" i="23"/>
  <c r="P88" i="23"/>
  <c r="AI88" i="23"/>
  <c r="AQ88" i="23"/>
  <c r="P89" i="23"/>
  <c r="AI89" i="23"/>
  <c r="AQ89" i="23"/>
  <c r="P90" i="23"/>
  <c r="AI90" i="23"/>
  <c r="AQ90" i="23"/>
  <c r="P91" i="23"/>
  <c r="AI91" i="23"/>
  <c r="AQ91" i="23"/>
  <c r="P92" i="23"/>
  <c r="AI92" i="23"/>
  <c r="AQ92" i="23"/>
  <c r="P93" i="23"/>
  <c r="AI93" i="23"/>
  <c r="AQ93" i="23"/>
  <c r="AQ94" i="23"/>
  <c r="AQ95" i="23"/>
  <c r="AQ96" i="23"/>
  <c r="P97" i="23"/>
  <c r="AI97" i="23"/>
  <c r="AQ97" i="23"/>
  <c r="P98" i="23"/>
  <c r="AI98" i="23"/>
  <c r="AQ98" i="23"/>
  <c r="P99" i="23"/>
  <c r="AI99" i="23"/>
  <c r="AQ99" i="23"/>
  <c r="P100" i="23"/>
  <c r="AI100" i="23"/>
  <c r="AQ100" i="23"/>
  <c r="P101" i="23"/>
  <c r="AI101" i="23"/>
  <c r="AQ101" i="23"/>
  <c r="AQ6" i="23"/>
  <c r="AN95" i="20"/>
  <c r="AN96" i="20"/>
  <c r="AN97" i="20"/>
  <c r="AN94" i="20"/>
  <c r="AN89" i="20"/>
  <c r="AN87" i="20"/>
  <c r="AN88" i="20"/>
  <c r="AN86" i="20"/>
  <c r="AN80" i="20"/>
  <c r="AN79" i="20"/>
  <c r="AN78" i="20"/>
  <c r="AN71" i="20"/>
  <c r="AN70" i="20"/>
  <c r="AN50" i="20"/>
  <c r="AN48" i="20"/>
  <c r="AN49" i="20"/>
  <c r="AN47" i="20"/>
  <c r="AQ7" i="20"/>
  <c r="AQ8" i="20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42" i="20"/>
  <c r="AQ43" i="20"/>
  <c r="AQ44" i="20"/>
  <c r="AQ45" i="20"/>
  <c r="AQ46" i="20"/>
  <c r="AQ47" i="20"/>
  <c r="AQ48" i="20"/>
  <c r="AQ49" i="20"/>
  <c r="AQ50" i="20"/>
  <c r="AQ51" i="20"/>
  <c r="AQ52" i="20"/>
  <c r="AQ53" i="20"/>
  <c r="AQ54" i="20"/>
  <c r="AQ55" i="20"/>
  <c r="AQ56" i="20"/>
  <c r="AQ57" i="20"/>
  <c r="AQ58" i="20"/>
  <c r="AQ59" i="20"/>
  <c r="AQ60" i="20"/>
  <c r="AQ61" i="20"/>
  <c r="AQ62" i="20"/>
  <c r="AQ63" i="20"/>
  <c r="AQ64" i="20"/>
  <c r="AQ65" i="20"/>
  <c r="AQ66" i="20"/>
  <c r="AQ67" i="20"/>
  <c r="AQ68" i="20"/>
  <c r="AQ69" i="20"/>
  <c r="AQ70" i="20"/>
  <c r="AQ71" i="20"/>
  <c r="AQ72" i="20"/>
  <c r="AQ73" i="20"/>
  <c r="AQ74" i="20"/>
  <c r="AQ75" i="20"/>
  <c r="AQ76" i="20"/>
  <c r="AQ77" i="20"/>
  <c r="AQ78" i="20"/>
  <c r="AQ79" i="20"/>
  <c r="AQ80" i="20"/>
  <c r="AQ81" i="20"/>
  <c r="AQ82" i="20"/>
  <c r="AQ83" i="20"/>
  <c r="AQ84" i="20"/>
  <c r="AQ85" i="20"/>
  <c r="AQ86" i="20"/>
  <c r="AQ87" i="20"/>
  <c r="AQ88" i="20"/>
  <c r="AQ89" i="20"/>
  <c r="AQ90" i="20"/>
  <c r="AQ91" i="20"/>
  <c r="AQ92" i="20"/>
  <c r="AQ93" i="20"/>
  <c r="AQ94" i="20"/>
  <c r="AQ95" i="20"/>
  <c r="AQ96" i="20"/>
  <c r="AQ97" i="20"/>
  <c r="AQ98" i="20"/>
  <c r="AQ99" i="20"/>
  <c r="AQ100" i="20"/>
  <c r="AQ101" i="20"/>
  <c r="AQ6" i="20"/>
  <c r="P103" i="20"/>
  <c r="AI103" i="20"/>
  <c r="AQ103" i="20"/>
  <c r="P104" i="20"/>
  <c r="AI104" i="20"/>
  <c r="AQ104" i="20"/>
  <c r="P105" i="20"/>
  <c r="AI105" i="20"/>
  <c r="AQ105" i="20"/>
  <c r="P106" i="20"/>
  <c r="AI106" i="20"/>
  <c r="AQ106" i="20"/>
  <c r="P107" i="20"/>
  <c r="AI107" i="20"/>
  <c r="AQ107" i="20"/>
  <c r="P108" i="20"/>
  <c r="AI108" i="20"/>
  <c r="AQ108" i="20"/>
  <c r="P109" i="20"/>
  <c r="AI109" i="20"/>
  <c r="AQ109" i="20"/>
  <c r="P110" i="20"/>
  <c r="AI110" i="20"/>
  <c r="AQ110" i="20"/>
  <c r="P111" i="20"/>
  <c r="AI111" i="20"/>
  <c r="AQ111" i="20"/>
  <c r="P112" i="20"/>
  <c r="AI112" i="20"/>
  <c r="AQ112" i="20"/>
  <c r="P113" i="20"/>
  <c r="AI113" i="20"/>
  <c r="AQ113" i="20"/>
  <c r="P114" i="20"/>
  <c r="AI114" i="20"/>
  <c r="AQ114" i="20"/>
  <c r="P115" i="20"/>
  <c r="AI115" i="20"/>
  <c r="AQ115" i="20"/>
  <c r="P116" i="20"/>
  <c r="AI116" i="20"/>
  <c r="AQ116" i="20"/>
  <c r="P117" i="20"/>
  <c r="AI117" i="20"/>
  <c r="AQ117" i="20"/>
  <c r="P118" i="20"/>
  <c r="AI118" i="20"/>
  <c r="AQ118" i="20"/>
  <c r="P119" i="20"/>
  <c r="AI119" i="20"/>
  <c r="AQ119" i="20"/>
  <c r="P120" i="20"/>
  <c r="AI120" i="20"/>
  <c r="AQ120" i="20"/>
  <c r="P121" i="20"/>
  <c r="AI121" i="20"/>
  <c r="AQ121" i="20"/>
  <c r="P122" i="20"/>
  <c r="AI122" i="20"/>
  <c r="AQ122" i="20"/>
  <c r="P123" i="20"/>
  <c r="AI123" i="20"/>
  <c r="AQ123" i="20"/>
  <c r="P124" i="20"/>
  <c r="AI124" i="20"/>
  <c r="AQ124" i="20"/>
  <c r="P125" i="20"/>
  <c r="AI125" i="20"/>
  <c r="AQ125" i="20"/>
  <c r="P126" i="20"/>
  <c r="AI126" i="20"/>
  <c r="AQ126" i="20"/>
  <c r="P127" i="20"/>
  <c r="AI127" i="20"/>
  <c r="AQ127" i="20"/>
  <c r="P128" i="20"/>
  <c r="AI128" i="20"/>
  <c r="AQ128" i="20"/>
  <c r="P129" i="20"/>
  <c r="AI129" i="20"/>
  <c r="AQ129" i="20"/>
  <c r="P130" i="20"/>
  <c r="AI130" i="20"/>
  <c r="AQ130" i="20"/>
  <c r="P131" i="20"/>
  <c r="AI131" i="20"/>
  <c r="AQ131" i="20"/>
  <c r="P132" i="20"/>
  <c r="AI132" i="20"/>
  <c r="AQ132" i="20"/>
  <c r="P133" i="20"/>
  <c r="AI133" i="20"/>
  <c r="AQ133" i="20"/>
  <c r="P134" i="20"/>
  <c r="AI134" i="20"/>
  <c r="AQ134" i="20"/>
  <c r="P135" i="20"/>
  <c r="AI135" i="20"/>
  <c r="AQ135" i="20"/>
  <c r="P136" i="20"/>
  <c r="AI136" i="20"/>
  <c r="AQ136" i="20"/>
  <c r="P137" i="20"/>
  <c r="AI137" i="20"/>
  <c r="AQ137" i="20"/>
  <c r="P138" i="20"/>
  <c r="AI138" i="20"/>
  <c r="AQ138" i="20"/>
  <c r="P139" i="20"/>
  <c r="AI139" i="20"/>
  <c r="AQ139" i="20"/>
  <c r="P140" i="20"/>
  <c r="AI140" i="20"/>
  <c r="AQ140" i="20"/>
  <c r="P141" i="20"/>
  <c r="AI141" i="20"/>
  <c r="AQ141" i="20"/>
  <c r="P142" i="20"/>
  <c r="AI142" i="20"/>
  <c r="AQ142" i="20"/>
  <c r="P143" i="20"/>
  <c r="AI143" i="20"/>
  <c r="AQ143" i="20"/>
  <c r="P144" i="20"/>
  <c r="AI144" i="20"/>
  <c r="AQ144" i="20"/>
  <c r="P145" i="20"/>
  <c r="AI145" i="20"/>
  <c r="AQ145" i="20"/>
  <c r="P146" i="20"/>
  <c r="AI146" i="20"/>
  <c r="AQ146" i="20"/>
  <c r="P147" i="20"/>
  <c r="AI147" i="20"/>
  <c r="AQ147" i="20"/>
  <c r="P148" i="20"/>
  <c r="AI148" i="20"/>
  <c r="AQ148" i="20"/>
  <c r="P149" i="20"/>
  <c r="AI149" i="20"/>
  <c r="AQ149" i="20"/>
  <c r="P150" i="20"/>
  <c r="AI150" i="20"/>
  <c r="AQ150" i="20"/>
  <c r="P151" i="20"/>
  <c r="AI151" i="20"/>
  <c r="AQ151" i="20"/>
  <c r="P152" i="20"/>
  <c r="AI152" i="20"/>
  <c r="AQ152" i="20"/>
  <c r="P153" i="20"/>
  <c r="AI153" i="20"/>
  <c r="AQ153" i="20"/>
  <c r="P154" i="20"/>
  <c r="AI154" i="20"/>
  <c r="AQ154" i="20"/>
  <c r="P155" i="20"/>
  <c r="AI155" i="20"/>
  <c r="AQ155" i="20"/>
  <c r="P156" i="20"/>
  <c r="AI156" i="20"/>
  <c r="AQ156" i="20"/>
  <c r="P157" i="20"/>
  <c r="AI157" i="20"/>
  <c r="AQ157" i="20"/>
  <c r="P158" i="20"/>
  <c r="AI158" i="20"/>
  <c r="AQ158" i="20"/>
  <c r="P159" i="20"/>
  <c r="AI159" i="20"/>
  <c r="AQ159" i="20"/>
  <c r="P160" i="20"/>
  <c r="AI160" i="20"/>
  <c r="AQ160" i="20"/>
  <c r="P161" i="20"/>
  <c r="AI161" i="20"/>
  <c r="AQ161" i="20"/>
  <c r="P162" i="20"/>
  <c r="AI162" i="20"/>
  <c r="AQ162" i="20"/>
  <c r="P163" i="20"/>
  <c r="AI163" i="20"/>
  <c r="AQ163" i="20"/>
  <c r="P164" i="20"/>
  <c r="AI164" i="20"/>
  <c r="AQ164" i="20"/>
  <c r="P165" i="20"/>
  <c r="AI165" i="20"/>
  <c r="AQ165" i="20"/>
  <c r="P166" i="20"/>
  <c r="AI166" i="20"/>
  <c r="AQ166" i="20"/>
  <c r="P167" i="20"/>
  <c r="AI167" i="20"/>
  <c r="AQ167" i="20"/>
  <c r="P168" i="20"/>
  <c r="AI168" i="20"/>
  <c r="AQ168" i="20"/>
  <c r="P169" i="20"/>
  <c r="AI169" i="20"/>
  <c r="AQ169" i="20"/>
  <c r="P170" i="20"/>
  <c r="AI170" i="20"/>
  <c r="AQ170" i="20"/>
  <c r="P171" i="20"/>
  <c r="AI171" i="20"/>
  <c r="AQ171" i="20"/>
  <c r="P172" i="20"/>
  <c r="AI172" i="20"/>
  <c r="AQ172" i="20"/>
  <c r="P173" i="20"/>
  <c r="AI173" i="20"/>
  <c r="AQ173" i="20"/>
  <c r="P174" i="20"/>
  <c r="AI174" i="20"/>
  <c r="AQ174" i="20"/>
  <c r="P175" i="20"/>
  <c r="AI175" i="20"/>
  <c r="AQ175" i="20"/>
  <c r="P176" i="20"/>
  <c r="AI176" i="20"/>
  <c r="AQ176" i="20"/>
  <c r="P177" i="20"/>
  <c r="AI177" i="20"/>
  <c r="AQ177" i="20"/>
  <c r="P178" i="20"/>
  <c r="AI178" i="20"/>
  <c r="AQ178" i="20"/>
  <c r="P179" i="20"/>
  <c r="AI179" i="20"/>
  <c r="AQ179" i="20"/>
  <c r="P180" i="20"/>
  <c r="AI180" i="20"/>
  <c r="AQ180" i="20"/>
  <c r="P181" i="20"/>
  <c r="AI181" i="20"/>
  <c r="AQ181" i="20"/>
  <c r="P182" i="20"/>
  <c r="AI182" i="20"/>
  <c r="AQ182" i="20"/>
  <c r="P183" i="20"/>
  <c r="AI183" i="20"/>
  <c r="AQ183" i="20"/>
  <c r="P184" i="20"/>
  <c r="AI184" i="20"/>
  <c r="AQ184" i="20"/>
  <c r="P185" i="20"/>
  <c r="AI185" i="20"/>
  <c r="AQ185" i="20"/>
  <c r="P186" i="20"/>
  <c r="AI186" i="20"/>
  <c r="AQ186" i="20"/>
  <c r="P187" i="20"/>
  <c r="AI187" i="20"/>
  <c r="AQ187" i="20"/>
  <c r="P188" i="20"/>
  <c r="AI188" i="20"/>
  <c r="AQ188" i="20"/>
  <c r="P189" i="20"/>
  <c r="AI189" i="20"/>
  <c r="AQ189" i="20"/>
  <c r="P190" i="20"/>
  <c r="AI190" i="20"/>
  <c r="AQ190" i="20"/>
  <c r="P191" i="20"/>
  <c r="AI191" i="20"/>
  <c r="AQ191" i="20"/>
  <c r="P192" i="20"/>
  <c r="AI192" i="20"/>
  <c r="AQ192" i="20"/>
  <c r="P193" i="20"/>
  <c r="AI193" i="20"/>
  <c r="AQ193" i="20"/>
  <c r="P194" i="20"/>
  <c r="AI194" i="20"/>
  <c r="AQ194" i="20"/>
  <c r="P195" i="20"/>
  <c r="AI195" i="20"/>
  <c r="AQ195" i="20"/>
  <c r="P196" i="20"/>
  <c r="AI196" i="20"/>
  <c r="AQ196" i="20"/>
  <c r="P197" i="20"/>
  <c r="AI197" i="20"/>
  <c r="AQ197" i="20"/>
  <c r="P102" i="20"/>
  <c r="AI102" i="20"/>
  <c r="AQ102" i="20"/>
  <c r="V53" i="31"/>
  <c r="AK53" i="31"/>
  <c r="AJ53" i="31"/>
  <c r="AG53" i="31"/>
  <c r="Y53" i="31"/>
  <c r="V52" i="31"/>
  <c r="AK52" i="31"/>
  <c r="AJ52" i="31"/>
  <c r="AG52" i="31"/>
  <c r="Y52" i="31"/>
  <c r="V51" i="31"/>
  <c r="AK51" i="31"/>
  <c r="AJ51" i="31"/>
  <c r="AG51" i="31"/>
  <c r="Y51" i="31"/>
  <c r="V50" i="31"/>
  <c r="AK50" i="31"/>
  <c r="AJ50" i="31"/>
  <c r="AG50" i="31"/>
  <c r="Y50" i="31"/>
  <c r="V49" i="31"/>
  <c r="AK49" i="31"/>
  <c r="AJ49" i="31"/>
  <c r="AG49" i="31"/>
  <c r="Y49" i="31"/>
  <c r="V48" i="31"/>
  <c r="AK48" i="31"/>
  <c r="AJ48" i="31"/>
  <c r="AG48" i="31"/>
  <c r="Y48" i="31"/>
  <c r="V47" i="31"/>
  <c r="AK47" i="31"/>
  <c r="AJ47" i="31"/>
  <c r="AG47" i="31"/>
  <c r="Y47" i="31"/>
  <c r="V46" i="31"/>
  <c r="AK46" i="31"/>
  <c r="AJ46" i="31"/>
  <c r="AG46" i="31"/>
  <c r="Y46" i="31"/>
  <c r="V45" i="31"/>
  <c r="AK45" i="31"/>
  <c r="AJ45" i="31"/>
  <c r="AG45" i="31"/>
  <c r="Y45" i="31"/>
  <c r="V44" i="31"/>
  <c r="AK44" i="31"/>
  <c r="AJ44" i="31"/>
  <c r="AG44" i="31"/>
  <c r="Y44" i="31"/>
  <c r="V43" i="31"/>
  <c r="AK43" i="31"/>
  <c r="AJ43" i="31"/>
  <c r="AG43" i="31"/>
  <c r="Y43" i="31"/>
  <c r="V42" i="31"/>
  <c r="AK42" i="31"/>
  <c r="AJ42" i="31"/>
  <c r="AG42" i="31"/>
  <c r="Y42" i="31"/>
  <c r="V41" i="31"/>
  <c r="AK41" i="31"/>
  <c r="AJ41" i="31"/>
  <c r="AG41" i="31"/>
  <c r="Y41" i="31"/>
  <c r="V40" i="31"/>
  <c r="AK40" i="31"/>
  <c r="AJ40" i="31"/>
  <c r="AG40" i="31"/>
  <c r="Y40" i="31"/>
  <c r="V39" i="31"/>
  <c r="AK39" i="31"/>
  <c r="AJ39" i="31"/>
  <c r="AG39" i="31"/>
  <c r="Y39" i="31"/>
  <c r="AK38" i="31"/>
  <c r="AG38" i="31"/>
  <c r="Y38" i="31"/>
  <c r="V37" i="31"/>
  <c r="AK37" i="31"/>
  <c r="AJ37" i="31"/>
  <c r="AG37" i="31"/>
  <c r="Y37" i="31"/>
  <c r="V36" i="31"/>
  <c r="AK36" i="31"/>
  <c r="AJ36" i="31"/>
  <c r="AG36" i="31"/>
  <c r="Y36" i="31"/>
  <c r="V35" i="31"/>
  <c r="AK35" i="31"/>
  <c r="AJ35" i="31"/>
  <c r="AG35" i="31"/>
  <c r="Y35" i="31"/>
  <c r="V34" i="31"/>
  <c r="AK34" i="31"/>
  <c r="AJ34" i="31"/>
  <c r="AG34" i="31"/>
  <c r="Y34" i="31"/>
  <c r="V33" i="31"/>
  <c r="AK33" i="31"/>
  <c r="AJ33" i="31"/>
  <c r="AG33" i="31"/>
  <c r="Y33" i="31"/>
  <c r="V32" i="31"/>
  <c r="AK32" i="31"/>
  <c r="AJ32" i="31"/>
  <c r="AG32" i="31"/>
  <c r="Y32" i="31"/>
  <c r="V31" i="31"/>
  <c r="AK31" i="31"/>
  <c r="AJ31" i="31"/>
  <c r="AG31" i="31"/>
  <c r="Y31" i="31"/>
  <c r="V30" i="31"/>
  <c r="AK30" i="31"/>
  <c r="AJ30" i="31"/>
  <c r="AG30" i="31"/>
  <c r="Y30" i="31"/>
  <c r="V29" i="31"/>
  <c r="AK29" i="31"/>
  <c r="AJ29" i="31"/>
  <c r="AG29" i="31"/>
  <c r="Y29" i="31"/>
  <c r="V28" i="31"/>
  <c r="AK28" i="31"/>
  <c r="AJ28" i="31"/>
  <c r="AG28" i="31"/>
  <c r="Y28" i="31"/>
  <c r="V27" i="31"/>
  <c r="AK27" i="31"/>
  <c r="AJ27" i="31"/>
  <c r="AG27" i="31"/>
  <c r="Y27" i="31"/>
  <c r="V26" i="31"/>
  <c r="AK26" i="31"/>
  <c r="AJ26" i="31"/>
  <c r="AG26" i="31"/>
  <c r="Y26" i="31"/>
  <c r="V25" i="31"/>
  <c r="AK25" i="31"/>
  <c r="AJ25" i="31"/>
  <c r="AG25" i="31"/>
  <c r="Y25" i="31"/>
  <c r="V24" i="31"/>
  <c r="AK24" i="31"/>
  <c r="AJ24" i="31"/>
  <c r="AG24" i="31"/>
  <c r="Y24" i="31"/>
  <c r="V23" i="31"/>
  <c r="AK23" i="31"/>
  <c r="AJ23" i="31"/>
  <c r="AG23" i="31"/>
  <c r="Y23" i="31"/>
  <c r="V22" i="31"/>
  <c r="AK22" i="31"/>
  <c r="AJ22" i="31"/>
  <c r="AG22" i="31"/>
  <c r="Y22" i="31"/>
  <c r="V21" i="31"/>
  <c r="AK21" i="31"/>
  <c r="AJ21" i="31"/>
  <c r="AG21" i="31"/>
  <c r="Y21" i="31"/>
  <c r="V20" i="31"/>
  <c r="AK20" i="31"/>
  <c r="AJ20" i="31"/>
  <c r="AG20" i="31"/>
  <c r="Y20" i="31"/>
  <c r="V19" i="31"/>
  <c r="AK19" i="31"/>
  <c r="AJ19" i="31"/>
  <c r="AG19" i="31"/>
  <c r="Y19" i="31"/>
  <c r="V18" i="31"/>
  <c r="AK18" i="31"/>
  <c r="AJ18" i="31"/>
  <c r="AG18" i="31"/>
  <c r="Y18" i="31"/>
  <c r="V17" i="31"/>
  <c r="AK17" i="31"/>
  <c r="AJ17" i="31"/>
  <c r="AG17" i="31"/>
  <c r="Y17" i="31"/>
  <c r="V16" i="31"/>
  <c r="AK16" i="31"/>
  <c r="AJ16" i="31"/>
  <c r="AG16" i="31"/>
  <c r="Y16" i="31"/>
  <c r="V15" i="31"/>
  <c r="AK15" i="31"/>
  <c r="AJ15" i="31"/>
  <c r="AG15" i="31"/>
  <c r="Y15" i="31"/>
  <c r="V14" i="31"/>
  <c r="AK14" i="31"/>
  <c r="AJ14" i="31"/>
  <c r="AG14" i="31"/>
  <c r="Y14" i="31"/>
  <c r="V13" i="31"/>
  <c r="AK13" i="31"/>
  <c r="AJ13" i="31"/>
  <c r="AG13" i="31"/>
  <c r="Y13" i="31"/>
  <c r="V12" i="31"/>
  <c r="AK12" i="31"/>
  <c r="AJ12" i="31"/>
  <c r="AG12" i="31"/>
  <c r="Y12" i="31"/>
  <c r="V11" i="31"/>
  <c r="AK11" i="31"/>
  <c r="AJ11" i="31"/>
  <c r="AG11" i="31"/>
  <c r="Y11" i="31"/>
  <c r="V10" i="31"/>
  <c r="AK10" i="31"/>
  <c r="AJ10" i="31"/>
  <c r="AG10" i="31"/>
  <c r="Y10" i="31"/>
  <c r="V9" i="31"/>
  <c r="AK9" i="31"/>
  <c r="AJ9" i="31"/>
  <c r="AG9" i="31"/>
  <c r="Y9" i="31"/>
  <c r="V8" i="31"/>
  <c r="AK8" i="31"/>
  <c r="AJ8" i="31"/>
  <c r="AG8" i="31"/>
  <c r="Y8" i="31"/>
  <c r="V7" i="31"/>
  <c r="AK7" i="31"/>
  <c r="AJ7" i="31"/>
  <c r="AG7" i="31"/>
  <c r="Y7" i="31"/>
  <c r="V6" i="31"/>
  <c r="AK6" i="31"/>
  <c r="AJ6" i="31"/>
  <c r="AG6" i="31"/>
  <c r="Y6" i="31"/>
  <c r="V6" i="20"/>
  <c r="AK6" i="20"/>
  <c r="Y6" i="20"/>
  <c r="L271" i="20"/>
  <c r="V271" i="20"/>
  <c r="AK271" i="20"/>
  <c r="B290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" i="28"/>
  <c r="P2" i="28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J18" i="28"/>
  <c r="J19" i="28"/>
  <c r="J20" i="28"/>
  <c r="M97" i="28"/>
  <c r="J97" i="28"/>
  <c r="M96" i="28"/>
  <c r="J96" i="28"/>
  <c r="M95" i="28"/>
  <c r="J95" i="28"/>
  <c r="M94" i="28"/>
  <c r="J94" i="28"/>
  <c r="M93" i="28"/>
  <c r="J93" i="28"/>
  <c r="M92" i="28"/>
  <c r="J92" i="28"/>
  <c r="M91" i="28"/>
  <c r="J91" i="28"/>
  <c r="M90" i="28"/>
  <c r="J90" i="28"/>
  <c r="M89" i="28"/>
  <c r="J89" i="28"/>
  <c r="M88" i="28"/>
  <c r="J88" i="28"/>
  <c r="M87" i="28"/>
  <c r="J87" i="28"/>
  <c r="M86" i="28"/>
  <c r="J86" i="28"/>
  <c r="M85" i="28"/>
  <c r="J85" i="28"/>
  <c r="M84" i="28"/>
  <c r="J84" i="28"/>
  <c r="M83" i="28"/>
  <c r="J83" i="28"/>
  <c r="M82" i="28"/>
  <c r="J82" i="28"/>
  <c r="M81" i="28"/>
  <c r="J81" i="28"/>
  <c r="M80" i="28"/>
  <c r="J80" i="28"/>
  <c r="M79" i="28"/>
  <c r="J79" i="28"/>
  <c r="M78" i="28"/>
  <c r="J78" i="28"/>
  <c r="M77" i="28"/>
  <c r="J77" i="28"/>
  <c r="M76" i="28"/>
  <c r="J76" i="28"/>
  <c r="M75" i="28"/>
  <c r="J75" i="28"/>
  <c r="M74" i="28"/>
  <c r="J74" i="28"/>
  <c r="M73" i="28"/>
  <c r="J73" i="28"/>
  <c r="M72" i="28"/>
  <c r="J72" i="28"/>
  <c r="M71" i="28"/>
  <c r="J71" i="28"/>
  <c r="M70" i="28"/>
  <c r="J70" i="28"/>
  <c r="M69" i="28"/>
  <c r="J69" i="28"/>
  <c r="M68" i="28"/>
  <c r="J68" i="28"/>
  <c r="M67" i="28"/>
  <c r="J67" i="28"/>
  <c r="M66" i="28"/>
  <c r="J66" i="28"/>
  <c r="M65" i="28"/>
  <c r="J65" i="28"/>
  <c r="M64" i="28"/>
  <c r="J64" i="28"/>
  <c r="M63" i="28"/>
  <c r="J63" i="28"/>
  <c r="M62" i="28"/>
  <c r="J62" i="28"/>
  <c r="M61" i="28"/>
  <c r="J61" i="28"/>
  <c r="M60" i="28"/>
  <c r="J60" i="28"/>
  <c r="M59" i="28"/>
  <c r="J59" i="28"/>
  <c r="M58" i="28"/>
  <c r="J58" i="28"/>
  <c r="M57" i="28"/>
  <c r="J57" i="28"/>
  <c r="M56" i="28"/>
  <c r="J56" i="28"/>
  <c r="M55" i="28"/>
  <c r="J55" i="28"/>
  <c r="M54" i="28"/>
  <c r="J54" i="28"/>
  <c r="M53" i="28"/>
  <c r="J53" i="28"/>
  <c r="M52" i="28"/>
  <c r="J52" i="28"/>
  <c r="M51" i="28"/>
  <c r="J51" i="28"/>
  <c r="M50" i="28"/>
  <c r="J50" i="28"/>
  <c r="M49" i="28"/>
  <c r="J49" i="28"/>
  <c r="M48" i="28"/>
  <c r="J48" i="28"/>
  <c r="M47" i="28"/>
  <c r="J47" i="28"/>
  <c r="M46" i="28"/>
  <c r="J46" i="28"/>
  <c r="M45" i="28"/>
  <c r="J45" i="28"/>
  <c r="M44" i="28"/>
  <c r="J44" i="28"/>
  <c r="M43" i="28"/>
  <c r="J43" i="28"/>
  <c r="M42" i="28"/>
  <c r="J42" i="28"/>
  <c r="M41" i="28"/>
  <c r="J41" i="28"/>
  <c r="M40" i="28"/>
  <c r="J40" i="28"/>
  <c r="M39" i="28"/>
  <c r="J39" i="28"/>
  <c r="M38" i="28"/>
  <c r="J38" i="28"/>
  <c r="M37" i="28"/>
  <c r="J37" i="28"/>
  <c r="M36" i="28"/>
  <c r="J36" i="28"/>
  <c r="M35" i="28"/>
  <c r="J35" i="28"/>
  <c r="M34" i="28"/>
  <c r="J34" i="28"/>
  <c r="M33" i="28"/>
  <c r="J33" i="28"/>
  <c r="M32" i="28"/>
  <c r="J32" i="28"/>
  <c r="M31" i="28"/>
  <c r="J31" i="28"/>
  <c r="M30" i="28"/>
  <c r="J30" i="28"/>
  <c r="M29" i="28"/>
  <c r="J29" i="28"/>
  <c r="M28" i="28"/>
  <c r="J28" i="28"/>
  <c r="M27" i="28"/>
  <c r="J27" i="28"/>
  <c r="M26" i="28"/>
  <c r="J26" i="28"/>
  <c r="M25" i="28"/>
  <c r="J25" i="28"/>
  <c r="M24" i="28"/>
  <c r="J24" i="28"/>
  <c r="M23" i="28"/>
  <c r="J23" i="28"/>
  <c r="M22" i="28"/>
  <c r="J22" i="28"/>
  <c r="M21" i="28"/>
  <c r="J21" i="28"/>
  <c r="M20" i="28"/>
  <c r="M19" i="28"/>
  <c r="M18" i="28"/>
  <c r="M17" i="28"/>
  <c r="J17" i="28"/>
  <c r="M16" i="28"/>
  <c r="J16" i="28"/>
  <c r="M15" i="28"/>
  <c r="J15" i="28"/>
  <c r="M14" i="28"/>
  <c r="J14" i="28"/>
  <c r="M13" i="28"/>
  <c r="J13" i="28"/>
  <c r="M12" i="28"/>
  <c r="J12" i="28"/>
  <c r="M11" i="28"/>
  <c r="J11" i="28"/>
  <c r="M10" i="28"/>
  <c r="J10" i="28"/>
  <c r="M9" i="28"/>
  <c r="J9" i="28"/>
  <c r="M8" i="28"/>
  <c r="J8" i="28"/>
  <c r="M7" i="28"/>
  <c r="J7" i="28"/>
  <c r="M6" i="28"/>
  <c r="J6" i="28"/>
  <c r="M5" i="28"/>
  <c r="J5" i="28"/>
  <c r="M4" i="28"/>
  <c r="J4" i="28"/>
  <c r="M3" i="28"/>
  <c r="J3" i="28"/>
  <c r="M2" i="28"/>
  <c r="J2" i="28"/>
  <c r="N290" i="25"/>
  <c r="N289" i="25"/>
  <c r="N288" i="25"/>
  <c r="N287" i="25"/>
  <c r="N286" i="25"/>
  <c r="N285" i="25"/>
  <c r="N284" i="25"/>
  <c r="N283" i="25"/>
  <c r="N282" i="25"/>
  <c r="N281" i="25"/>
  <c r="N280" i="25"/>
  <c r="N279" i="25"/>
  <c r="N278" i="25"/>
  <c r="N277" i="25"/>
  <c r="N276" i="25"/>
  <c r="N275" i="25"/>
  <c r="N274" i="25"/>
  <c r="N273" i="25"/>
  <c r="N272" i="25"/>
  <c r="N271" i="25"/>
  <c r="N270" i="25"/>
  <c r="N269" i="25"/>
  <c r="N268" i="25"/>
  <c r="N267" i="25"/>
  <c r="N266" i="25"/>
  <c r="N265" i="25"/>
  <c r="N264" i="25"/>
  <c r="N263" i="25"/>
  <c r="N262" i="25"/>
  <c r="N261" i="25"/>
  <c r="N260" i="25"/>
  <c r="N259" i="25"/>
  <c r="N258" i="25"/>
  <c r="N257" i="25"/>
  <c r="N256" i="25"/>
  <c r="N255" i="25"/>
  <c r="N254" i="25"/>
  <c r="N253" i="25"/>
  <c r="N252" i="25"/>
  <c r="N251" i="25"/>
  <c r="N250" i="25"/>
  <c r="N249" i="25"/>
  <c r="N248" i="25"/>
  <c r="N247" i="25"/>
  <c r="N246" i="25"/>
  <c r="N245" i="25"/>
  <c r="N244" i="25"/>
  <c r="N243" i="25"/>
  <c r="N242" i="25"/>
  <c r="N241" i="25"/>
  <c r="N240" i="25"/>
  <c r="N239" i="25"/>
  <c r="N238" i="25"/>
  <c r="N237" i="25"/>
  <c r="N236" i="25"/>
  <c r="N235" i="25"/>
  <c r="N234" i="25"/>
  <c r="N233" i="25"/>
  <c r="N232" i="25"/>
  <c r="N231" i="25"/>
  <c r="N230" i="25"/>
  <c r="N229" i="25"/>
  <c r="N228" i="25"/>
  <c r="N227" i="25"/>
  <c r="N226" i="25"/>
  <c r="N225" i="25"/>
  <c r="N224" i="25"/>
  <c r="N223" i="25"/>
  <c r="N222" i="25"/>
  <c r="N221" i="25"/>
  <c r="N220" i="25"/>
  <c r="N219" i="25"/>
  <c r="N218" i="25"/>
  <c r="N217" i="25"/>
  <c r="N216" i="25"/>
  <c r="N215" i="25"/>
  <c r="N214" i="25"/>
  <c r="N213" i="25"/>
  <c r="N212" i="25"/>
  <c r="N211" i="25"/>
  <c r="N210" i="25"/>
  <c r="N209" i="25"/>
  <c r="N208" i="25"/>
  <c r="N207" i="25"/>
  <c r="N206" i="25"/>
  <c r="N205" i="25"/>
  <c r="N204" i="25"/>
  <c r="N203" i="25"/>
  <c r="N202" i="25"/>
  <c r="N201" i="25"/>
  <c r="N200" i="25"/>
  <c r="N199" i="25"/>
  <c r="N198" i="25"/>
  <c r="N197" i="25"/>
  <c r="N196" i="25"/>
  <c r="N195" i="25"/>
  <c r="N194" i="25"/>
  <c r="N193" i="25"/>
  <c r="N192" i="25"/>
  <c r="N191" i="25"/>
  <c r="N190" i="25"/>
  <c r="N189" i="25"/>
  <c r="N188" i="25"/>
  <c r="N187" i="25"/>
  <c r="N186" i="25"/>
  <c r="N185" i="25"/>
  <c r="N184" i="25"/>
  <c r="N183" i="25"/>
  <c r="N182" i="25"/>
  <c r="N181" i="25"/>
  <c r="N180" i="25"/>
  <c r="N179" i="25"/>
  <c r="N178" i="25"/>
  <c r="N177" i="25"/>
  <c r="N176" i="25"/>
  <c r="N175" i="25"/>
  <c r="N174" i="25"/>
  <c r="N173" i="25"/>
  <c r="N172" i="25"/>
  <c r="N171" i="25"/>
  <c r="N170" i="25"/>
  <c r="N169" i="25"/>
  <c r="N168" i="25"/>
  <c r="N167" i="25"/>
  <c r="N166" i="25"/>
  <c r="N165" i="25"/>
  <c r="N164" i="25"/>
  <c r="N163" i="25"/>
  <c r="N162" i="25"/>
  <c r="N161" i="25"/>
  <c r="N160" i="25"/>
  <c r="N159" i="25"/>
  <c r="N158" i="25"/>
  <c r="N157" i="25"/>
  <c r="N156" i="25"/>
  <c r="N155" i="25"/>
  <c r="N154" i="25"/>
  <c r="N153" i="25"/>
  <c r="N152" i="25"/>
  <c r="N151" i="25"/>
  <c r="N150" i="25"/>
  <c r="N149" i="25"/>
  <c r="N148" i="25"/>
  <c r="N147" i="25"/>
  <c r="N146" i="25"/>
  <c r="N145" i="25"/>
  <c r="N144" i="25"/>
  <c r="N143" i="25"/>
  <c r="N142" i="25"/>
  <c r="N141" i="25"/>
  <c r="N140" i="25"/>
  <c r="N139" i="25"/>
  <c r="N138" i="25"/>
  <c r="N137" i="25"/>
  <c r="N136" i="25"/>
  <c r="N135" i="25"/>
  <c r="N134" i="25"/>
  <c r="N133" i="25"/>
  <c r="N132" i="25"/>
  <c r="N131" i="25"/>
  <c r="N130" i="25"/>
  <c r="N129" i="25"/>
  <c r="N128" i="25"/>
  <c r="N127" i="25"/>
  <c r="N126" i="25"/>
  <c r="N125" i="25"/>
  <c r="N124" i="25"/>
  <c r="N123" i="25"/>
  <c r="N122" i="25"/>
  <c r="N121" i="25"/>
  <c r="N120" i="25"/>
  <c r="N119" i="25"/>
  <c r="N118" i="25"/>
  <c r="N117" i="25"/>
  <c r="N116" i="25"/>
  <c r="N115" i="25"/>
  <c r="N114" i="25"/>
  <c r="N113" i="25"/>
  <c r="N112" i="25"/>
  <c r="N111" i="25"/>
  <c r="N110" i="25"/>
  <c r="N109" i="25"/>
  <c r="N108" i="25"/>
  <c r="N107" i="25"/>
  <c r="N106" i="25"/>
  <c r="N105" i="25"/>
  <c r="N104" i="25"/>
  <c r="N103" i="25"/>
  <c r="N102" i="25"/>
  <c r="N101" i="25"/>
  <c r="N100" i="25"/>
  <c r="N99" i="25"/>
  <c r="N98" i="25"/>
  <c r="N97" i="25"/>
  <c r="N96" i="25"/>
  <c r="N95" i="25"/>
  <c r="N94" i="25"/>
  <c r="N93" i="25"/>
  <c r="N92" i="25"/>
  <c r="N91" i="25"/>
  <c r="N90" i="25"/>
  <c r="N89" i="25"/>
  <c r="N88" i="25"/>
  <c r="N87" i="25"/>
  <c r="N86" i="25"/>
  <c r="N85" i="25"/>
  <c r="N84" i="25"/>
  <c r="N83" i="25"/>
  <c r="N82" i="25"/>
  <c r="N81" i="25"/>
  <c r="N80" i="25"/>
  <c r="N79" i="25"/>
  <c r="N78" i="25"/>
  <c r="N77" i="25"/>
  <c r="N76" i="25"/>
  <c r="N75" i="25"/>
  <c r="N74" i="25"/>
  <c r="N73" i="25"/>
  <c r="N72" i="25"/>
  <c r="N71" i="25"/>
  <c r="N70" i="25"/>
  <c r="N69" i="25"/>
  <c r="N68" i="25"/>
  <c r="N67" i="25"/>
  <c r="N66" i="25"/>
  <c r="N65" i="25"/>
  <c r="N64" i="25"/>
  <c r="N63" i="25"/>
  <c r="N62" i="25"/>
  <c r="N61" i="25"/>
  <c r="N60" i="25"/>
  <c r="N59" i="25"/>
  <c r="N58" i="25"/>
  <c r="N57" i="25"/>
  <c r="N56" i="25"/>
  <c r="N55" i="25"/>
  <c r="N54" i="25"/>
  <c r="N53" i="25"/>
  <c r="N52" i="25"/>
  <c r="N51" i="25"/>
  <c r="N50" i="25"/>
  <c r="N49" i="25"/>
  <c r="N48" i="25"/>
  <c r="N47" i="25"/>
  <c r="N46" i="25"/>
  <c r="N45" i="25"/>
  <c r="N44" i="25"/>
  <c r="N43" i="25"/>
  <c r="N42" i="25"/>
  <c r="N41" i="25"/>
  <c r="N40" i="25"/>
  <c r="N39" i="25"/>
  <c r="N38" i="25"/>
  <c r="N37" i="25"/>
  <c r="N36" i="25"/>
  <c r="N35" i="25"/>
  <c r="N34" i="25"/>
  <c r="N33" i="25"/>
  <c r="N32" i="25"/>
  <c r="N31" i="25"/>
  <c r="N30" i="25"/>
  <c r="N29" i="25"/>
  <c r="N28" i="25"/>
  <c r="N27" i="25"/>
  <c r="N26" i="25"/>
  <c r="N25" i="25"/>
  <c r="N24" i="25"/>
  <c r="N23" i="25"/>
  <c r="N22" i="25"/>
  <c r="N21" i="25"/>
  <c r="N20" i="25"/>
  <c r="N19" i="25"/>
  <c r="N18" i="25"/>
  <c r="N17" i="25"/>
  <c r="N16" i="25"/>
  <c r="N15" i="25"/>
  <c r="N14" i="25"/>
  <c r="N13" i="25"/>
  <c r="N12" i="25"/>
  <c r="N11" i="25"/>
  <c r="N10" i="25"/>
  <c r="N9" i="25"/>
  <c r="N8" i="25"/>
  <c r="N7" i="25"/>
  <c r="N6" i="25"/>
  <c r="N5" i="25"/>
  <c r="N4" i="25"/>
  <c r="N3" i="25"/>
  <c r="L293" i="20"/>
  <c r="V293" i="20"/>
  <c r="AK293" i="20"/>
  <c r="Y293" i="20"/>
  <c r="Y293" i="24"/>
  <c r="Z293" i="24"/>
  <c r="AO293" i="24"/>
  <c r="AN293" i="24"/>
  <c r="AK293" i="24"/>
  <c r="AJ293" i="24"/>
  <c r="AI293" i="24"/>
  <c r="AG293" i="24"/>
  <c r="X293" i="24"/>
  <c r="V293" i="24"/>
  <c r="P293" i="24"/>
  <c r="L293" i="24"/>
  <c r="L292" i="20"/>
  <c r="V292" i="20"/>
  <c r="AK292" i="20"/>
  <c r="Y292" i="20"/>
  <c r="Y292" i="24"/>
  <c r="Z292" i="24"/>
  <c r="AO292" i="24"/>
  <c r="AN292" i="24"/>
  <c r="AK292" i="24"/>
  <c r="AJ292" i="24"/>
  <c r="AI292" i="24"/>
  <c r="AG292" i="24"/>
  <c r="X292" i="24"/>
  <c r="V292" i="24"/>
  <c r="P292" i="24"/>
  <c r="L292" i="24"/>
  <c r="L291" i="20"/>
  <c r="V291" i="20"/>
  <c r="AK291" i="20"/>
  <c r="Y291" i="20"/>
  <c r="Y291" i="24"/>
  <c r="Z291" i="24"/>
  <c r="AO291" i="24"/>
  <c r="AN291" i="24"/>
  <c r="AK291" i="24"/>
  <c r="AJ291" i="24"/>
  <c r="AI291" i="24"/>
  <c r="AG291" i="24"/>
  <c r="X291" i="24"/>
  <c r="V291" i="24"/>
  <c r="P291" i="24"/>
  <c r="L291" i="24"/>
  <c r="L290" i="20"/>
  <c r="V290" i="20"/>
  <c r="AK290" i="20"/>
  <c r="Y290" i="20"/>
  <c r="Y290" i="24"/>
  <c r="Z290" i="24"/>
  <c r="AO290" i="24"/>
  <c r="AN290" i="24"/>
  <c r="AK290" i="24"/>
  <c r="AJ290" i="24"/>
  <c r="AI290" i="24"/>
  <c r="AG290" i="24"/>
  <c r="X290" i="24"/>
  <c r="V290" i="24"/>
  <c r="P290" i="24"/>
  <c r="L290" i="24"/>
  <c r="L289" i="20"/>
  <c r="V289" i="20"/>
  <c r="AK289" i="20"/>
  <c r="Y289" i="20"/>
  <c r="Y289" i="24"/>
  <c r="Z289" i="24"/>
  <c r="AO289" i="24"/>
  <c r="AN289" i="24"/>
  <c r="AK289" i="24"/>
  <c r="AJ289" i="24"/>
  <c r="AI289" i="24"/>
  <c r="AG289" i="24"/>
  <c r="X289" i="24"/>
  <c r="V289" i="24"/>
  <c r="P289" i="24"/>
  <c r="L289" i="24"/>
  <c r="L288" i="20"/>
  <c r="V288" i="20"/>
  <c r="AK288" i="20"/>
  <c r="Y288" i="20"/>
  <c r="Y288" i="24"/>
  <c r="Z288" i="24"/>
  <c r="AO288" i="24"/>
  <c r="AN288" i="24"/>
  <c r="AK288" i="24"/>
  <c r="AJ288" i="24"/>
  <c r="AI288" i="24"/>
  <c r="AG288" i="24"/>
  <c r="X288" i="24"/>
  <c r="V288" i="24"/>
  <c r="P288" i="24"/>
  <c r="L288" i="24"/>
  <c r="L287" i="20"/>
  <c r="V287" i="20"/>
  <c r="AK287" i="20"/>
  <c r="Y287" i="20"/>
  <c r="Y287" i="24"/>
  <c r="Z287" i="24"/>
  <c r="AO287" i="24"/>
  <c r="AN287" i="24"/>
  <c r="AK287" i="24"/>
  <c r="AJ287" i="24"/>
  <c r="AI287" i="24"/>
  <c r="AG287" i="24"/>
  <c r="X287" i="24"/>
  <c r="V287" i="24"/>
  <c r="P287" i="24"/>
  <c r="L287" i="24"/>
  <c r="L286" i="20"/>
  <c r="V286" i="20"/>
  <c r="AK286" i="20"/>
  <c r="Y286" i="20"/>
  <c r="Y286" i="24"/>
  <c r="Z286" i="24"/>
  <c r="AO286" i="24"/>
  <c r="AN286" i="24"/>
  <c r="AK286" i="24"/>
  <c r="AJ286" i="24"/>
  <c r="AI286" i="24"/>
  <c r="AG286" i="24"/>
  <c r="X286" i="24"/>
  <c r="V286" i="24"/>
  <c r="P286" i="24"/>
  <c r="L286" i="24"/>
  <c r="L285" i="20"/>
  <c r="V285" i="20"/>
  <c r="AK285" i="20"/>
  <c r="Y285" i="20"/>
  <c r="Y285" i="24"/>
  <c r="Z285" i="24"/>
  <c r="AO285" i="24"/>
  <c r="AN285" i="24"/>
  <c r="AK285" i="24"/>
  <c r="AJ285" i="24"/>
  <c r="AI285" i="24"/>
  <c r="AG285" i="24"/>
  <c r="X285" i="24"/>
  <c r="V285" i="24"/>
  <c r="P285" i="24"/>
  <c r="L285" i="24"/>
  <c r="L284" i="20"/>
  <c r="V284" i="20"/>
  <c r="AK284" i="20"/>
  <c r="Y284" i="20"/>
  <c r="Y284" i="24"/>
  <c r="Z284" i="24"/>
  <c r="AO284" i="24"/>
  <c r="AN284" i="24"/>
  <c r="AK284" i="24"/>
  <c r="AJ284" i="24"/>
  <c r="AI284" i="24"/>
  <c r="AG284" i="24"/>
  <c r="X284" i="24"/>
  <c r="V284" i="24"/>
  <c r="P284" i="24"/>
  <c r="L284" i="24"/>
  <c r="L283" i="20"/>
  <c r="V283" i="20"/>
  <c r="AK283" i="20"/>
  <c r="Y283" i="20"/>
  <c r="Y283" i="24"/>
  <c r="Z283" i="24"/>
  <c r="AO283" i="24"/>
  <c r="AN283" i="24"/>
  <c r="AK283" i="24"/>
  <c r="AJ283" i="24"/>
  <c r="AI283" i="24"/>
  <c r="AG283" i="24"/>
  <c r="X283" i="24"/>
  <c r="V283" i="24"/>
  <c r="P283" i="24"/>
  <c r="L283" i="24"/>
  <c r="L282" i="20"/>
  <c r="V282" i="20"/>
  <c r="AK282" i="20"/>
  <c r="Y282" i="20"/>
  <c r="Y282" i="24"/>
  <c r="Z282" i="24"/>
  <c r="AO282" i="24"/>
  <c r="AN282" i="24"/>
  <c r="AK282" i="24"/>
  <c r="AJ282" i="24"/>
  <c r="AI282" i="24"/>
  <c r="AG282" i="24"/>
  <c r="X282" i="24"/>
  <c r="V282" i="24"/>
  <c r="P282" i="24"/>
  <c r="L282" i="24"/>
  <c r="L281" i="20"/>
  <c r="V281" i="20"/>
  <c r="AK281" i="20"/>
  <c r="Y281" i="20"/>
  <c r="Y281" i="24"/>
  <c r="Z281" i="24"/>
  <c r="AO281" i="24"/>
  <c r="AN281" i="24"/>
  <c r="AK281" i="24"/>
  <c r="AJ281" i="24"/>
  <c r="AI281" i="24"/>
  <c r="AG281" i="24"/>
  <c r="X281" i="24"/>
  <c r="V281" i="24"/>
  <c r="P281" i="24"/>
  <c r="L281" i="24"/>
  <c r="L280" i="20"/>
  <c r="V280" i="20"/>
  <c r="AK280" i="20"/>
  <c r="Y280" i="20"/>
  <c r="Y280" i="24"/>
  <c r="Z280" i="24"/>
  <c r="AO280" i="24"/>
  <c r="AN280" i="24"/>
  <c r="AK280" i="24"/>
  <c r="AJ280" i="24"/>
  <c r="AI280" i="24"/>
  <c r="AG280" i="24"/>
  <c r="X280" i="24"/>
  <c r="V280" i="24"/>
  <c r="P280" i="24"/>
  <c r="L280" i="24"/>
  <c r="L279" i="20"/>
  <c r="V279" i="20"/>
  <c r="AK279" i="20"/>
  <c r="Y279" i="20"/>
  <c r="Y279" i="24"/>
  <c r="Z279" i="24"/>
  <c r="AO279" i="24"/>
  <c r="AN279" i="24"/>
  <c r="AK279" i="24"/>
  <c r="AJ279" i="24"/>
  <c r="AI279" i="24"/>
  <c r="AG279" i="24"/>
  <c r="X279" i="24"/>
  <c r="V279" i="24"/>
  <c r="P279" i="24"/>
  <c r="L279" i="24"/>
  <c r="L278" i="20"/>
  <c r="V278" i="20"/>
  <c r="AK278" i="20"/>
  <c r="Y278" i="20"/>
  <c r="Y278" i="24"/>
  <c r="Z278" i="24"/>
  <c r="AO278" i="24"/>
  <c r="AN278" i="24"/>
  <c r="AK278" i="24"/>
  <c r="AJ278" i="24"/>
  <c r="AI278" i="24"/>
  <c r="AG278" i="24"/>
  <c r="X278" i="24"/>
  <c r="V278" i="24"/>
  <c r="P278" i="24"/>
  <c r="L278" i="24"/>
  <c r="L277" i="20"/>
  <c r="V277" i="20"/>
  <c r="AK277" i="20"/>
  <c r="Y277" i="20"/>
  <c r="Y277" i="24"/>
  <c r="Z277" i="24"/>
  <c r="AO277" i="24"/>
  <c r="AN277" i="24"/>
  <c r="AK277" i="24"/>
  <c r="AJ277" i="24"/>
  <c r="AI277" i="24"/>
  <c r="AG277" i="24"/>
  <c r="X277" i="24"/>
  <c r="V277" i="24"/>
  <c r="P277" i="24"/>
  <c r="L277" i="24"/>
  <c r="L276" i="20"/>
  <c r="V276" i="20"/>
  <c r="AK276" i="20"/>
  <c r="Y276" i="20"/>
  <c r="Y276" i="24"/>
  <c r="Z276" i="24"/>
  <c r="AO276" i="24"/>
  <c r="AN276" i="24"/>
  <c r="AK276" i="24"/>
  <c r="AJ276" i="24"/>
  <c r="AI276" i="24"/>
  <c r="AG276" i="24"/>
  <c r="X276" i="24"/>
  <c r="V276" i="24"/>
  <c r="P276" i="24"/>
  <c r="L276" i="24"/>
  <c r="L275" i="20"/>
  <c r="V275" i="20"/>
  <c r="AK275" i="20"/>
  <c r="Y275" i="20"/>
  <c r="Y275" i="24"/>
  <c r="Z275" i="24"/>
  <c r="AO275" i="24"/>
  <c r="AN275" i="24"/>
  <c r="AK275" i="24"/>
  <c r="AJ275" i="24"/>
  <c r="AI275" i="24"/>
  <c r="AG275" i="24"/>
  <c r="X275" i="24"/>
  <c r="V275" i="24"/>
  <c r="P275" i="24"/>
  <c r="L275" i="24"/>
  <c r="L274" i="20"/>
  <c r="V274" i="20"/>
  <c r="AK274" i="20"/>
  <c r="Y274" i="20"/>
  <c r="Y274" i="24"/>
  <c r="Z274" i="24"/>
  <c r="AO274" i="24"/>
  <c r="AN274" i="24"/>
  <c r="AK274" i="24"/>
  <c r="AJ274" i="24"/>
  <c r="AI274" i="24"/>
  <c r="AG274" i="24"/>
  <c r="X274" i="24"/>
  <c r="V274" i="24"/>
  <c r="P274" i="24"/>
  <c r="L274" i="24"/>
  <c r="L273" i="20"/>
  <c r="V273" i="20"/>
  <c r="AK273" i="20"/>
  <c r="Y273" i="20"/>
  <c r="Y273" i="24"/>
  <c r="Z273" i="24"/>
  <c r="AO273" i="24"/>
  <c r="AN273" i="24"/>
  <c r="AK273" i="24"/>
  <c r="AJ273" i="24"/>
  <c r="AI273" i="24"/>
  <c r="AG273" i="24"/>
  <c r="X273" i="24"/>
  <c r="V273" i="24"/>
  <c r="P273" i="24"/>
  <c r="L273" i="24"/>
  <c r="L272" i="20"/>
  <c r="V272" i="20"/>
  <c r="AK272" i="20"/>
  <c r="Y272" i="20"/>
  <c r="Y272" i="24"/>
  <c r="Z272" i="24"/>
  <c r="AO272" i="24"/>
  <c r="AN272" i="24"/>
  <c r="AK272" i="24"/>
  <c r="AJ272" i="24"/>
  <c r="AI272" i="24"/>
  <c r="AG272" i="24"/>
  <c r="X272" i="24"/>
  <c r="V272" i="24"/>
  <c r="P272" i="24"/>
  <c r="L272" i="24"/>
  <c r="Y271" i="20"/>
  <c r="Y271" i="24"/>
  <c r="Z271" i="24"/>
  <c r="AO271" i="24"/>
  <c r="AN271" i="24"/>
  <c r="AK271" i="24"/>
  <c r="AJ271" i="24"/>
  <c r="AI271" i="24"/>
  <c r="AG271" i="24"/>
  <c r="X271" i="24"/>
  <c r="V271" i="24"/>
  <c r="P271" i="24"/>
  <c r="L271" i="24"/>
  <c r="L270" i="20"/>
  <c r="V270" i="20"/>
  <c r="AK270" i="20"/>
  <c r="Y270" i="20"/>
  <c r="Y270" i="24"/>
  <c r="Z270" i="24"/>
  <c r="AO270" i="24"/>
  <c r="AN270" i="24"/>
  <c r="AK270" i="24"/>
  <c r="AJ270" i="24"/>
  <c r="AI270" i="24"/>
  <c r="AG270" i="24"/>
  <c r="X270" i="24"/>
  <c r="V270" i="24"/>
  <c r="P270" i="24"/>
  <c r="L270" i="24"/>
  <c r="L269" i="20"/>
  <c r="V269" i="20"/>
  <c r="AK269" i="20"/>
  <c r="Y269" i="20"/>
  <c r="Y269" i="24"/>
  <c r="Z269" i="24"/>
  <c r="AO269" i="24"/>
  <c r="AN269" i="24"/>
  <c r="AK269" i="24"/>
  <c r="AJ269" i="24"/>
  <c r="AI269" i="24"/>
  <c r="AG269" i="24"/>
  <c r="X269" i="24"/>
  <c r="V269" i="24"/>
  <c r="P269" i="24"/>
  <c r="L269" i="24"/>
  <c r="L268" i="20"/>
  <c r="V268" i="20"/>
  <c r="AK268" i="20"/>
  <c r="Y268" i="20"/>
  <c r="Y268" i="24"/>
  <c r="Z268" i="24"/>
  <c r="AO268" i="24"/>
  <c r="AN268" i="24"/>
  <c r="AK268" i="24"/>
  <c r="AJ268" i="24"/>
  <c r="AI268" i="24"/>
  <c r="AG268" i="24"/>
  <c r="X268" i="24"/>
  <c r="V268" i="24"/>
  <c r="P268" i="24"/>
  <c r="L268" i="24"/>
  <c r="L267" i="20"/>
  <c r="V267" i="20"/>
  <c r="AK267" i="20"/>
  <c r="Y267" i="20"/>
  <c r="Y267" i="24"/>
  <c r="Z267" i="24"/>
  <c r="AO267" i="24"/>
  <c r="AN267" i="24"/>
  <c r="AK267" i="24"/>
  <c r="AJ267" i="24"/>
  <c r="AI267" i="24"/>
  <c r="AG267" i="24"/>
  <c r="X267" i="24"/>
  <c r="V267" i="24"/>
  <c r="P267" i="24"/>
  <c r="L267" i="24"/>
  <c r="L266" i="20"/>
  <c r="V266" i="20"/>
  <c r="AK266" i="20"/>
  <c r="Y266" i="20"/>
  <c r="Y266" i="24"/>
  <c r="Z266" i="24"/>
  <c r="AO266" i="24"/>
  <c r="AN266" i="24"/>
  <c r="AK266" i="24"/>
  <c r="AJ266" i="24"/>
  <c r="AI266" i="24"/>
  <c r="AG266" i="24"/>
  <c r="X266" i="24"/>
  <c r="V266" i="24"/>
  <c r="P266" i="24"/>
  <c r="L266" i="24"/>
  <c r="L265" i="20"/>
  <c r="V265" i="20"/>
  <c r="AK265" i="20"/>
  <c r="Y265" i="20"/>
  <c r="Y265" i="24"/>
  <c r="Z265" i="24"/>
  <c r="AO265" i="24"/>
  <c r="AN265" i="24"/>
  <c r="AK265" i="24"/>
  <c r="AJ265" i="24"/>
  <c r="AI265" i="24"/>
  <c r="AG265" i="24"/>
  <c r="X265" i="24"/>
  <c r="V265" i="24"/>
  <c r="P265" i="24"/>
  <c r="L265" i="24"/>
  <c r="L264" i="20"/>
  <c r="V264" i="20"/>
  <c r="AK264" i="20"/>
  <c r="Y264" i="20"/>
  <c r="Y264" i="24"/>
  <c r="Z264" i="24"/>
  <c r="AO264" i="24"/>
  <c r="AN264" i="24"/>
  <c r="AK264" i="24"/>
  <c r="AJ264" i="24"/>
  <c r="AI264" i="24"/>
  <c r="AG264" i="24"/>
  <c r="X264" i="24"/>
  <c r="V264" i="24"/>
  <c r="P264" i="24"/>
  <c r="L264" i="24"/>
  <c r="L263" i="20"/>
  <c r="V263" i="20"/>
  <c r="AK263" i="20"/>
  <c r="Y263" i="20"/>
  <c r="Y263" i="24"/>
  <c r="Z263" i="24"/>
  <c r="AO263" i="24"/>
  <c r="AN263" i="24"/>
  <c r="AK263" i="24"/>
  <c r="AJ263" i="24"/>
  <c r="AI263" i="24"/>
  <c r="AG263" i="24"/>
  <c r="X263" i="24"/>
  <c r="V263" i="24"/>
  <c r="P263" i="24"/>
  <c r="L263" i="24"/>
  <c r="L262" i="20"/>
  <c r="V262" i="20"/>
  <c r="AK262" i="20"/>
  <c r="Y262" i="20"/>
  <c r="Y262" i="24"/>
  <c r="Z262" i="24"/>
  <c r="AO262" i="24"/>
  <c r="AN262" i="24"/>
  <c r="AK262" i="24"/>
  <c r="AJ262" i="24"/>
  <c r="AI262" i="24"/>
  <c r="AG262" i="24"/>
  <c r="X262" i="24"/>
  <c r="V262" i="24"/>
  <c r="P262" i="24"/>
  <c r="L262" i="24"/>
  <c r="L261" i="20"/>
  <c r="V261" i="20"/>
  <c r="AK261" i="20"/>
  <c r="Y261" i="20"/>
  <c r="Y261" i="24"/>
  <c r="Z261" i="24"/>
  <c r="AO261" i="24"/>
  <c r="AN261" i="24"/>
  <c r="AK261" i="24"/>
  <c r="AJ261" i="24"/>
  <c r="AI261" i="24"/>
  <c r="AG261" i="24"/>
  <c r="X261" i="24"/>
  <c r="V261" i="24"/>
  <c r="P261" i="24"/>
  <c r="L261" i="24"/>
  <c r="L260" i="20"/>
  <c r="V260" i="20"/>
  <c r="AK260" i="20"/>
  <c r="Y260" i="20"/>
  <c r="Y260" i="24"/>
  <c r="Z260" i="24"/>
  <c r="AO260" i="24"/>
  <c r="AN260" i="24"/>
  <c r="AK260" i="24"/>
  <c r="AJ260" i="24"/>
  <c r="AI260" i="24"/>
  <c r="AG260" i="24"/>
  <c r="X260" i="24"/>
  <c r="V260" i="24"/>
  <c r="P260" i="24"/>
  <c r="L260" i="24"/>
  <c r="L259" i="20"/>
  <c r="V259" i="20"/>
  <c r="AK259" i="20"/>
  <c r="Y259" i="20"/>
  <c r="Y259" i="24"/>
  <c r="Z259" i="24"/>
  <c r="AO259" i="24"/>
  <c r="AN259" i="24"/>
  <c r="AK259" i="24"/>
  <c r="AJ259" i="24"/>
  <c r="AI259" i="24"/>
  <c r="AG259" i="24"/>
  <c r="X259" i="24"/>
  <c r="V259" i="24"/>
  <c r="P259" i="24"/>
  <c r="L259" i="24"/>
  <c r="L258" i="20"/>
  <c r="V258" i="20"/>
  <c r="AK258" i="20"/>
  <c r="Y258" i="20"/>
  <c r="Y258" i="24"/>
  <c r="Z258" i="24"/>
  <c r="AO258" i="24"/>
  <c r="AN258" i="24"/>
  <c r="AK258" i="24"/>
  <c r="AJ258" i="24"/>
  <c r="AI258" i="24"/>
  <c r="AG258" i="24"/>
  <c r="X258" i="24"/>
  <c r="V258" i="24"/>
  <c r="P258" i="24"/>
  <c r="L258" i="24"/>
  <c r="L257" i="20"/>
  <c r="V257" i="20"/>
  <c r="AK257" i="20"/>
  <c r="Y257" i="20"/>
  <c r="Y257" i="24"/>
  <c r="Z257" i="24"/>
  <c r="AO257" i="24"/>
  <c r="AN257" i="24"/>
  <c r="AK257" i="24"/>
  <c r="AJ257" i="24"/>
  <c r="AI257" i="24"/>
  <c r="AG257" i="24"/>
  <c r="X257" i="24"/>
  <c r="V257" i="24"/>
  <c r="P257" i="24"/>
  <c r="L257" i="24"/>
  <c r="L256" i="20"/>
  <c r="V256" i="20"/>
  <c r="AK256" i="20"/>
  <c r="Y256" i="20"/>
  <c r="Y256" i="24"/>
  <c r="Z256" i="24"/>
  <c r="AO256" i="24"/>
  <c r="AN256" i="24"/>
  <c r="AK256" i="24"/>
  <c r="AJ256" i="24"/>
  <c r="AI256" i="24"/>
  <c r="AG256" i="24"/>
  <c r="X256" i="24"/>
  <c r="V256" i="24"/>
  <c r="P256" i="24"/>
  <c r="L256" i="24"/>
  <c r="L255" i="20"/>
  <c r="V255" i="20"/>
  <c r="AK255" i="20"/>
  <c r="Y255" i="20"/>
  <c r="Y255" i="24"/>
  <c r="Z255" i="24"/>
  <c r="AO255" i="24"/>
  <c r="AN255" i="24"/>
  <c r="AK255" i="24"/>
  <c r="AJ255" i="24"/>
  <c r="AI255" i="24"/>
  <c r="AG255" i="24"/>
  <c r="X255" i="24"/>
  <c r="V255" i="24"/>
  <c r="P255" i="24"/>
  <c r="L255" i="24"/>
  <c r="L254" i="20"/>
  <c r="V254" i="20"/>
  <c r="AK254" i="20"/>
  <c r="Y254" i="20"/>
  <c r="Y254" i="24"/>
  <c r="Z254" i="24"/>
  <c r="AO254" i="24"/>
  <c r="AN254" i="24"/>
  <c r="AK254" i="24"/>
  <c r="AJ254" i="24"/>
  <c r="AI254" i="24"/>
  <c r="AG254" i="24"/>
  <c r="X254" i="24"/>
  <c r="V254" i="24"/>
  <c r="P254" i="24"/>
  <c r="L254" i="24"/>
  <c r="L253" i="20"/>
  <c r="V253" i="20"/>
  <c r="AK253" i="20"/>
  <c r="Y253" i="20"/>
  <c r="Y253" i="24"/>
  <c r="Z253" i="24"/>
  <c r="AO253" i="24"/>
  <c r="AN253" i="24"/>
  <c r="AK253" i="24"/>
  <c r="AJ253" i="24"/>
  <c r="AI253" i="24"/>
  <c r="AG253" i="24"/>
  <c r="X253" i="24"/>
  <c r="V253" i="24"/>
  <c r="P253" i="24"/>
  <c r="L253" i="24"/>
  <c r="L252" i="20"/>
  <c r="V252" i="20"/>
  <c r="AK252" i="20"/>
  <c r="Y252" i="20"/>
  <c r="Y252" i="24"/>
  <c r="Z252" i="24"/>
  <c r="AO252" i="24"/>
  <c r="AN252" i="24"/>
  <c r="AK252" i="24"/>
  <c r="AJ252" i="24"/>
  <c r="AI252" i="24"/>
  <c r="AG252" i="24"/>
  <c r="X252" i="24"/>
  <c r="V252" i="24"/>
  <c r="P252" i="24"/>
  <c r="L252" i="24"/>
  <c r="L251" i="20"/>
  <c r="V251" i="20"/>
  <c r="AK251" i="20"/>
  <c r="Y251" i="20"/>
  <c r="Y251" i="24"/>
  <c r="Z251" i="24"/>
  <c r="AO251" i="24"/>
  <c r="AN251" i="24"/>
  <c r="AK251" i="24"/>
  <c r="AJ251" i="24"/>
  <c r="AI251" i="24"/>
  <c r="AG251" i="24"/>
  <c r="X251" i="24"/>
  <c r="V251" i="24"/>
  <c r="P251" i="24"/>
  <c r="L251" i="24"/>
  <c r="L250" i="20"/>
  <c r="V250" i="20"/>
  <c r="AK250" i="20"/>
  <c r="Y250" i="20"/>
  <c r="Y250" i="24"/>
  <c r="Z250" i="24"/>
  <c r="AO250" i="24"/>
  <c r="AN250" i="24"/>
  <c r="AK250" i="24"/>
  <c r="AJ250" i="24"/>
  <c r="AI250" i="24"/>
  <c r="AG250" i="24"/>
  <c r="X250" i="24"/>
  <c r="V250" i="24"/>
  <c r="P250" i="24"/>
  <c r="L250" i="24"/>
  <c r="L249" i="20"/>
  <c r="V249" i="20"/>
  <c r="AK249" i="20"/>
  <c r="Y249" i="20"/>
  <c r="Y249" i="24"/>
  <c r="Z249" i="24"/>
  <c r="AO249" i="24"/>
  <c r="AN249" i="24"/>
  <c r="AK249" i="24"/>
  <c r="AJ249" i="24"/>
  <c r="AI249" i="24"/>
  <c r="AG249" i="24"/>
  <c r="X249" i="24"/>
  <c r="V249" i="24"/>
  <c r="P249" i="24"/>
  <c r="L249" i="24"/>
  <c r="L248" i="20"/>
  <c r="V248" i="20"/>
  <c r="AK248" i="20"/>
  <c r="Y248" i="20"/>
  <c r="Y248" i="24"/>
  <c r="Z248" i="24"/>
  <c r="AO248" i="24"/>
  <c r="AN248" i="24"/>
  <c r="AK248" i="24"/>
  <c r="AJ248" i="24"/>
  <c r="AI248" i="24"/>
  <c r="AG248" i="24"/>
  <c r="X248" i="24"/>
  <c r="V248" i="24"/>
  <c r="P248" i="24"/>
  <c r="L248" i="24"/>
  <c r="L247" i="20"/>
  <c r="V247" i="20"/>
  <c r="AK247" i="20"/>
  <c r="Y247" i="20"/>
  <c r="Y247" i="24"/>
  <c r="Z247" i="24"/>
  <c r="AO247" i="24"/>
  <c r="AN247" i="24"/>
  <c r="AK247" i="24"/>
  <c r="AJ247" i="24"/>
  <c r="AI247" i="24"/>
  <c r="AG247" i="24"/>
  <c r="X247" i="24"/>
  <c r="V247" i="24"/>
  <c r="P247" i="24"/>
  <c r="L247" i="24"/>
  <c r="L246" i="20"/>
  <c r="V246" i="20"/>
  <c r="AK246" i="20"/>
  <c r="Y246" i="20"/>
  <c r="Y246" i="24"/>
  <c r="Z246" i="24"/>
  <c r="AO246" i="24"/>
  <c r="AN246" i="24"/>
  <c r="AK246" i="24"/>
  <c r="AJ246" i="24"/>
  <c r="AI246" i="24"/>
  <c r="AG246" i="24"/>
  <c r="X246" i="24"/>
  <c r="V246" i="24"/>
  <c r="P246" i="24"/>
  <c r="L246" i="24"/>
  <c r="L245" i="20"/>
  <c r="V245" i="20"/>
  <c r="AK245" i="20"/>
  <c r="Y245" i="20"/>
  <c r="Y245" i="24"/>
  <c r="Z245" i="24"/>
  <c r="AO245" i="24"/>
  <c r="AN245" i="24"/>
  <c r="AK245" i="24"/>
  <c r="AJ245" i="24"/>
  <c r="AI245" i="24"/>
  <c r="AG245" i="24"/>
  <c r="X245" i="24"/>
  <c r="V245" i="24"/>
  <c r="P245" i="24"/>
  <c r="L245" i="24"/>
  <c r="L244" i="20"/>
  <c r="V244" i="20"/>
  <c r="AK244" i="20"/>
  <c r="Y244" i="20"/>
  <c r="Y244" i="24"/>
  <c r="Z244" i="24"/>
  <c r="AO244" i="24"/>
  <c r="AN244" i="24"/>
  <c r="AK244" i="24"/>
  <c r="AJ244" i="24"/>
  <c r="AI244" i="24"/>
  <c r="AG244" i="24"/>
  <c r="X244" i="24"/>
  <c r="V244" i="24"/>
  <c r="P244" i="24"/>
  <c r="L244" i="24"/>
  <c r="L243" i="20"/>
  <c r="V243" i="20"/>
  <c r="AK243" i="20"/>
  <c r="Y243" i="20"/>
  <c r="Y243" i="24"/>
  <c r="Z243" i="24"/>
  <c r="AO243" i="24"/>
  <c r="AN243" i="24"/>
  <c r="AK243" i="24"/>
  <c r="AJ243" i="24"/>
  <c r="AI243" i="24"/>
  <c r="AG243" i="24"/>
  <c r="X243" i="24"/>
  <c r="V243" i="24"/>
  <c r="P243" i="24"/>
  <c r="L243" i="24"/>
  <c r="L242" i="20"/>
  <c r="V242" i="20"/>
  <c r="AK242" i="20"/>
  <c r="Y242" i="20"/>
  <c r="Y242" i="24"/>
  <c r="Z242" i="24"/>
  <c r="AO242" i="24"/>
  <c r="AN242" i="24"/>
  <c r="AK242" i="24"/>
  <c r="AJ242" i="24"/>
  <c r="AI242" i="24"/>
  <c r="AG242" i="24"/>
  <c r="X242" i="24"/>
  <c r="V242" i="24"/>
  <c r="P242" i="24"/>
  <c r="L242" i="24"/>
  <c r="L241" i="20"/>
  <c r="V241" i="20"/>
  <c r="AK241" i="20"/>
  <c r="Y241" i="20"/>
  <c r="Y241" i="24"/>
  <c r="Z241" i="24"/>
  <c r="AO241" i="24"/>
  <c r="AN241" i="24"/>
  <c r="AK241" i="24"/>
  <c r="AJ241" i="24"/>
  <c r="AI241" i="24"/>
  <c r="AG241" i="24"/>
  <c r="X241" i="24"/>
  <c r="V241" i="24"/>
  <c r="P241" i="24"/>
  <c r="L241" i="24"/>
  <c r="L240" i="20"/>
  <c r="V240" i="20"/>
  <c r="AK240" i="20"/>
  <c r="Y240" i="20"/>
  <c r="Y240" i="24"/>
  <c r="Z240" i="24"/>
  <c r="AO240" i="24"/>
  <c r="AN240" i="24"/>
  <c r="AK240" i="24"/>
  <c r="AJ240" i="24"/>
  <c r="AI240" i="24"/>
  <c r="AG240" i="24"/>
  <c r="X240" i="24"/>
  <c r="V240" i="24"/>
  <c r="P240" i="24"/>
  <c r="L240" i="24"/>
  <c r="L239" i="20"/>
  <c r="V239" i="20"/>
  <c r="AK239" i="20"/>
  <c r="Y239" i="20"/>
  <c r="Y239" i="24"/>
  <c r="Z239" i="24"/>
  <c r="AO239" i="24"/>
  <c r="AN239" i="24"/>
  <c r="AK239" i="24"/>
  <c r="AJ239" i="24"/>
  <c r="AI239" i="24"/>
  <c r="AG239" i="24"/>
  <c r="X239" i="24"/>
  <c r="V239" i="24"/>
  <c r="P239" i="24"/>
  <c r="L239" i="24"/>
  <c r="L238" i="20"/>
  <c r="V238" i="20"/>
  <c r="AK238" i="20"/>
  <c r="Y238" i="20"/>
  <c r="Y238" i="24"/>
  <c r="Z238" i="24"/>
  <c r="AO238" i="24"/>
  <c r="AN238" i="24"/>
  <c r="AK238" i="24"/>
  <c r="AJ238" i="24"/>
  <c r="AI238" i="24"/>
  <c r="AG238" i="24"/>
  <c r="X238" i="24"/>
  <c r="V238" i="24"/>
  <c r="P238" i="24"/>
  <c r="L238" i="24"/>
  <c r="L237" i="20"/>
  <c r="V237" i="20"/>
  <c r="AK237" i="20"/>
  <c r="Y237" i="20"/>
  <c r="Y237" i="24"/>
  <c r="Z237" i="24"/>
  <c r="AO237" i="24"/>
  <c r="AN237" i="24"/>
  <c r="AK237" i="24"/>
  <c r="AJ237" i="24"/>
  <c r="AI237" i="24"/>
  <c r="AG237" i="24"/>
  <c r="X237" i="24"/>
  <c r="V237" i="24"/>
  <c r="P237" i="24"/>
  <c r="L237" i="24"/>
  <c r="L236" i="20"/>
  <c r="V236" i="20"/>
  <c r="AK236" i="20"/>
  <c r="Y236" i="20"/>
  <c r="Y236" i="24"/>
  <c r="Z236" i="24"/>
  <c r="AO236" i="24"/>
  <c r="AN236" i="24"/>
  <c r="AK236" i="24"/>
  <c r="AJ236" i="24"/>
  <c r="AI236" i="24"/>
  <c r="AG236" i="24"/>
  <c r="X236" i="24"/>
  <c r="V236" i="24"/>
  <c r="P236" i="24"/>
  <c r="L236" i="24"/>
  <c r="L235" i="20"/>
  <c r="V235" i="20"/>
  <c r="AK235" i="20"/>
  <c r="Y235" i="20"/>
  <c r="Y235" i="24"/>
  <c r="Z235" i="24"/>
  <c r="AO235" i="24"/>
  <c r="AN235" i="24"/>
  <c r="AK235" i="24"/>
  <c r="AJ235" i="24"/>
  <c r="AI235" i="24"/>
  <c r="AG235" i="24"/>
  <c r="X235" i="24"/>
  <c r="V235" i="24"/>
  <c r="P235" i="24"/>
  <c r="L235" i="24"/>
  <c r="L234" i="20"/>
  <c r="V234" i="20"/>
  <c r="AK234" i="20"/>
  <c r="Y234" i="20"/>
  <c r="Y234" i="24"/>
  <c r="Z234" i="24"/>
  <c r="AO234" i="24"/>
  <c r="AN234" i="24"/>
  <c r="AK234" i="24"/>
  <c r="AJ234" i="24"/>
  <c r="AI234" i="24"/>
  <c r="AG234" i="24"/>
  <c r="X234" i="24"/>
  <c r="V234" i="24"/>
  <c r="P234" i="24"/>
  <c r="L234" i="24"/>
  <c r="L233" i="20"/>
  <c r="V233" i="20"/>
  <c r="AK233" i="20"/>
  <c r="Y233" i="20"/>
  <c r="Y233" i="24"/>
  <c r="Z233" i="24"/>
  <c r="AO233" i="24"/>
  <c r="AN233" i="24"/>
  <c r="AK233" i="24"/>
  <c r="AJ233" i="24"/>
  <c r="AI233" i="24"/>
  <c r="AG233" i="24"/>
  <c r="X233" i="24"/>
  <c r="V233" i="24"/>
  <c r="P233" i="24"/>
  <c r="L233" i="24"/>
  <c r="L232" i="20"/>
  <c r="V232" i="20"/>
  <c r="AK232" i="20"/>
  <c r="Y232" i="20"/>
  <c r="Y232" i="24"/>
  <c r="Z232" i="24"/>
  <c r="AO232" i="24"/>
  <c r="AN232" i="24"/>
  <c r="AK232" i="24"/>
  <c r="AJ232" i="24"/>
  <c r="AI232" i="24"/>
  <c r="AG232" i="24"/>
  <c r="X232" i="24"/>
  <c r="V232" i="24"/>
  <c r="P232" i="24"/>
  <c r="L232" i="24"/>
  <c r="L231" i="20"/>
  <c r="V231" i="20"/>
  <c r="AK231" i="20"/>
  <c r="Y231" i="20"/>
  <c r="Y231" i="24"/>
  <c r="Z231" i="24"/>
  <c r="AO231" i="24"/>
  <c r="AN231" i="24"/>
  <c r="AK231" i="24"/>
  <c r="AJ231" i="24"/>
  <c r="AI231" i="24"/>
  <c r="AG231" i="24"/>
  <c r="X231" i="24"/>
  <c r="V231" i="24"/>
  <c r="P231" i="24"/>
  <c r="L231" i="24"/>
  <c r="L230" i="20"/>
  <c r="V230" i="20"/>
  <c r="AK230" i="20"/>
  <c r="Y230" i="20"/>
  <c r="Y230" i="24"/>
  <c r="Z230" i="24"/>
  <c r="AO230" i="24"/>
  <c r="AN230" i="24"/>
  <c r="AK230" i="24"/>
  <c r="AJ230" i="24"/>
  <c r="AI230" i="24"/>
  <c r="AG230" i="24"/>
  <c r="X230" i="24"/>
  <c r="V230" i="24"/>
  <c r="P230" i="24"/>
  <c r="L230" i="24"/>
  <c r="L229" i="20"/>
  <c r="V229" i="20"/>
  <c r="AK229" i="20"/>
  <c r="Y229" i="20"/>
  <c r="Y229" i="24"/>
  <c r="Z229" i="24"/>
  <c r="AO229" i="24"/>
  <c r="AN229" i="24"/>
  <c r="AK229" i="24"/>
  <c r="AJ229" i="24"/>
  <c r="AI229" i="24"/>
  <c r="AG229" i="24"/>
  <c r="X229" i="24"/>
  <c r="V229" i="24"/>
  <c r="P229" i="24"/>
  <c r="L229" i="24"/>
  <c r="L228" i="20"/>
  <c r="V228" i="20"/>
  <c r="AK228" i="20"/>
  <c r="Y228" i="20"/>
  <c r="Y228" i="24"/>
  <c r="Z228" i="24"/>
  <c r="AO228" i="24"/>
  <c r="AN228" i="24"/>
  <c r="AK228" i="24"/>
  <c r="AJ228" i="24"/>
  <c r="AI228" i="24"/>
  <c r="AG228" i="24"/>
  <c r="X228" i="24"/>
  <c r="V228" i="24"/>
  <c r="P228" i="24"/>
  <c r="L228" i="24"/>
  <c r="L227" i="20"/>
  <c r="V227" i="20"/>
  <c r="AK227" i="20"/>
  <c r="Y227" i="20"/>
  <c r="Y227" i="24"/>
  <c r="Z227" i="24"/>
  <c r="AO227" i="24"/>
  <c r="AN227" i="24"/>
  <c r="AK227" i="24"/>
  <c r="AJ227" i="24"/>
  <c r="AI227" i="24"/>
  <c r="AG227" i="24"/>
  <c r="X227" i="24"/>
  <c r="V227" i="24"/>
  <c r="P227" i="24"/>
  <c r="L227" i="24"/>
  <c r="L226" i="20"/>
  <c r="V226" i="20"/>
  <c r="AK226" i="20"/>
  <c r="Y226" i="20"/>
  <c r="Y226" i="24"/>
  <c r="Z226" i="24"/>
  <c r="AO226" i="24"/>
  <c r="AN226" i="24"/>
  <c r="AK226" i="24"/>
  <c r="AJ226" i="24"/>
  <c r="AI226" i="24"/>
  <c r="AG226" i="24"/>
  <c r="X226" i="24"/>
  <c r="V226" i="24"/>
  <c r="P226" i="24"/>
  <c r="L226" i="24"/>
  <c r="L225" i="20"/>
  <c r="V225" i="20"/>
  <c r="AK225" i="20"/>
  <c r="Y225" i="20"/>
  <c r="Y225" i="24"/>
  <c r="Z225" i="24"/>
  <c r="AO225" i="24"/>
  <c r="AN225" i="24"/>
  <c r="AK225" i="24"/>
  <c r="AJ225" i="24"/>
  <c r="AI225" i="24"/>
  <c r="AG225" i="24"/>
  <c r="X225" i="24"/>
  <c r="V225" i="24"/>
  <c r="P225" i="24"/>
  <c r="L225" i="24"/>
  <c r="L224" i="20"/>
  <c r="V224" i="20"/>
  <c r="AK224" i="20"/>
  <c r="Y224" i="20"/>
  <c r="Y224" i="24"/>
  <c r="Z224" i="24"/>
  <c r="AO224" i="24"/>
  <c r="AN224" i="24"/>
  <c r="AK224" i="24"/>
  <c r="AJ224" i="24"/>
  <c r="AI224" i="24"/>
  <c r="AG224" i="24"/>
  <c r="X224" i="24"/>
  <c r="V224" i="24"/>
  <c r="P224" i="24"/>
  <c r="L224" i="24"/>
  <c r="L223" i="20"/>
  <c r="V223" i="20"/>
  <c r="AK223" i="20"/>
  <c r="Y223" i="20"/>
  <c r="Y223" i="24"/>
  <c r="Z223" i="24"/>
  <c r="AO223" i="24"/>
  <c r="AN223" i="24"/>
  <c r="AK223" i="24"/>
  <c r="AJ223" i="24"/>
  <c r="AI223" i="24"/>
  <c r="AG223" i="24"/>
  <c r="X223" i="24"/>
  <c r="V223" i="24"/>
  <c r="P223" i="24"/>
  <c r="L223" i="24"/>
  <c r="L222" i="20"/>
  <c r="V222" i="20"/>
  <c r="AK222" i="20"/>
  <c r="Y222" i="20"/>
  <c r="Y222" i="24"/>
  <c r="Z222" i="24"/>
  <c r="AO222" i="24"/>
  <c r="AN222" i="24"/>
  <c r="AK222" i="24"/>
  <c r="AJ222" i="24"/>
  <c r="AI222" i="24"/>
  <c r="AG222" i="24"/>
  <c r="X222" i="24"/>
  <c r="V222" i="24"/>
  <c r="P222" i="24"/>
  <c r="L222" i="24"/>
  <c r="L221" i="20"/>
  <c r="V221" i="20"/>
  <c r="AK221" i="20"/>
  <c r="Y221" i="20"/>
  <c r="Y221" i="24"/>
  <c r="Z221" i="24"/>
  <c r="AO221" i="24"/>
  <c r="AN221" i="24"/>
  <c r="AK221" i="24"/>
  <c r="AJ221" i="24"/>
  <c r="AI221" i="24"/>
  <c r="AG221" i="24"/>
  <c r="X221" i="24"/>
  <c r="V221" i="24"/>
  <c r="P221" i="24"/>
  <c r="L221" i="24"/>
  <c r="L220" i="20"/>
  <c r="V220" i="20"/>
  <c r="AK220" i="20"/>
  <c r="Y220" i="20"/>
  <c r="Y220" i="24"/>
  <c r="Z220" i="24"/>
  <c r="AO220" i="24"/>
  <c r="AN220" i="24"/>
  <c r="AK220" i="24"/>
  <c r="AJ220" i="24"/>
  <c r="AI220" i="24"/>
  <c r="AG220" i="24"/>
  <c r="X220" i="24"/>
  <c r="V220" i="24"/>
  <c r="P220" i="24"/>
  <c r="L220" i="24"/>
  <c r="L219" i="20"/>
  <c r="V219" i="20"/>
  <c r="AK219" i="20"/>
  <c r="Y219" i="20"/>
  <c r="Y219" i="24"/>
  <c r="Z219" i="24"/>
  <c r="AO219" i="24"/>
  <c r="AN219" i="24"/>
  <c r="AK219" i="24"/>
  <c r="AJ219" i="24"/>
  <c r="AI219" i="24"/>
  <c r="AG219" i="24"/>
  <c r="X219" i="24"/>
  <c r="V219" i="24"/>
  <c r="P219" i="24"/>
  <c r="L219" i="24"/>
  <c r="L218" i="20"/>
  <c r="V218" i="20"/>
  <c r="AK218" i="20"/>
  <c r="Y218" i="20"/>
  <c r="Y218" i="24"/>
  <c r="Z218" i="24"/>
  <c r="AO218" i="24"/>
  <c r="AN218" i="24"/>
  <c r="AK218" i="24"/>
  <c r="AJ218" i="24"/>
  <c r="AI218" i="24"/>
  <c r="AG218" i="24"/>
  <c r="X218" i="24"/>
  <c r="V218" i="24"/>
  <c r="P218" i="24"/>
  <c r="L218" i="24"/>
  <c r="L217" i="20"/>
  <c r="V217" i="20"/>
  <c r="AK217" i="20"/>
  <c r="Y217" i="20"/>
  <c r="Y217" i="24"/>
  <c r="Z217" i="24"/>
  <c r="AO217" i="24"/>
  <c r="AN217" i="24"/>
  <c r="AK217" i="24"/>
  <c r="AJ217" i="24"/>
  <c r="AI217" i="24"/>
  <c r="AG217" i="24"/>
  <c r="X217" i="24"/>
  <c r="V217" i="24"/>
  <c r="P217" i="24"/>
  <c r="L217" i="24"/>
  <c r="L216" i="20"/>
  <c r="V216" i="20"/>
  <c r="AK216" i="20"/>
  <c r="Y216" i="20"/>
  <c r="Y216" i="24"/>
  <c r="Z216" i="24"/>
  <c r="AO216" i="24"/>
  <c r="AN216" i="24"/>
  <c r="AK216" i="24"/>
  <c r="AJ216" i="24"/>
  <c r="AI216" i="24"/>
  <c r="AG216" i="24"/>
  <c r="X216" i="24"/>
  <c r="V216" i="24"/>
  <c r="P216" i="24"/>
  <c r="L216" i="24"/>
  <c r="L215" i="20"/>
  <c r="V215" i="20"/>
  <c r="AK215" i="20"/>
  <c r="Y215" i="20"/>
  <c r="Y215" i="24"/>
  <c r="Z215" i="24"/>
  <c r="AO215" i="24"/>
  <c r="AN215" i="24"/>
  <c r="AK215" i="24"/>
  <c r="AJ215" i="24"/>
  <c r="AI215" i="24"/>
  <c r="AG215" i="24"/>
  <c r="X215" i="24"/>
  <c r="V215" i="24"/>
  <c r="P215" i="24"/>
  <c r="L215" i="24"/>
  <c r="L214" i="20"/>
  <c r="V214" i="20"/>
  <c r="AK214" i="20"/>
  <c r="Y214" i="20"/>
  <c r="Y214" i="24"/>
  <c r="Z214" i="24"/>
  <c r="AO214" i="24"/>
  <c r="AN214" i="24"/>
  <c r="AK214" i="24"/>
  <c r="AJ214" i="24"/>
  <c r="AI214" i="24"/>
  <c r="AG214" i="24"/>
  <c r="X214" i="24"/>
  <c r="V214" i="24"/>
  <c r="P214" i="24"/>
  <c r="L214" i="24"/>
  <c r="L213" i="20"/>
  <c r="V213" i="20"/>
  <c r="AK213" i="20"/>
  <c r="Y213" i="20"/>
  <c r="Y213" i="24"/>
  <c r="Z213" i="24"/>
  <c r="AO213" i="24"/>
  <c r="AN213" i="24"/>
  <c r="AK213" i="24"/>
  <c r="AJ213" i="24"/>
  <c r="AI213" i="24"/>
  <c r="AG213" i="24"/>
  <c r="X213" i="24"/>
  <c r="V213" i="24"/>
  <c r="P213" i="24"/>
  <c r="L213" i="24"/>
  <c r="L212" i="20"/>
  <c r="V212" i="20"/>
  <c r="AK212" i="20"/>
  <c r="Y212" i="20"/>
  <c r="Y212" i="24"/>
  <c r="Z212" i="24"/>
  <c r="AO212" i="24"/>
  <c r="AN212" i="24"/>
  <c r="AK212" i="24"/>
  <c r="AJ212" i="24"/>
  <c r="AI212" i="24"/>
  <c r="AG212" i="24"/>
  <c r="X212" i="24"/>
  <c r="V212" i="24"/>
  <c r="P212" i="24"/>
  <c r="L212" i="24"/>
  <c r="L211" i="20"/>
  <c r="V211" i="20"/>
  <c r="AK211" i="20"/>
  <c r="Y211" i="20"/>
  <c r="Y211" i="24"/>
  <c r="Z211" i="24"/>
  <c r="AO211" i="24"/>
  <c r="AN211" i="24"/>
  <c r="AK211" i="24"/>
  <c r="AJ211" i="24"/>
  <c r="AI211" i="24"/>
  <c r="AG211" i="24"/>
  <c r="X211" i="24"/>
  <c r="V211" i="24"/>
  <c r="P211" i="24"/>
  <c r="L211" i="24"/>
  <c r="L210" i="20"/>
  <c r="V210" i="20"/>
  <c r="AK210" i="20"/>
  <c r="Y210" i="20"/>
  <c r="Y210" i="24"/>
  <c r="Z210" i="24"/>
  <c r="AO210" i="24"/>
  <c r="AN210" i="24"/>
  <c r="AK210" i="24"/>
  <c r="AJ210" i="24"/>
  <c r="AI210" i="24"/>
  <c r="AG210" i="24"/>
  <c r="X210" i="24"/>
  <c r="V210" i="24"/>
  <c r="P210" i="24"/>
  <c r="L210" i="24"/>
  <c r="L209" i="20"/>
  <c r="V209" i="20"/>
  <c r="AK209" i="20"/>
  <c r="Y209" i="20"/>
  <c r="Y209" i="24"/>
  <c r="Z209" i="24"/>
  <c r="AO209" i="24"/>
  <c r="AN209" i="24"/>
  <c r="AK209" i="24"/>
  <c r="AJ209" i="24"/>
  <c r="AI209" i="24"/>
  <c r="AG209" i="24"/>
  <c r="X209" i="24"/>
  <c r="V209" i="24"/>
  <c r="P209" i="24"/>
  <c r="L209" i="24"/>
  <c r="L208" i="20"/>
  <c r="V208" i="20"/>
  <c r="AK208" i="20"/>
  <c r="Y208" i="20"/>
  <c r="Y208" i="24"/>
  <c r="Z208" i="24"/>
  <c r="AO208" i="24"/>
  <c r="AN208" i="24"/>
  <c r="AK208" i="24"/>
  <c r="AJ208" i="24"/>
  <c r="AI208" i="24"/>
  <c r="AG208" i="24"/>
  <c r="X208" i="24"/>
  <c r="V208" i="24"/>
  <c r="P208" i="24"/>
  <c r="L208" i="24"/>
  <c r="L207" i="20"/>
  <c r="V207" i="20"/>
  <c r="AK207" i="20"/>
  <c r="Y207" i="20"/>
  <c r="Y207" i="24"/>
  <c r="Z207" i="24"/>
  <c r="AO207" i="24"/>
  <c r="AN207" i="24"/>
  <c r="AK207" i="24"/>
  <c r="AJ207" i="24"/>
  <c r="AI207" i="24"/>
  <c r="AG207" i="24"/>
  <c r="X207" i="24"/>
  <c r="V207" i="24"/>
  <c r="P207" i="24"/>
  <c r="L207" i="24"/>
  <c r="L206" i="20"/>
  <c r="V206" i="20"/>
  <c r="AK206" i="20"/>
  <c r="Y206" i="20"/>
  <c r="Y206" i="24"/>
  <c r="Z206" i="24"/>
  <c r="AO206" i="24"/>
  <c r="AN206" i="24"/>
  <c r="AK206" i="24"/>
  <c r="AJ206" i="24"/>
  <c r="AI206" i="24"/>
  <c r="AG206" i="24"/>
  <c r="X206" i="24"/>
  <c r="V206" i="24"/>
  <c r="P206" i="24"/>
  <c r="L206" i="24"/>
  <c r="L205" i="20"/>
  <c r="V205" i="20"/>
  <c r="AK205" i="20"/>
  <c r="Y205" i="20"/>
  <c r="Y205" i="24"/>
  <c r="Z205" i="24"/>
  <c r="AO205" i="24"/>
  <c r="AN205" i="24"/>
  <c r="AK205" i="24"/>
  <c r="AJ205" i="24"/>
  <c r="AI205" i="24"/>
  <c r="AG205" i="24"/>
  <c r="X205" i="24"/>
  <c r="V205" i="24"/>
  <c r="P205" i="24"/>
  <c r="L205" i="24"/>
  <c r="L204" i="20"/>
  <c r="V204" i="20"/>
  <c r="AK204" i="20"/>
  <c r="Y204" i="20"/>
  <c r="Y204" i="24"/>
  <c r="Z204" i="24"/>
  <c r="AO204" i="24"/>
  <c r="AN204" i="24"/>
  <c r="AK204" i="24"/>
  <c r="AJ204" i="24"/>
  <c r="AI204" i="24"/>
  <c r="AG204" i="24"/>
  <c r="X204" i="24"/>
  <c r="V204" i="24"/>
  <c r="P204" i="24"/>
  <c r="L204" i="24"/>
  <c r="L203" i="20"/>
  <c r="V203" i="20"/>
  <c r="AK203" i="20"/>
  <c r="Y203" i="20"/>
  <c r="Y203" i="24"/>
  <c r="Z203" i="24"/>
  <c r="AO203" i="24"/>
  <c r="AN203" i="24"/>
  <c r="AK203" i="24"/>
  <c r="AJ203" i="24"/>
  <c r="AI203" i="24"/>
  <c r="AG203" i="24"/>
  <c r="X203" i="24"/>
  <c r="V203" i="24"/>
  <c r="P203" i="24"/>
  <c r="L203" i="24"/>
  <c r="L202" i="20"/>
  <c r="V202" i="20"/>
  <c r="AK202" i="20"/>
  <c r="Y202" i="20"/>
  <c r="Y202" i="24"/>
  <c r="Z202" i="24"/>
  <c r="AO202" i="24"/>
  <c r="AN202" i="24"/>
  <c r="AK202" i="24"/>
  <c r="AJ202" i="24"/>
  <c r="AI202" i="24"/>
  <c r="AG202" i="24"/>
  <c r="X202" i="24"/>
  <c r="V202" i="24"/>
  <c r="P202" i="24"/>
  <c r="L202" i="24"/>
  <c r="L201" i="20"/>
  <c r="V201" i="20"/>
  <c r="AK201" i="20"/>
  <c r="Y201" i="20"/>
  <c r="Y201" i="24"/>
  <c r="Z201" i="24"/>
  <c r="AO201" i="24"/>
  <c r="AN201" i="24"/>
  <c r="AK201" i="24"/>
  <c r="AJ201" i="24"/>
  <c r="AI201" i="24"/>
  <c r="AG201" i="24"/>
  <c r="X201" i="24"/>
  <c r="V201" i="24"/>
  <c r="P201" i="24"/>
  <c r="L201" i="24"/>
  <c r="L200" i="20"/>
  <c r="V200" i="20"/>
  <c r="AK200" i="20"/>
  <c r="Y200" i="20"/>
  <c r="Y200" i="24"/>
  <c r="Z200" i="24"/>
  <c r="AO200" i="24"/>
  <c r="AN200" i="24"/>
  <c r="AK200" i="24"/>
  <c r="AJ200" i="24"/>
  <c r="AI200" i="24"/>
  <c r="AG200" i="24"/>
  <c r="X200" i="24"/>
  <c r="V200" i="24"/>
  <c r="P200" i="24"/>
  <c r="L200" i="24"/>
  <c r="L199" i="20"/>
  <c r="V199" i="20"/>
  <c r="AK199" i="20"/>
  <c r="Y199" i="20"/>
  <c r="Y199" i="24"/>
  <c r="Z199" i="24"/>
  <c r="AO199" i="24"/>
  <c r="AN199" i="24"/>
  <c r="AK199" i="24"/>
  <c r="AJ199" i="24"/>
  <c r="AI199" i="24"/>
  <c r="AG199" i="24"/>
  <c r="X199" i="24"/>
  <c r="V199" i="24"/>
  <c r="P199" i="24"/>
  <c r="L199" i="24"/>
  <c r="L198" i="20"/>
  <c r="V198" i="20"/>
  <c r="AK198" i="20"/>
  <c r="Y198" i="20"/>
  <c r="Y198" i="24"/>
  <c r="Z198" i="24"/>
  <c r="AO198" i="24"/>
  <c r="AN198" i="24"/>
  <c r="AK198" i="24"/>
  <c r="AJ198" i="24"/>
  <c r="AI198" i="24"/>
  <c r="AG198" i="24"/>
  <c r="X198" i="24"/>
  <c r="V198" i="24"/>
  <c r="P198" i="24"/>
  <c r="L198" i="24"/>
  <c r="L197" i="20"/>
  <c r="V197" i="20"/>
  <c r="AK197" i="20"/>
  <c r="Y197" i="20"/>
  <c r="Y197" i="24"/>
  <c r="Z197" i="24"/>
  <c r="AO197" i="24"/>
  <c r="AN197" i="24"/>
  <c r="AK197" i="24"/>
  <c r="AJ197" i="24"/>
  <c r="AI197" i="24"/>
  <c r="AG197" i="24"/>
  <c r="X197" i="24"/>
  <c r="V197" i="24"/>
  <c r="P197" i="24"/>
  <c r="L197" i="24"/>
  <c r="L196" i="20"/>
  <c r="V196" i="20"/>
  <c r="AK196" i="20"/>
  <c r="Y196" i="20"/>
  <c r="Y196" i="24"/>
  <c r="Z196" i="24"/>
  <c r="AO196" i="24"/>
  <c r="AN196" i="24"/>
  <c r="AK196" i="24"/>
  <c r="AJ196" i="24"/>
  <c r="AI196" i="24"/>
  <c r="AG196" i="24"/>
  <c r="X196" i="24"/>
  <c r="V196" i="24"/>
  <c r="P196" i="24"/>
  <c r="L196" i="24"/>
  <c r="L195" i="20"/>
  <c r="V195" i="20"/>
  <c r="AK195" i="20"/>
  <c r="Y195" i="20"/>
  <c r="Y195" i="24"/>
  <c r="Z195" i="24"/>
  <c r="AO195" i="24"/>
  <c r="AN195" i="24"/>
  <c r="AK195" i="24"/>
  <c r="AJ195" i="24"/>
  <c r="AI195" i="24"/>
  <c r="AG195" i="24"/>
  <c r="X195" i="24"/>
  <c r="V195" i="24"/>
  <c r="P195" i="24"/>
  <c r="L195" i="24"/>
  <c r="L194" i="20"/>
  <c r="V194" i="20"/>
  <c r="AK194" i="20"/>
  <c r="Y194" i="20"/>
  <c r="Y194" i="24"/>
  <c r="Z194" i="24"/>
  <c r="AO194" i="24"/>
  <c r="AN194" i="24"/>
  <c r="AK194" i="24"/>
  <c r="AJ194" i="24"/>
  <c r="AI194" i="24"/>
  <c r="AG194" i="24"/>
  <c r="X194" i="24"/>
  <c r="V194" i="24"/>
  <c r="P194" i="24"/>
  <c r="L194" i="24"/>
  <c r="L193" i="20"/>
  <c r="V193" i="20"/>
  <c r="AK193" i="20"/>
  <c r="Y193" i="20"/>
  <c r="Y193" i="24"/>
  <c r="Z193" i="24"/>
  <c r="AO193" i="24"/>
  <c r="AN193" i="24"/>
  <c r="AK193" i="24"/>
  <c r="AJ193" i="24"/>
  <c r="AI193" i="24"/>
  <c r="AG193" i="24"/>
  <c r="X193" i="24"/>
  <c r="V193" i="24"/>
  <c r="P193" i="24"/>
  <c r="L193" i="24"/>
  <c r="L192" i="20"/>
  <c r="V192" i="20"/>
  <c r="AK192" i="20"/>
  <c r="Y192" i="20"/>
  <c r="Y192" i="24"/>
  <c r="Z192" i="24"/>
  <c r="AO192" i="24"/>
  <c r="AN192" i="24"/>
  <c r="AK192" i="24"/>
  <c r="AJ192" i="24"/>
  <c r="AI192" i="24"/>
  <c r="AG192" i="24"/>
  <c r="X192" i="24"/>
  <c r="V192" i="24"/>
  <c r="P192" i="24"/>
  <c r="L192" i="24"/>
  <c r="L191" i="20"/>
  <c r="V191" i="20"/>
  <c r="AK191" i="20"/>
  <c r="Y191" i="20"/>
  <c r="Y191" i="24"/>
  <c r="Z191" i="24"/>
  <c r="AO191" i="24"/>
  <c r="AN191" i="24"/>
  <c r="AK191" i="24"/>
  <c r="AJ191" i="24"/>
  <c r="AI191" i="24"/>
  <c r="AG191" i="24"/>
  <c r="X191" i="24"/>
  <c r="V191" i="24"/>
  <c r="P191" i="24"/>
  <c r="L191" i="24"/>
  <c r="L190" i="20"/>
  <c r="V190" i="20"/>
  <c r="AK190" i="20"/>
  <c r="Y190" i="20"/>
  <c r="Y190" i="24"/>
  <c r="Z190" i="24"/>
  <c r="AO190" i="24"/>
  <c r="AN190" i="24"/>
  <c r="AK190" i="24"/>
  <c r="AJ190" i="24"/>
  <c r="AI190" i="24"/>
  <c r="AG190" i="24"/>
  <c r="X190" i="24"/>
  <c r="V190" i="24"/>
  <c r="P190" i="24"/>
  <c r="L190" i="24"/>
  <c r="L189" i="20"/>
  <c r="V189" i="20"/>
  <c r="AK189" i="20"/>
  <c r="Y189" i="20"/>
  <c r="Y189" i="24"/>
  <c r="Z189" i="24"/>
  <c r="AO189" i="24"/>
  <c r="AN189" i="24"/>
  <c r="AK189" i="24"/>
  <c r="AJ189" i="24"/>
  <c r="AI189" i="24"/>
  <c r="AG189" i="24"/>
  <c r="X189" i="24"/>
  <c r="V189" i="24"/>
  <c r="P189" i="24"/>
  <c r="L189" i="24"/>
  <c r="L188" i="20"/>
  <c r="V188" i="20"/>
  <c r="AK188" i="20"/>
  <c r="Y188" i="20"/>
  <c r="Y188" i="24"/>
  <c r="Z188" i="24"/>
  <c r="AO188" i="24"/>
  <c r="AN188" i="24"/>
  <c r="AK188" i="24"/>
  <c r="AJ188" i="24"/>
  <c r="AI188" i="24"/>
  <c r="AG188" i="24"/>
  <c r="X188" i="24"/>
  <c r="V188" i="24"/>
  <c r="P188" i="24"/>
  <c r="L188" i="24"/>
  <c r="L187" i="20"/>
  <c r="V187" i="20"/>
  <c r="AK187" i="20"/>
  <c r="Y187" i="20"/>
  <c r="Y187" i="24"/>
  <c r="Z187" i="24"/>
  <c r="AO187" i="24"/>
  <c r="AN187" i="24"/>
  <c r="AK187" i="24"/>
  <c r="AJ187" i="24"/>
  <c r="AI187" i="24"/>
  <c r="AG187" i="24"/>
  <c r="X187" i="24"/>
  <c r="V187" i="24"/>
  <c r="P187" i="24"/>
  <c r="L187" i="24"/>
  <c r="L186" i="20"/>
  <c r="V186" i="20"/>
  <c r="AK186" i="20"/>
  <c r="Y186" i="20"/>
  <c r="Y186" i="24"/>
  <c r="Z186" i="24"/>
  <c r="AO186" i="24"/>
  <c r="AN186" i="24"/>
  <c r="AK186" i="24"/>
  <c r="AJ186" i="24"/>
  <c r="AI186" i="24"/>
  <c r="AG186" i="24"/>
  <c r="X186" i="24"/>
  <c r="V186" i="24"/>
  <c r="P186" i="24"/>
  <c r="L186" i="24"/>
  <c r="L185" i="20"/>
  <c r="V185" i="20"/>
  <c r="AK185" i="20"/>
  <c r="Y185" i="20"/>
  <c r="Y185" i="24"/>
  <c r="Z185" i="24"/>
  <c r="AO185" i="24"/>
  <c r="AN185" i="24"/>
  <c r="AK185" i="24"/>
  <c r="AJ185" i="24"/>
  <c r="AI185" i="24"/>
  <c r="AG185" i="24"/>
  <c r="X185" i="24"/>
  <c r="V185" i="24"/>
  <c r="P185" i="24"/>
  <c r="L185" i="24"/>
  <c r="L184" i="20"/>
  <c r="V184" i="20"/>
  <c r="AK184" i="20"/>
  <c r="Y184" i="20"/>
  <c r="Y184" i="24"/>
  <c r="Z184" i="24"/>
  <c r="AO184" i="24"/>
  <c r="AN184" i="24"/>
  <c r="AK184" i="24"/>
  <c r="AJ184" i="24"/>
  <c r="AI184" i="24"/>
  <c r="AG184" i="24"/>
  <c r="X184" i="24"/>
  <c r="V184" i="24"/>
  <c r="P184" i="24"/>
  <c r="L184" i="24"/>
  <c r="L183" i="20"/>
  <c r="V183" i="20"/>
  <c r="AK183" i="20"/>
  <c r="Y183" i="20"/>
  <c r="Y183" i="24"/>
  <c r="Z183" i="24"/>
  <c r="AO183" i="24"/>
  <c r="AN183" i="24"/>
  <c r="AK183" i="24"/>
  <c r="AJ183" i="24"/>
  <c r="AI183" i="24"/>
  <c r="AG183" i="24"/>
  <c r="X183" i="24"/>
  <c r="V183" i="24"/>
  <c r="P183" i="24"/>
  <c r="L183" i="24"/>
  <c r="L182" i="20"/>
  <c r="V182" i="20"/>
  <c r="AK182" i="20"/>
  <c r="Y182" i="20"/>
  <c r="Y182" i="24"/>
  <c r="Z182" i="24"/>
  <c r="AO182" i="24"/>
  <c r="AN182" i="24"/>
  <c r="AK182" i="24"/>
  <c r="AJ182" i="24"/>
  <c r="AI182" i="24"/>
  <c r="AG182" i="24"/>
  <c r="X182" i="24"/>
  <c r="V182" i="24"/>
  <c r="P182" i="24"/>
  <c r="L182" i="24"/>
  <c r="L181" i="20"/>
  <c r="V181" i="20"/>
  <c r="AK181" i="20"/>
  <c r="Y181" i="20"/>
  <c r="Y181" i="24"/>
  <c r="Z181" i="24"/>
  <c r="AO181" i="24"/>
  <c r="AN181" i="24"/>
  <c r="AK181" i="24"/>
  <c r="AJ181" i="24"/>
  <c r="AI181" i="24"/>
  <c r="AG181" i="24"/>
  <c r="X181" i="24"/>
  <c r="V181" i="24"/>
  <c r="P181" i="24"/>
  <c r="L181" i="24"/>
  <c r="L180" i="20"/>
  <c r="V180" i="20"/>
  <c r="AK180" i="20"/>
  <c r="Y180" i="20"/>
  <c r="Y180" i="24"/>
  <c r="Z180" i="24"/>
  <c r="AO180" i="24"/>
  <c r="AN180" i="24"/>
  <c r="AK180" i="24"/>
  <c r="AJ180" i="24"/>
  <c r="AI180" i="24"/>
  <c r="AG180" i="24"/>
  <c r="X180" i="24"/>
  <c r="V180" i="24"/>
  <c r="P180" i="24"/>
  <c r="L180" i="24"/>
  <c r="L179" i="20"/>
  <c r="V179" i="20"/>
  <c r="AK179" i="20"/>
  <c r="Y179" i="20"/>
  <c r="Y179" i="24"/>
  <c r="Z179" i="24"/>
  <c r="AO179" i="24"/>
  <c r="AN179" i="24"/>
  <c r="AK179" i="24"/>
  <c r="AJ179" i="24"/>
  <c r="AI179" i="24"/>
  <c r="AG179" i="24"/>
  <c r="X179" i="24"/>
  <c r="V179" i="24"/>
  <c r="P179" i="24"/>
  <c r="L179" i="24"/>
  <c r="L178" i="20"/>
  <c r="V178" i="20"/>
  <c r="AK178" i="20"/>
  <c r="Y178" i="20"/>
  <c r="Y178" i="24"/>
  <c r="Z178" i="24"/>
  <c r="AO178" i="24"/>
  <c r="AN178" i="24"/>
  <c r="AK178" i="24"/>
  <c r="AJ178" i="24"/>
  <c r="AI178" i="24"/>
  <c r="AG178" i="24"/>
  <c r="X178" i="24"/>
  <c r="V178" i="24"/>
  <c r="P178" i="24"/>
  <c r="L178" i="24"/>
  <c r="L177" i="20"/>
  <c r="V177" i="20"/>
  <c r="AK177" i="20"/>
  <c r="Y177" i="20"/>
  <c r="Y177" i="24"/>
  <c r="Z177" i="24"/>
  <c r="AO177" i="24"/>
  <c r="AN177" i="24"/>
  <c r="AK177" i="24"/>
  <c r="AJ177" i="24"/>
  <c r="AI177" i="24"/>
  <c r="AG177" i="24"/>
  <c r="X177" i="24"/>
  <c r="V177" i="24"/>
  <c r="P177" i="24"/>
  <c r="L177" i="24"/>
  <c r="L176" i="20"/>
  <c r="V176" i="20"/>
  <c r="AK176" i="20"/>
  <c r="Y176" i="20"/>
  <c r="Y176" i="24"/>
  <c r="Z176" i="24"/>
  <c r="AO176" i="24"/>
  <c r="AN176" i="24"/>
  <c r="AK176" i="24"/>
  <c r="AJ176" i="24"/>
  <c r="AI176" i="24"/>
  <c r="AG176" i="24"/>
  <c r="X176" i="24"/>
  <c r="V176" i="24"/>
  <c r="P176" i="24"/>
  <c r="L176" i="24"/>
  <c r="L175" i="20"/>
  <c r="V175" i="20"/>
  <c r="AK175" i="20"/>
  <c r="Y175" i="20"/>
  <c r="Y175" i="24"/>
  <c r="Z175" i="24"/>
  <c r="AO175" i="24"/>
  <c r="AN175" i="24"/>
  <c r="AK175" i="24"/>
  <c r="AJ175" i="24"/>
  <c r="AI175" i="24"/>
  <c r="AG175" i="24"/>
  <c r="X175" i="24"/>
  <c r="V175" i="24"/>
  <c r="P175" i="24"/>
  <c r="L175" i="24"/>
  <c r="L174" i="20"/>
  <c r="V174" i="20"/>
  <c r="AK174" i="20"/>
  <c r="Y174" i="20"/>
  <c r="Y174" i="24"/>
  <c r="Z174" i="24"/>
  <c r="AO174" i="24"/>
  <c r="AN174" i="24"/>
  <c r="AK174" i="24"/>
  <c r="AJ174" i="24"/>
  <c r="AI174" i="24"/>
  <c r="AG174" i="24"/>
  <c r="X174" i="24"/>
  <c r="V174" i="24"/>
  <c r="P174" i="24"/>
  <c r="L174" i="24"/>
  <c r="L173" i="20"/>
  <c r="V173" i="20"/>
  <c r="AK173" i="20"/>
  <c r="Y173" i="20"/>
  <c r="Y173" i="24"/>
  <c r="Z173" i="24"/>
  <c r="AO173" i="24"/>
  <c r="AN173" i="24"/>
  <c r="AK173" i="24"/>
  <c r="AJ173" i="24"/>
  <c r="AI173" i="24"/>
  <c r="AG173" i="24"/>
  <c r="X173" i="24"/>
  <c r="V173" i="24"/>
  <c r="P173" i="24"/>
  <c r="L173" i="24"/>
  <c r="L172" i="20"/>
  <c r="V172" i="20"/>
  <c r="AK172" i="20"/>
  <c r="Y172" i="20"/>
  <c r="Y172" i="24"/>
  <c r="Z172" i="24"/>
  <c r="AO172" i="24"/>
  <c r="AN172" i="24"/>
  <c r="AK172" i="24"/>
  <c r="AJ172" i="24"/>
  <c r="AI172" i="24"/>
  <c r="AG172" i="24"/>
  <c r="X172" i="24"/>
  <c r="V172" i="24"/>
  <c r="P172" i="24"/>
  <c r="L172" i="24"/>
  <c r="L171" i="20"/>
  <c r="V171" i="20"/>
  <c r="AK171" i="20"/>
  <c r="Y171" i="20"/>
  <c r="Y171" i="24"/>
  <c r="Z171" i="24"/>
  <c r="AO171" i="24"/>
  <c r="AN171" i="24"/>
  <c r="AK171" i="24"/>
  <c r="AJ171" i="24"/>
  <c r="AI171" i="24"/>
  <c r="AG171" i="24"/>
  <c r="X171" i="24"/>
  <c r="V171" i="24"/>
  <c r="P171" i="24"/>
  <c r="L171" i="24"/>
  <c r="L170" i="20"/>
  <c r="V170" i="20"/>
  <c r="AK170" i="20"/>
  <c r="Y170" i="20"/>
  <c r="Y170" i="24"/>
  <c r="Z170" i="24"/>
  <c r="AO170" i="24"/>
  <c r="AN170" i="24"/>
  <c r="AK170" i="24"/>
  <c r="AJ170" i="24"/>
  <c r="AI170" i="24"/>
  <c r="AG170" i="24"/>
  <c r="X170" i="24"/>
  <c r="V170" i="24"/>
  <c r="P170" i="24"/>
  <c r="L170" i="24"/>
  <c r="L169" i="20"/>
  <c r="V169" i="20"/>
  <c r="AK169" i="20"/>
  <c r="Y169" i="20"/>
  <c r="Y169" i="24"/>
  <c r="Z169" i="24"/>
  <c r="AO169" i="24"/>
  <c r="AN169" i="24"/>
  <c r="AK169" i="24"/>
  <c r="AJ169" i="24"/>
  <c r="AI169" i="24"/>
  <c r="AG169" i="24"/>
  <c r="X169" i="24"/>
  <c r="V169" i="24"/>
  <c r="P169" i="24"/>
  <c r="L169" i="24"/>
  <c r="L168" i="20"/>
  <c r="V168" i="20"/>
  <c r="AK168" i="20"/>
  <c r="Y168" i="20"/>
  <c r="Y168" i="24"/>
  <c r="Z168" i="24"/>
  <c r="AO168" i="24"/>
  <c r="AN168" i="24"/>
  <c r="AK168" i="24"/>
  <c r="AJ168" i="24"/>
  <c r="AI168" i="24"/>
  <c r="AG168" i="24"/>
  <c r="X168" i="24"/>
  <c r="V168" i="24"/>
  <c r="P168" i="24"/>
  <c r="L168" i="24"/>
  <c r="L167" i="20"/>
  <c r="V167" i="20"/>
  <c r="AK167" i="20"/>
  <c r="Y167" i="20"/>
  <c r="Y167" i="24"/>
  <c r="Z167" i="24"/>
  <c r="AO167" i="24"/>
  <c r="AN167" i="24"/>
  <c r="AK167" i="24"/>
  <c r="AJ167" i="24"/>
  <c r="AI167" i="24"/>
  <c r="AG167" i="24"/>
  <c r="X167" i="24"/>
  <c r="V167" i="24"/>
  <c r="P167" i="24"/>
  <c r="L167" i="24"/>
  <c r="L166" i="20"/>
  <c r="V166" i="20"/>
  <c r="AK166" i="20"/>
  <c r="Y166" i="20"/>
  <c r="Y166" i="24"/>
  <c r="Z166" i="24"/>
  <c r="AO166" i="24"/>
  <c r="AN166" i="24"/>
  <c r="AK166" i="24"/>
  <c r="AJ166" i="24"/>
  <c r="AI166" i="24"/>
  <c r="AG166" i="24"/>
  <c r="X166" i="24"/>
  <c r="V166" i="24"/>
  <c r="P166" i="24"/>
  <c r="L166" i="24"/>
  <c r="L165" i="20"/>
  <c r="V165" i="20"/>
  <c r="AK165" i="20"/>
  <c r="Y165" i="20"/>
  <c r="Y165" i="24"/>
  <c r="Z165" i="24"/>
  <c r="AO165" i="24"/>
  <c r="AN165" i="24"/>
  <c r="AK165" i="24"/>
  <c r="AJ165" i="24"/>
  <c r="AI165" i="24"/>
  <c r="AG165" i="24"/>
  <c r="X165" i="24"/>
  <c r="V165" i="24"/>
  <c r="P165" i="24"/>
  <c r="L165" i="24"/>
  <c r="L164" i="20"/>
  <c r="V164" i="20"/>
  <c r="AK164" i="20"/>
  <c r="Y164" i="20"/>
  <c r="Y164" i="24"/>
  <c r="Z164" i="24"/>
  <c r="AO164" i="24"/>
  <c r="AN164" i="24"/>
  <c r="AK164" i="24"/>
  <c r="AJ164" i="24"/>
  <c r="AI164" i="24"/>
  <c r="AG164" i="24"/>
  <c r="X164" i="24"/>
  <c r="V164" i="24"/>
  <c r="P164" i="24"/>
  <c r="L164" i="24"/>
  <c r="L163" i="20"/>
  <c r="V163" i="20"/>
  <c r="AK163" i="20"/>
  <c r="Y163" i="20"/>
  <c r="Y163" i="24"/>
  <c r="Z163" i="24"/>
  <c r="AO163" i="24"/>
  <c r="AN163" i="24"/>
  <c r="AK163" i="24"/>
  <c r="AJ163" i="24"/>
  <c r="AI163" i="24"/>
  <c r="AG163" i="24"/>
  <c r="X163" i="24"/>
  <c r="V163" i="24"/>
  <c r="P163" i="24"/>
  <c r="L163" i="24"/>
  <c r="L162" i="20"/>
  <c r="V162" i="20"/>
  <c r="AK162" i="20"/>
  <c r="Y162" i="20"/>
  <c r="Y162" i="24"/>
  <c r="Z162" i="24"/>
  <c r="AO162" i="24"/>
  <c r="AN162" i="24"/>
  <c r="AK162" i="24"/>
  <c r="AJ162" i="24"/>
  <c r="AI162" i="24"/>
  <c r="AG162" i="24"/>
  <c r="X162" i="24"/>
  <c r="V162" i="24"/>
  <c r="P162" i="24"/>
  <c r="L162" i="24"/>
  <c r="L161" i="20"/>
  <c r="V161" i="20"/>
  <c r="AK161" i="20"/>
  <c r="Y161" i="20"/>
  <c r="Y161" i="24"/>
  <c r="Z161" i="24"/>
  <c r="AO161" i="24"/>
  <c r="AN161" i="24"/>
  <c r="AK161" i="24"/>
  <c r="AJ161" i="24"/>
  <c r="AI161" i="24"/>
  <c r="AG161" i="24"/>
  <c r="X161" i="24"/>
  <c r="V161" i="24"/>
  <c r="P161" i="24"/>
  <c r="L161" i="24"/>
  <c r="L160" i="20"/>
  <c r="V160" i="20"/>
  <c r="AK160" i="20"/>
  <c r="Y160" i="20"/>
  <c r="Y160" i="24"/>
  <c r="Z160" i="24"/>
  <c r="AO160" i="24"/>
  <c r="AN160" i="24"/>
  <c r="AK160" i="24"/>
  <c r="AJ160" i="24"/>
  <c r="AI160" i="24"/>
  <c r="AG160" i="24"/>
  <c r="X160" i="24"/>
  <c r="V160" i="24"/>
  <c r="P160" i="24"/>
  <c r="L160" i="24"/>
  <c r="L159" i="20"/>
  <c r="V159" i="20"/>
  <c r="AK159" i="20"/>
  <c r="Y159" i="20"/>
  <c r="Y159" i="24"/>
  <c r="Z159" i="24"/>
  <c r="AO159" i="24"/>
  <c r="AN159" i="24"/>
  <c r="AK159" i="24"/>
  <c r="AJ159" i="24"/>
  <c r="AI159" i="24"/>
  <c r="AG159" i="24"/>
  <c r="X159" i="24"/>
  <c r="V159" i="24"/>
  <c r="P159" i="24"/>
  <c r="L159" i="24"/>
  <c r="L158" i="20"/>
  <c r="V158" i="20"/>
  <c r="AK158" i="20"/>
  <c r="Y158" i="20"/>
  <c r="Y158" i="24"/>
  <c r="Z158" i="24"/>
  <c r="AO158" i="24"/>
  <c r="AN158" i="24"/>
  <c r="AK158" i="24"/>
  <c r="AJ158" i="24"/>
  <c r="AI158" i="24"/>
  <c r="AG158" i="24"/>
  <c r="X158" i="24"/>
  <c r="V158" i="24"/>
  <c r="P158" i="24"/>
  <c r="L158" i="24"/>
  <c r="L157" i="20"/>
  <c r="V157" i="20"/>
  <c r="AK157" i="20"/>
  <c r="Y157" i="20"/>
  <c r="Y157" i="24"/>
  <c r="Z157" i="24"/>
  <c r="AO157" i="24"/>
  <c r="AN157" i="24"/>
  <c r="AK157" i="24"/>
  <c r="AJ157" i="24"/>
  <c r="AI157" i="24"/>
  <c r="AG157" i="24"/>
  <c r="X157" i="24"/>
  <c r="V157" i="24"/>
  <c r="P157" i="24"/>
  <c r="L157" i="24"/>
  <c r="L156" i="20"/>
  <c r="V156" i="20"/>
  <c r="AK156" i="20"/>
  <c r="Y156" i="20"/>
  <c r="Y156" i="24"/>
  <c r="Z156" i="24"/>
  <c r="AO156" i="24"/>
  <c r="AN156" i="24"/>
  <c r="AK156" i="24"/>
  <c r="AJ156" i="24"/>
  <c r="AI156" i="24"/>
  <c r="AG156" i="24"/>
  <c r="X156" i="24"/>
  <c r="V156" i="24"/>
  <c r="P156" i="24"/>
  <c r="L156" i="24"/>
  <c r="L155" i="20"/>
  <c r="V155" i="20"/>
  <c r="AK155" i="20"/>
  <c r="Y155" i="20"/>
  <c r="Y155" i="24"/>
  <c r="Z155" i="24"/>
  <c r="AO155" i="24"/>
  <c r="AN155" i="24"/>
  <c r="AK155" i="24"/>
  <c r="AJ155" i="24"/>
  <c r="AI155" i="24"/>
  <c r="AG155" i="24"/>
  <c r="X155" i="24"/>
  <c r="V155" i="24"/>
  <c r="P155" i="24"/>
  <c r="L155" i="24"/>
  <c r="L154" i="20"/>
  <c r="V154" i="20"/>
  <c r="AK154" i="20"/>
  <c r="Y154" i="20"/>
  <c r="Y154" i="24"/>
  <c r="Z154" i="24"/>
  <c r="AO154" i="24"/>
  <c r="AN154" i="24"/>
  <c r="AK154" i="24"/>
  <c r="AJ154" i="24"/>
  <c r="AI154" i="24"/>
  <c r="AG154" i="24"/>
  <c r="X154" i="24"/>
  <c r="V154" i="24"/>
  <c r="P154" i="24"/>
  <c r="L154" i="24"/>
  <c r="L153" i="20"/>
  <c r="V153" i="20"/>
  <c r="AK153" i="20"/>
  <c r="Y153" i="20"/>
  <c r="Y153" i="24"/>
  <c r="Z153" i="24"/>
  <c r="AO153" i="24"/>
  <c r="AN153" i="24"/>
  <c r="AK153" i="24"/>
  <c r="AJ153" i="24"/>
  <c r="AI153" i="24"/>
  <c r="AG153" i="24"/>
  <c r="X153" i="24"/>
  <c r="V153" i="24"/>
  <c r="P153" i="24"/>
  <c r="L153" i="24"/>
  <c r="AP152" i="24"/>
  <c r="L152" i="20"/>
  <c r="V152" i="20"/>
  <c r="AK152" i="20"/>
  <c r="Y152" i="20"/>
  <c r="Y152" i="24"/>
  <c r="Z152" i="24"/>
  <c r="AO152" i="24"/>
  <c r="AN152" i="24"/>
  <c r="AK152" i="24"/>
  <c r="AJ152" i="24"/>
  <c r="AI152" i="24"/>
  <c r="AG152" i="24"/>
  <c r="X152" i="24"/>
  <c r="V152" i="24"/>
  <c r="P152" i="24"/>
  <c r="L152" i="24"/>
  <c r="AP151" i="24"/>
  <c r="L151" i="20"/>
  <c r="V151" i="20"/>
  <c r="AK151" i="20"/>
  <c r="Y151" i="20"/>
  <c r="Y151" i="24"/>
  <c r="Z151" i="24"/>
  <c r="AO151" i="24"/>
  <c r="AN151" i="24"/>
  <c r="AK151" i="24"/>
  <c r="AJ151" i="24"/>
  <c r="AI151" i="24"/>
  <c r="AG151" i="24"/>
  <c r="X151" i="24"/>
  <c r="V151" i="24"/>
  <c r="P151" i="24"/>
  <c r="L151" i="24"/>
  <c r="AP150" i="24"/>
  <c r="L150" i="20"/>
  <c r="V150" i="20"/>
  <c r="AK150" i="20"/>
  <c r="Y150" i="20"/>
  <c r="Y150" i="24"/>
  <c r="Z150" i="24"/>
  <c r="AO150" i="24"/>
  <c r="AN150" i="24"/>
  <c r="AK150" i="24"/>
  <c r="AJ150" i="24"/>
  <c r="AI150" i="24"/>
  <c r="AG150" i="24"/>
  <c r="X150" i="24"/>
  <c r="V150" i="24"/>
  <c r="P150" i="24"/>
  <c r="L150" i="24"/>
  <c r="AP149" i="24"/>
  <c r="L149" i="20"/>
  <c r="V149" i="20"/>
  <c r="AK149" i="20"/>
  <c r="Y149" i="20"/>
  <c r="Y149" i="24"/>
  <c r="Z149" i="24"/>
  <c r="AO149" i="24"/>
  <c r="AN149" i="24"/>
  <c r="AK149" i="24"/>
  <c r="AJ149" i="24"/>
  <c r="AI149" i="24"/>
  <c r="AG149" i="24"/>
  <c r="X149" i="24"/>
  <c r="V149" i="24"/>
  <c r="P149" i="24"/>
  <c r="L149" i="24"/>
  <c r="AP148" i="24"/>
  <c r="L148" i="20"/>
  <c r="V148" i="20"/>
  <c r="AK148" i="20"/>
  <c r="Y148" i="20"/>
  <c r="Y148" i="24"/>
  <c r="Z148" i="24"/>
  <c r="AO148" i="24"/>
  <c r="AN148" i="24"/>
  <c r="AK148" i="24"/>
  <c r="AJ148" i="24"/>
  <c r="AI148" i="24"/>
  <c r="AG148" i="24"/>
  <c r="X148" i="24"/>
  <c r="V148" i="24"/>
  <c r="P148" i="24"/>
  <c r="L148" i="24"/>
  <c r="AP147" i="24"/>
  <c r="L147" i="20"/>
  <c r="V147" i="20"/>
  <c r="AK147" i="20"/>
  <c r="Y147" i="20"/>
  <c r="Y147" i="24"/>
  <c r="Z147" i="24"/>
  <c r="AO147" i="24"/>
  <c r="AN147" i="24"/>
  <c r="AK147" i="24"/>
  <c r="AJ147" i="24"/>
  <c r="AI147" i="24"/>
  <c r="AG147" i="24"/>
  <c r="X147" i="24"/>
  <c r="V147" i="24"/>
  <c r="P147" i="24"/>
  <c r="L147" i="24"/>
  <c r="AP146" i="24"/>
  <c r="L146" i="20"/>
  <c r="V146" i="20"/>
  <c r="AK146" i="20"/>
  <c r="Y146" i="20"/>
  <c r="Y146" i="24"/>
  <c r="Z146" i="24"/>
  <c r="AO146" i="24"/>
  <c r="AN146" i="24"/>
  <c r="AK146" i="24"/>
  <c r="AJ146" i="24"/>
  <c r="AI146" i="24"/>
  <c r="AG146" i="24"/>
  <c r="X146" i="24"/>
  <c r="V146" i="24"/>
  <c r="P146" i="24"/>
  <c r="L146" i="24"/>
  <c r="AP145" i="24"/>
  <c r="L145" i="20"/>
  <c r="V145" i="20"/>
  <c r="AK145" i="20"/>
  <c r="Y145" i="20"/>
  <c r="Y145" i="24"/>
  <c r="Z145" i="24"/>
  <c r="AO145" i="24"/>
  <c r="AN145" i="24"/>
  <c r="AK145" i="24"/>
  <c r="AJ145" i="24"/>
  <c r="AI145" i="24"/>
  <c r="AG145" i="24"/>
  <c r="X145" i="24"/>
  <c r="V145" i="24"/>
  <c r="P145" i="24"/>
  <c r="L145" i="24"/>
  <c r="AP144" i="24"/>
  <c r="L144" i="20"/>
  <c r="V144" i="20"/>
  <c r="AK144" i="20"/>
  <c r="Y144" i="20"/>
  <c r="Y144" i="24"/>
  <c r="Z144" i="24"/>
  <c r="AO144" i="24"/>
  <c r="AN144" i="24"/>
  <c r="AK144" i="24"/>
  <c r="AJ144" i="24"/>
  <c r="AI144" i="24"/>
  <c r="AG144" i="24"/>
  <c r="X144" i="24"/>
  <c r="V144" i="24"/>
  <c r="P144" i="24"/>
  <c r="L144" i="24"/>
  <c r="AP143" i="24"/>
  <c r="L143" i="20"/>
  <c r="V143" i="20"/>
  <c r="AK143" i="20"/>
  <c r="Y143" i="20"/>
  <c r="Y143" i="24"/>
  <c r="Z143" i="24"/>
  <c r="AO143" i="24"/>
  <c r="AN143" i="24"/>
  <c r="AK143" i="24"/>
  <c r="AJ143" i="24"/>
  <c r="AI143" i="24"/>
  <c r="AG143" i="24"/>
  <c r="X143" i="24"/>
  <c r="V143" i="24"/>
  <c r="P143" i="24"/>
  <c r="L143" i="24"/>
  <c r="AP142" i="24"/>
  <c r="L142" i="20"/>
  <c r="V142" i="20"/>
  <c r="AK142" i="20"/>
  <c r="Y142" i="20"/>
  <c r="Y142" i="24"/>
  <c r="Z142" i="24"/>
  <c r="AO142" i="24"/>
  <c r="AN142" i="24"/>
  <c r="AK142" i="24"/>
  <c r="AJ142" i="24"/>
  <c r="AI142" i="24"/>
  <c r="AG142" i="24"/>
  <c r="X142" i="24"/>
  <c r="V142" i="24"/>
  <c r="P142" i="24"/>
  <c r="L142" i="24"/>
  <c r="AP141" i="24"/>
  <c r="L141" i="20"/>
  <c r="V141" i="20"/>
  <c r="AK141" i="20"/>
  <c r="Y141" i="20"/>
  <c r="Y141" i="24"/>
  <c r="Z141" i="24"/>
  <c r="AO141" i="24"/>
  <c r="AN141" i="24"/>
  <c r="AK141" i="24"/>
  <c r="AJ141" i="24"/>
  <c r="AI141" i="24"/>
  <c r="AG141" i="24"/>
  <c r="X141" i="24"/>
  <c r="V141" i="24"/>
  <c r="P141" i="24"/>
  <c r="L141" i="24"/>
  <c r="AP140" i="24"/>
  <c r="L140" i="20"/>
  <c r="V140" i="20"/>
  <c r="AK140" i="20"/>
  <c r="Y140" i="20"/>
  <c r="Y140" i="24"/>
  <c r="Z140" i="24"/>
  <c r="AO140" i="24"/>
  <c r="AN140" i="24"/>
  <c r="AK140" i="24"/>
  <c r="AJ140" i="24"/>
  <c r="AI140" i="24"/>
  <c r="AG140" i="24"/>
  <c r="X140" i="24"/>
  <c r="V140" i="24"/>
  <c r="P140" i="24"/>
  <c r="L140" i="24"/>
  <c r="AP139" i="24"/>
  <c r="L139" i="20"/>
  <c r="V139" i="20"/>
  <c r="AK139" i="20"/>
  <c r="Y139" i="20"/>
  <c r="Y139" i="24"/>
  <c r="Z139" i="24"/>
  <c r="AO139" i="24"/>
  <c r="AN139" i="24"/>
  <c r="AK139" i="24"/>
  <c r="AJ139" i="24"/>
  <c r="AI139" i="24"/>
  <c r="AG139" i="24"/>
  <c r="X139" i="24"/>
  <c r="V139" i="24"/>
  <c r="P139" i="24"/>
  <c r="L139" i="24"/>
  <c r="AP138" i="24"/>
  <c r="L138" i="20"/>
  <c r="V138" i="20"/>
  <c r="AK138" i="20"/>
  <c r="Y138" i="20"/>
  <c r="Y138" i="24"/>
  <c r="Z138" i="24"/>
  <c r="AO138" i="24"/>
  <c r="AN138" i="24"/>
  <c r="AK138" i="24"/>
  <c r="AJ138" i="24"/>
  <c r="AI138" i="24"/>
  <c r="AG138" i="24"/>
  <c r="X138" i="24"/>
  <c r="V138" i="24"/>
  <c r="P138" i="24"/>
  <c r="L138" i="24"/>
  <c r="AP137" i="24"/>
  <c r="L137" i="20"/>
  <c r="V137" i="20"/>
  <c r="AK137" i="20"/>
  <c r="Y137" i="20"/>
  <c r="Y137" i="24"/>
  <c r="Z137" i="24"/>
  <c r="AO137" i="24"/>
  <c r="AN137" i="24"/>
  <c r="AK137" i="24"/>
  <c r="AJ137" i="24"/>
  <c r="AI137" i="24"/>
  <c r="AG137" i="24"/>
  <c r="X137" i="24"/>
  <c r="V137" i="24"/>
  <c r="P137" i="24"/>
  <c r="L137" i="24"/>
  <c r="AP136" i="24"/>
  <c r="L136" i="20"/>
  <c r="V136" i="20"/>
  <c r="AK136" i="20"/>
  <c r="Y136" i="20"/>
  <c r="Y136" i="24"/>
  <c r="Z136" i="24"/>
  <c r="AO136" i="24"/>
  <c r="AN136" i="24"/>
  <c r="AK136" i="24"/>
  <c r="AJ136" i="24"/>
  <c r="AI136" i="24"/>
  <c r="AG136" i="24"/>
  <c r="X136" i="24"/>
  <c r="V136" i="24"/>
  <c r="P136" i="24"/>
  <c r="L136" i="24"/>
  <c r="AP135" i="24"/>
  <c r="L135" i="20"/>
  <c r="V135" i="20"/>
  <c r="AK135" i="20"/>
  <c r="Y135" i="20"/>
  <c r="Y135" i="24"/>
  <c r="Z135" i="24"/>
  <c r="AO135" i="24"/>
  <c r="AN135" i="24"/>
  <c r="AK135" i="24"/>
  <c r="AJ135" i="24"/>
  <c r="AI135" i="24"/>
  <c r="AG135" i="24"/>
  <c r="X135" i="24"/>
  <c r="V135" i="24"/>
  <c r="P135" i="24"/>
  <c r="L135" i="24"/>
  <c r="AP134" i="24"/>
  <c r="L134" i="20"/>
  <c r="V134" i="20"/>
  <c r="AK134" i="20"/>
  <c r="Y134" i="20"/>
  <c r="Y134" i="24"/>
  <c r="Z134" i="24"/>
  <c r="AO134" i="24"/>
  <c r="AN134" i="24"/>
  <c r="AK134" i="24"/>
  <c r="AJ134" i="24"/>
  <c r="AI134" i="24"/>
  <c r="AG134" i="24"/>
  <c r="X134" i="24"/>
  <c r="V134" i="24"/>
  <c r="P134" i="24"/>
  <c r="L134" i="24"/>
  <c r="AP133" i="24"/>
  <c r="L133" i="20"/>
  <c r="V133" i="20"/>
  <c r="AK133" i="20"/>
  <c r="Y133" i="20"/>
  <c r="Y133" i="24"/>
  <c r="Z133" i="24"/>
  <c r="AO133" i="24"/>
  <c r="AN133" i="24"/>
  <c r="AK133" i="24"/>
  <c r="AJ133" i="24"/>
  <c r="AI133" i="24"/>
  <c r="AG133" i="24"/>
  <c r="X133" i="24"/>
  <c r="V133" i="24"/>
  <c r="P133" i="24"/>
  <c r="L133" i="24"/>
  <c r="AP132" i="24"/>
  <c r="L132" i="20"/>
  <c r="V132" i="20"/>
  <c r="AK132" i="20"/>
  <c r="Y132" i="20"/>
  <c r="Y132" i="24"/>
  <c r="Z132" i="24"/>
  <c r="AO132" i="24"/>
  <c r="AN132" i="24"/>
  <c r="AK132" i="24"/>
  <c r="AJ132" i="24"/>
  <c r="AI132" i="24"/>
  <c r="AG132" i="24"/>
  <c r="X132" i="24"/>
  <c r="V132" i="24"/>
  <c r="P132" i="24"/>
  <c r="L132" i="24"/>
  <c r="AP131" i="24"/>
  <c r="L131" i="20"/>
  <c r="V131" i="20"/>
  <c r="AK131" i="20"/>
  <c r="Y131" i="20"/>
  <c r="Y131" i="24"/>
  <c r="Z131" i="24"/>
  <c r="AO131" i="24"/>
  <c r="AN131" i="24"/>
  <c r="AK131" i="24"/>
  <c r="AJ131" i="24"/>
  <c r="AI131" i="24"/>
  <c r="AG131" i="24"/>
  <c r="X131" i="24"/>
  <c r="V131" i="24"/>
  <c r="P131" i="24"/>
  <c r="L131" i="24"/>
  <c r="AP130" i="24"/>
  <c r="L130" i="20"/>
  <c r="V130" i="20"/>
  <c r="AK130" i="20"/>
  <c r="Y130" i="20"/>
  <c r="Y130" i="24"/>
  <c r="Z130" i="24"/>
  <c r="AO130" i="24"/>
  <c r="AN130" i="24"/>
  <c r="AK130" i="24"/>
  <c r="AJ130" i="24"/>
  <c r="AI130" i="24"/>
  <c r="AG130" i="24"/>
  <c r="X130" i="24"/>
  <c r="V130" i="24"/>
  <c r="P130" i="24"/>
  <c r="L130" i="24"/>
  <c r="AP129" i="24"/>
  <c r="L129" i="20"/>
  <c r="V129" i="20"/>
  <c r="AK129" i="20"/>
  <c r="Y129" i="20"/>
  <c r="Y129" i="24"/>
  <c r="Z129" i="24"/>
  <c r="AO129" i="24"/>
  <c r="AN129" i="24"/>
  <c r="AK129" i="24"/>
  <c r="AJ129" i="24"/>
  <c r="AI129" i="24"/>
  <c r="AG129" i="24"/>
  <c r="X129" i="24"/>
  <c r="V129" i="24"/>
  <c r="P129" i="24"/>
  <c r="L129" i="24"/>
  <c r="AP128" i="24"/>
  <c r="L128" i="20"/>
  <c r="V128" i="20"/>
  <c r="AK128" i="20"/>
  <c r="Y128" i="20"/>
  <c r="Y128" i="24"/>
  <c r="Z128" i="24"/>
  <c r="AO128" i="24"/>
  <c r="AN128" i="24"/>
  <c r="AK128" i="24"/>
  <c r="AJ128" i="24"/>
  <c r="AI128" i="24"/>
  <c r="AG128" i="24"/>
  <c r="X128" i="24"/>
  <c r="V128" i="24"/>
  <c r="P128" i="24"/>
  <c r="L128" i="24"/>
  <c r="AP127" i="24"/>
  <c r="L127" i="20"/>
  <c r="V127" i="20"/>
  <c r="AK127" i="20"/>
  <c r="Y127" i="20"/>
  <c r="Y127" i="24"/>
  <c r="Z127" i="24"/>
  <c r="AO127" i="24"/>
  <c r="AN127" i="24"/>
  <c r="AK127" i="24"/>
  <c r="AJ127" i="24"/>
  <c r="AI127" i="24"/>
  <c r="AG127" i="24"/>
  <c r="X127" i="24"/>
  <c r="V127" i="24"/>
  <c r="P127" i="24"/>
  <c r="L127" i="24"/>
  <c r="AP126" i="24"/>
  <c r="L126" i="20"/>
  <c r="V126" i="20"/>
  <c r="AK126" i="20"/>
  <c r="Y126" i="20"/>
  <c r="Y126" i="24"/>
  <c r="Z126" i="24"/>
  <c r="AO126" i="24"/>
  <c r="AN126" i="24"/>
  <c r="AK126" i="24"/>
  <c r="AJ126" i="24"/>
  <c r="AI126" i="24"/>
  <c r="AG126" i="24"/>
  <c r="X126" i="24"/>
  <c r="V126" i="24"/>
  <c r="P126" i="24"/>
  <c r="L126" i="24"/>
  <c r="AP125" i="24"/>
  <c r="L125" i="20"/>
  <c r="V125" i="20"/>
  <c r="AK125" i="20"/>
  <c r="Y125" i="20"/>
  <c r="Y125" i="24"/>
  <c r="Z125" i="24"/>
  <c r="AO125" i="24"/>
  <c r="AN125" i="24"/>
  <c r="AK125" i="24"/>
  <c r="AJ125" i="24"/>
  <c r="AI125" i="24"/>
  <c r="AG125" i="24"/>
  <c r="X125" i="24"/>
  <c r="V125" i="24"/>
  <c r="P125" i="24"/>
  <c r="L125" i="24"/>
  <c r="AP124" i="24"/>
  <c r="L124" i="20"/>
  <c r="V124" i="20"/>
  <c r="AK124" i="20"/>
  <c r="Y124" i="20"/>
  <c r="Y124" i="24"/>
  <c r="Z124" i="24"/>
  <c r="AO124" i="24"/>
  <c r="AN124" i="24"/>
  <c r="AK124" i="24"/>
  <c r="AJ124" i="24"/>
  <c r="AI124" i="24"/>
  <c r="AG124" i="24"/>
  <c r="X124" i="24"/>
  <c r="V124" i="24"/>
  <c r="P124" i="24"/>
  <c r="L124" i="24"/>
  <c r="AP123" i="24"/>
  <c r="L123" i="20"/>
  <c r="V123" i="20"/>
  <c r="AK123" i="20"/>
  <c r="Y123" i="20"/>
  <c r="Y123" i="24"/>
  <c r="Z123" i="24"/>
  <c r="AO123" i="24"/>
  <c r="AN123" i="24"/>
  <c r="AK123" i="24"/>
  <c r="AJ123" i="24"/>
  <c r="AI123" i="24"/>
  <c r="AG123" i="24"/>
  <c r="X123" i="24"/>
  <c r="V123" i="24"/>
  <c r="P123" i="24"/>
  <c r="L123" i="24"/>
  <c r="AP122" i="24"/>
  <c r="L122" i="20"/>
  <c r="V122" i="20"/>
  <c r="AK122" i="20"/>
  <c r="Y122" i="20"/>
  <c r="Y122" i="24"/>
  <c r="Z122" i="24"/>
  <c r="AO122" i="24"/>
  <c r="AN122" i="24"/>
  <c r="AK122" i="24"/>
  <c r="AJ122" i="24"/>
  <c r="AI122" i="24"/>
  <c r="AG122" i="24"/>
  <c r="X122" i="24"/>
  <c r="V122" i="24"/>
  <c r="P122" i="24"/>
  <c r="L122" i="24"/>
  <c r="AP121" i="24"/>
  <c r="L121" i="20"/>
  <c r="V121" i="20"/>
  <c r="AK121" i="20"/>
  <c r="Y121" i="20"/>
  <c r="Y121" i="24"/>
  <c r="Z121" i="24"/>
  <c r="AO121" i="24"/>
  <c r="AN121" i="24"/>
  <c r="AK121" i="24"/>
  <c r="AJ121" i="24"/>
  <c r="AI121" i="24"/>
  <c r="AG121" i="24"/>
  <c r="X121" i="24"/>
  <c r="V121" i="24"/>
  <c r="P121" i="24"/>
  <c r="L121" i="24"/>
  <c r="AP120" i="24"/>
  <c r="L120" i="20"/>
  <c r="V120" i="20"/>
  <c r="AK120" i="20"/>
  <c r="Y120" i="20"/>
  <c r="Y120" i="24"/>
  <c r="Z120" i="24"/>
  <c r="AO120" i="24"/>
  <c r="AN120" i="24"/>
  <c r="AK120" i="24"/>
  <c r="AJ120" i="24"/>
  <c r="AI120" i="24"/>
  <c r="AG120" i="24"/>
  <c r="X120" i="24"/>
  <c r="V120" i="24"/>
  <c r="P120" i="24"/>
  <c r="L120" i="24"/>
  <c r="AP119" i="24"/>
  <c r="L119" i="20"/>
  <c r="V119" i="20"/>
  <c r="AK119" i="20"/>
  <c r="Y119" i="20"/>
  <c r="Y119" i="24"/>
  <c r="Z119" i="24"/>
  <c r="AO119" i="24"/>
  <c r="AN119" i="24"/>
  <c r="AK119" i="24"/>
  <c r="AJ119" i="24"/>
  <c r="AI119" i="24"/>
  <c r="AG119" i="24"/>
  <c r="X119" i="24"/>
  <c r="V119" i="24"/>
  <c r="P119" i="24"/>
  <c r="L119" i="24"/>
  <c r="AP118" i="24"/>
  <c r="L118" i="20"/>
  <c r="V118" i="20"/>
  <c r="AK118" i="20"/>
  <c r="Y118" i="20"/>
  <c r="Y118" i="24"/>
  <c r="Z118" i="24"/>
  <c r="AO118" i="24"/>
  <c r="AN118" i="24"/>
  <c r="AK118" i="24"/>
  <c r="AJ118" i="24"/>
  <c r="AI118" i="24"/>
  <c r="AG118" i="24"/>
  <c r="X118" i="24"/>
  <c r="V118" i="24"/>
  <c r="P118" i="24"/>
  <c r="L118" i="24"/>
  <c r="AP117" i="24"/>
  <c r="L117" i="20"/>
  <c r="V117" i="20"/>
  <c r="AK117" i="20"/>
  <c r="Y117" i="20"/>
  <c r="Y117" i="24"/>
  <c r="Z117" i="24"/>
  <c r="AO117" i="24"/>
  <c r="AN117" i="24"/>
  <c r="AK117" i="24"/>
  <c r="AJ117" i="24"/>
  <c r="AI117" i="24"/>
  <c r="AG117" i="24"/>
  <c r="X117" i="24"/>
  <c r="V117" i="24"/>
  <c r="P117" i="24"/>
  <c r="L117" i="24"/>
  <c r="AP116" i="24"/>
  <c r="L116" i="20"/>
  <c r="V116" i="20"/>
  <c r="AK116" i="20"/>
  <c r="Y116" i="20"/>
  <c r="Y116" i="24"/>
  <c r="Z116" i="24"/>
  <c r="AO116" i="24"/>
  <c r="AN116" i="24"/>
  <c r="AK116" i="24"/>
  <c r="AJ116" i="24"/>
  <c r="AI116" i="24"/>
  <c r="AG116" i="24"/>
  <c r="X116" i="24"/>
  <c r="V116" i="24"/>
  <c r="P116" i="24"/>
  <c r="L116" i="24"/>
  <c r="AP115" i="24"/>
  <c r="L115" i="20"/>
  <c r="V115" i="20"/>
  <c r="AK115" i="20"/>
  <c r="Y115" i="20"/>
  <c r="Y115" i="24"/>
  <c r="Z115" i="24"/>
  <c r="AO115" i="24"/>
  <c r="AN115" i="24"/>
  <c r="AK115" i="24"/>
  <c r="AJ115" i="24"/>
  <c r="AI115" i="24"/>
  <c r="AG115" i="24"/>
  <c r="X115" i="24"/>
  <c r="V115" i="24"/>
  <c r="P115" i="24"/>
  <c r="L115" i="24"/>
  <c r="AP114" i="24"/>
  <c r="L114" i="20"/>
  <c r="V114" i="20"/>
  <c r="AK114" i="20"/>
  <c r="Y114" i="20"/>
  <c r="Y114" i="24"/>
  <c r="Z114" i="24"/>
  <c r="AO114" i="24"/>
  <c r="AN114" i="24"/>
  <c r="AK114" i="24"/>
  <c r="AJ114" i="24"/>
  <c r="AI114" i="24"/>
  <c r="AG114" i="24"/>
  <c r="X114" i="24"/>
  <c r="V114" i="24"/>
  <c r="P114" i="24"/>
  <c r="L114" i="24"/>
  <c r="AP113" i="24"/>
  <c r="L113" i="20"/>
  <c r="V113" i="20"/>
  <c r="AK113" i="20"/>
  <c r="Y113" i="20"/>
  <c r="Y113" i="24"/>
  <c r="Z113" i="24"/>
  <c r="AO113" i="24"/>
  <c r="AN113" i="24"/>
  <c r="AK113" i="24"/>
  <c r="AJ113" i="24"/>
  <c r="AI113" i="24"/>
  <c r="AG113" i="24"/>
  <c r="X113" i="24"/>
  <c r="V113" i="24"/>
  <c r="P113" i="24"/>
  <c r="L113" i="24"/>
  <c r="AP112" i="24"/>
  <c r="L112" i="20"/>
  <c r="V112" i="20"/>
  <c r="AK112" i="20"/>
  <c r="Y112" i="20"/>
  <c r="Y112" i="24"/>
  <c r="Z112" i="24"/>
  <c r="AO112" i="24"/>
  <c r="AN112" i="24"/>
  <c r="AK112" i="24"/>
  <c r="AJ112" i="24"/>
  <c r="AI112" i="24"/>
  <c r="AG112" i="24"/>
  <c r="X112" i="24"/>
  <c r="V112" i="24"/>
  <c r="P112" i="24"/>
  <c r="L112" i="24"/>
  <c r="AP111" i="24"/>
  <c r="L111" i="20"/>
  <c r="V111" i="20"/>
  <c r="AK111" i="20"/>
  <c r="Y111" i="20"/>
  <c r="Y111" i="24"/>
  <c r="Z111" i="24"/>
  <c r="AO111" i="24"/>
  <c r="AN111" i="24"/>
  <c r="AK111" i="24"/>
  <c r="AJ111" i="24"/>
  <c r="AI111" i="24"/>
  <c r="AG111" i="24"/>
  <c r="X111" i="24"/>
  <c r="V111" i="24"/>
  <c r="P111" i="24"/>
  <c r="L111" i="24"/>
  <c r="AP110" i="24"/>
  <c r="L110" i="20"/>
  <c r="V110" i="20"/>
  <c r="AK110" i="20"/>
  <c r="Y110" i="20"/>
  <c r="Y110" i="24"/>
  <c r="Z110" i="24"/>
  <c r="AO110" i="24"/>
  <c r="AN110" i="24"/>
  <c r="AK110" i="24"/>
  <c r="AJ110" i="24"/>
  <c r="AI110" i="24"/>
  <c r="AG110" i="24"/>
  <c r="X110" i="24"/>
  <c r="V110" i="24"/>
  <c r="P110" i="24"/>
  <c r="L110" i="24"/>
  <c r="AP109" i="24"/>
  <c r="L109" i="20"/>
  <c r="V109" i="20"/>
  <c r="AK109" i="20"/>
  <c r="Y109" i="20"/>
  <c r="Y109" i="24"/>
  <c r="Z109" i="24"/>
  <c r="AO109" i="24"/>
  <c r="AN109" i="24"/>
  <c r="AK109" i="24"/>
  <c r="AJ109" i="24"/>
  <c r="AI109" i="24"/>
  <c r="AG109" i="24"/>
  <c r="X109" i="24"/>
  <c r="V109" i="24"/>
  <c r="P109" i="24"/>
  <c r="L109" i="24"/>
  <c r="AP108" i="24"/>
  <c r="L108" i="20"/>
  <c r="V108" i="20"/>
  <c r="AK108" i="20"/>
  <c r="Y108" i="20"/>
  <c r="Y108" i="24"/>
  <c r="Z108" i="24"/>
  <c r="AO108" i="24"/>
  <c r="AN108" i="24"/>
  <c r="AK108" i="24"/>
  <c r="AJ108" i="24"/>
  <c r="AI108" i="24"/>
  <c r="AG108" i="24"/>
  <c r="X108" i="24"/>
  <c r="V108" i="24"/>
  <c r="P108" i="24"/>
  <c r="L108" i="24"/>
  <c r="AP107" i="24"/>
  <c r="L107" i="20"/>
  <c r="V107" i="20"/>
  <c r="AK107" i="20"/>
  <c r="Y107" i="20"/>
  <c r="Y107" i="24"/>
  <c r="Z107" i="24"/>
  <c r="AO107" i="24"/>
  <c r="AN107" i="24"/>
  <c r="AK107" i="24"/>
  <c r="AJ107" i="24"/>
  <c r="AI107" i="24"/>
  <c r="AG107" i="24"/>
  <c r="X107" i="24"/>
  <c r="V107" i="24"/>
  <c r="P107" i="24"/>
  <c r="L107" i="24"/>
  <c r="AP106" i="24"/>
  <c r="L106" i="20"/>
  <c r="V106" i="20"/>
  <c r="AK106" i="20"/>
  <c r="Y106" i="20"/>
  <c r="Y106" i="24"/>
  <c r="Z106" i="24"/>
  <c r="AO106" i="24"/>
  <c r="AN106" i="24"/>
  <c r="AK106" i="24"/>
  <c r="AJ106" i="24"/>
  <c r="AI106" i="24"/>
  <c r="AG106" i="24"/>
  <c r="X106" i="24"/>
  <c r="V106" i="24"/>
  <c r="P106" i="24"/>
  <c r="L106" i="24"/>
  <c r="AP105" i="24"/>
  <c r="L105" i="20"/>
  <c r="V105" i="20"/>
  <c r="AK105" i="20"/>
  <c r="Y105" i="20"/>
  <c r="Y105" i="24"/>
  <c r="Z105" i="24"/>
  <c r="AO105" i="24"/>
  <c r="AN105" i="24"/>
  <c r="AK105" i="24"/>
  <c r="AJ105" i="24"/>
  <c r="AI105" i="24"/>
  <c r="AG105" i="24"/>
  <c r="X105" i="24"/>
  <c r="V105" i="24"/>
  <c r="P105" i="24"/>
  <c r="L105" i="24"/>
  <c r="AP104" i="24"/>
  <c r="L104" i="20"/>
  <c r="V104" i="20"/>
  <c r="AK104" i="20"/>
  <c r="Y104" i="20"/>
  <c r="Y104" i="24"/>
  <c r="Z104" i="24"/>
  <c r="AO104" i="24"/>
  <c r="AN104" i="24"/>
  <c r="AK104" i="24"/>
  <c r="AJ104" i="24"/>
  <c r="AI104" i="24"/>
  <c r="AG104" i="24"/>
  <c r="X104" i="24"/>
  <c r="V104" i="24"/>
  <c r="P104" i="24"/>
  <c r="L104" i="24"/>
  <c r="AP103" i="24"/>
  <c r="L103" i="20"/>
  <c r="V103" i="20"/>
  <c r="AK103" i="20"/>
  <c r="Y103" i="20"/>
  <c r="Y103" i="24"/>
  <c r="Z103" i="24"/>
  <c r="AO103" i="24"/>
  <c r="AN103" i="24"/>
  <c r="AK103" i="24"/>
  <c r="AJ103" i="24"/>
  <c r="AI103" i="24"/>
  <c r="AG103" i="24"/>
  <c r="X103" i="24"/>
  <c r="V103" i="24"/>
  <c r="P103" i="24"/>
  <c r="L103" i="24"/>
  <c r="AP102" i="24"/>
  <c r="L102" i="20"/>
  <c r="V102" i="20"/>
  <c r="AK102" i="20"/>
  <c r="Y102" i="20"/>
  <c r="Y102" i="24"/>
  <c r="Z102" i="24"/>
  <c r="AO102" i="24"/>
  <c r="AN102" i="24"/>
  <c r="AK102" i="24"/>
  <c r="AJ102" i="24"/>
  <c r="AI102" i="24"/>
  <c r="AG102" i="24"/>
  <c r="X102" i="24"/>
  <c r="V102" i="24"/>
  <c r="P102" i="24"/>
  <c r="L102" i="24"/>
  <c r="AP101" i="24"/>
  <c r="V101" i="20"/>
  <c r="AK101" i="20"/>
  <c r="Y101" i="20"/>
  <c r="Y101" i="24"/>
  <c r="Z101" i="24"/>
  <c r="AO101" i="24"/>
  <c r="AN101" i="24"/>
  <c r="AK101" i="24"/>
  <c r="AJ101" i="24"/>
  <c r="AI101" i="24"/>
  <c r="AG101" i="24"/>
  <c r="X101" i="24"/>
  <c r="V101" i="24"/>
  <c r="P101" i="24"/>
  <c r="L101" i="24"/>
  <c r="AP100" i="24"/>
  <c r="V100" i="20"/>
  <c r="AK100" i="20"/>
  <c r="Y100" i="20"/>
  <c r="Y100" i="24"/>
  <c r="Z100" i="24"/>
  <c r="AO100" i="24"/>
  <c r="AN100" i="24"/>
  <c r="AK100" i="24"/>
  <c r="AJ100" i="24"/>
  <c r="AI100" i="24"/>
  <c r="AG100" i="24"/>
  <c r="X100" i="24"/>
  <c r="V100" i="24"/>
  <c r="P100" i="24"/>
  <c r="L100" i="24"/>
  <c r="AP99" i="24"/>
  <c r="V99" i="20"/>
  <c r="AK99" i="20"/>
  <c r="Y99" i="20"/>
  <c r="Y99" i="24"/>
  <c r="Z99" i="24"/>
  <c r="AO99" i="24"/>
  <c r="AN99" i="24"/>
  <c r="AK99" i="24"/>
  <c r="AJ99" i="24"/>
  <c r="AI99" i="24"/>
  <c r="AG99" i="24"/>
  <c r="X99" i="24"/>
  <c r="V99" i="24"/>
  <c r="P99" i="24"/>
  <c r="L99" i="24"/>
  <c r="AP98" i="24"/>
  <c r="V98" i="20"/>
  <c r="AK98" i="20"/>
  <c r="Y98" i="20"/>
  <c r="Y98" i="24"/>
  <c r="Z98" i="24"/>
  <c r="AO98" i="24"/>
  <c r="AN98" i="24"/>
  <c r="AK98" i="24"/>
  <c r="AJ98" i="24"/>
  <c r="AI98" i="24"/>
  <c r="AG98" i="24"/>
  <c r="X98" i="24"/>
  <c r="V98" i="24"/>
  <c r="P98" i="24"/>
  <c r="L98" i="24"/>
  <c r="AP97" i="24"/>
  <c r="V97" i="20"/>
  <c r="AK97" i="20"/>
  <c r="Y97" i="20"/>
  <c r="Y97" i="24"/>
  <c r="Z97" i="24"/>
  <c r="AO97" i="24"/>
  <c r="AN97" i="24"/>
  <c r="AK97" i="24"/>
  <c r="AJ97" i="24"/>
  <c r="AI97" i="24"/>
  <c r="AG97" i="24"/>
  <c r="X97" i="24"/>
  <c r="V97" i="24"/>
  <c r="P97" i="24"/>
  <c r="L97" i="24"/>
  <c r="AP96" i="24"/>
  <c r="V96" i="20"/>
  <c r="AK96" i="20"/>
  <c r="Y96" i="20"/>
  <c r="Y96" i="24"/>
  <c r="Z96" i="24"/>
  <c r="AO96" i="24"/>
  <c r="AN96" i="24"/>
  <c r="AK96" i="24"/>
  <c r="AJ96" i="24"/>
  <c r="AI96" i="24"/>
  <c r="AG96" i="24"/>
  <c r="X96" i="24"/>
  <c r="V96" i="24"/>
  <c r="P96" i="24"/>
  <c r="L96" i="24"/>
  <c r="AP95" i="24"/>
  <c r="V95" i="20"/>
  <c r="AK95" i="20"/>
  <c r="Y95" i="20"/>
  <c r="Y95" i="24"/>
  <c r="Z95" i="24"/>
  <c r="AO95" i="24"/>
  <c r="AN95" i="24"/>
  <c r="AK95" i="24"/>
  <c r="AJ95" i="24"/>
  <c r="AI95" i="24"/>
  <c r="AG95" i="24"/>
  <c r="X95" i="24"/>
  <c r="V95" i="24"/>
  <c r="P95" i="24"/>
  <c r="L95" i="24"/>
  <c r="AP94" i="24"/>
  <c r="V94" i="20"/>
  <c r="AK94" i="20"/>
  <c r="Y94" i="20"/>
  <c r="Y94" i="24"/>
  <c r="Z94" i="24"/>
  <c r="AO94" i="24"/>
  <c r="AN94" i="24"/>
  <c r="AK94" i="24"/>
  <c r="AJ94" i="24"/>
  <c r="AI94" i="24"/>
  <c r="AG94" i="24"/>
  <c r="X94" i="24"/>
  <c r="V94" i="24"/>
  <c r="P94" i="24"/>
  <c r="L94" i="24"/>
  <c r="AP93" i="24"/>
  <c r="V93" i="20"/>
  <c r="AK93" i="20"/>
  <c r="Y93" i="20"/>
  <c r="Y93" i="24"/>
  <c r="Z93" i="24"/>
  <c r="AO93" i="24"/>
  <c r="AN93" i="24"/>
  <c r="AK93" i="24"/>
  <c r="AJ93" i="24"/>
  <c r="AI93" i="24"/>
  <c r="AG93" i="24"/>
  <c r="X93" i="24"/>
  <c r="V93" i="24"/>
  <c r="P93" i="24"/>
  <c r="L93" i="24"/>
  <c r="AP92" i="24"/>
  <c r="V92" i="20"/>
  <c r="AK92" i="20"/>
  <c r="Y92" i="20"/>
  <c r="Y92" i="24"/>
  <c r="Z92" i="24"/>
  <c r="AO92" i="24"/>
  <c r="AN92" i="24"/>
  <c r="AK92" i="24"/>
  <c r="AJ92" i="24"/>
  <c r="AI92" i="24"/>
  <c r="AG92" i="24"/>
  <c r="X92" i="24"/>
  <c r="V92" i="24"/>
  <c r="P92" i="24"/>
  <c r="L92" i="24"/>
  <c r="AP91" i="24"/>
  <c r="V91" i="20"/>
  <c r="AK91" i="20"/>
  <c r="Y91" i="20"/>
  <c r="Y91" i="24"/>
  <c r="Z91" i="24"/>
  <c r="AO91" i="24"/>
  <c r="AN91" i="24"/>
  <c r="AK91" i="24"/>
  <c r="AJ91" i="24"/>
  <c r="AI91" i="24"/>
  <c r="AG91" i="24"/>
  <c r="X91" i="24"/>
  <c r="V91" i="24"/>
  <c r="P91" i="24"/>
  <c r="L91" i="24"/>
  <c r="AP90" i="24"/>
  <c r="V90" i="20"/>
  <c r="AK90" i="20"/>
  <c r="Y90" i="20"/>
  <c r="Y90" i="24"/>
  <c r="Z90" i="24"/>
  <c r="AO90" i="24"/>
  <c r="AN90" i="24"/>
  <c r="AK90" i="24"/>
  <c r="AJ90" i="24"/>
  <c r="AI90" i="24"/>
  <c r="AG90" i="24"/>
  <c r="X90" i="24"/>
  <c r="V90" i="24"/>
  <c r="P90" i="24"/>
  <c r="L90" i="24"/>
  <c r="AP89" i="24"/>
  <c r="V89" i="20"/>
  <c r="AK89" i="20"/>
  <c r="Y89" i="20"/>
  <c r="Y89" i="24"/>
  <c r="Z89" i="24"/>
  <c r="AO89" i="24"/>
  <c r="AN89" i="24"/>
  <c r="AK89" i="24"/>
  <c r="AJ89" i="24"/>
  <c r="AI89" i="24"/>
  <c r="AG89" i="24"/>
  <c r="X89" i="24"/>
  <c r="V89" i="24"/>
  <c r="P89" i="24"/>
  <c r="L89" i="24"/>
  <c r="AP88" i="24"/>
  <c r="V88" i="20"/>
  <c r="AK88" i="20"/>
  <c r="Y88" i="20"/>
  <c r="Y88" i="24"/>
  <c r="Z88" i="24"/>
  <c r="AO88" i="24"/>
  <c r="AN88" i="24"/>
  <c r="AK88" i="24"/>
  <c r="AJ88" i="24"/>
  <c r="AI88" i="24"/>
  <c r="AG88" i="24"/>
  <c r="X88" i="24"/>
  <c r="V88" i="24"/>
  <c r="P88" i="24"/>
  <c r="L88" i="24"/>
  <c r="AP87" i="24"/>
  <c r="V87" i="20"/>
  <c r="AK87" i="20"/>
  <c r="Y87" i="20"/>
  <c r="Y87" i="24"/>
  <c r="Z87" i="24"/>
  <c r="AO87" i="24"/>
  <c r="AN87" i="24"/>
  <c r="AK87" i="24"/>
  <c r="AJ87" i="24"/>
  <c r="AI87" i="24"/>
  <c r="AG87" i="24"/>
  <c r="X87" i="24"/>
  <c r="V87" i="24"/>
  <c r="P87" i="24"/>
  <c r="L87" i="24"/>
  <c r="AP86" i="24"/>
  <c r="V86" i="20"/>
  <c r="AK86" i="20"/>
  <c r="Y86" i="20"/>
  <c r="Y86" i="24"/>
  <c r="Z86" i="24"/>
  <c r="AO86" i="24"/>
  <c r="AN86" i="24"/>
  <c r="AK86" i="24"/>
  <c r="AJ86" i="24"/>
  <c r="AI86" i="24"/>
  <c r="AG86" i="24"/>
  <c r="X86" i="24"/>
  <c r="V86" i="24"/>
  <c r="P86" i="24"/>
  <c r="L86" i="24"/>
  <c r="AP85" i="24"/>
  <c r="V85" i="20"/>
  <c r="AK85" i="20"/>
  <c r="Y85" i="20"/>
  <c r="Y85" i="24"/>
  <c r="Z85" i="24"/>
  <c r="AO85" i="24"/>
  <c r="AN85" i="24"/>
  <c r="AK85" i="24"/>
  <c r="AJ85" i="24"/>
  <c r="AI85" i="24"/>
  <c r="AG85" i="24"/>
  <c r="X85" i="24"/>
  <c r="V85" i="24"/>
  <c r="P85" i="24"/>
  <c r="L85" i="24"/>
  <c r="AP84" i="24"/>
  <c r="V84" i="20"/>
  <c r="AK84" i="20"/>
  <c r="Y84" i="20"/>
  <c r="Y84" i="24"/>
  <c r="Z84" i="24"/>
  <c r="AO84" i="24"/>
  <c r="AN84" i="24"/>
  <c r="AK84" i="24"/>
  <c r="AJ84" i="24"/>
  <c r="AI84" i="24"/>
  <c r="AG84" i="24"/>
  <c r="X84" i="24"/>
  <c r="V84" i="24"/>
  <c r="P84" i="24"/>
  <c r="L84" i="24"/>
  <c r="AP83" i="24"/>
  <c r="V83" i="20"/>
  <c r="AK83" i="20"/>
  <c r="Y83" i="20"/>
  <c r="Y83" i="24"/>
  <c r="Z83" i="24"/>
  <c r="AO83" i="24"/>
  <c r="AN83" i="24"/>
  <c r="AK83" i="24"/>
  <c r="AJ83" i="24"/>
  <c r="AI83" i="24"/>
  <c r="AG83" i="24"/>
  <c r="X83" i="24"/>
  <c r="V83" i="24"/>
  <c r="P83" i="24"/>
  <c r="L83" i="24"/>
  <c r="AP82" i="24"/>
  <c r="V82" i="20"/>
  <c r="AK82" i="20"/>
  <c r="Y82" i="20"/>
  <c r="Y82" i="24"/>
  <c r="Z82" i="24"/>
  <c r="AO82" i="24"/>
  <c r="AN82" i="24"/>
  <c r="AK82" i="24"/>
  <c r="AJ82" i="24"/>
  <c r="AI82" i="24"/>
  <c r="AG82" i="24"/>
  <c r="X82" i="24"/>
  <c r="V82" i="24"/>
  <c r="P82" i="24"/>
  <c r="L82" i="24"/>
  <c r="AP81" i="24"/>
  <c r="V81" i="20"/>
  <c r="AK81" i="20"/>
  <c r="Y81" i="20"/>
  <c r="Y81" i="24"/>
  <c r="Z81" i="24"/>
  <c r="AO81" i="24"/>
  <c r="AN81" i="24"/>
  <c r="AK81" i="24"/>
  <c r="AJ81" i="24"/>
  <c r="AI81" i="24"/>
  <c r="AG81" i="24"/>
  <c r="X81" i="24"/>
  <c r="V81" i="24"/>
  <c r="P81" i="24"/>
  <c r="L81" i="24"/>
  <c r="AP80" i="24"/>
  <c r="V80" i="20"/>
  <c r="AK80" i="20"/>
  <c r="Y80" i="20"/>
  <c r="Y80" i="24"/>
  <c r="Z80" i="24"/>
  <c r="AO80" i="24"/>
  <c r="AN80" i="24"/>
  <c r="AK80" i="24"/>
  <c r="AJ80" i="24"/>
  <c r="AI80" i="24"/>
  <c r="AG80" i="24"/>
  <c r="X80" i="24"/>
  <c r="V80" i="24"/>
  <c r="P80" i="24"/>
  <c r="L80" i="24"/>
  <c r="AP79" i="24"/>
  <c r="V79" i="20"/>
  <c r="AK79" i="20"/>
  <c r="Y79" i="20"/>
  <c r="Y79" i="24"/>
  <c r="Z79" i="24"/>
  <c r="AO79" i="24"/>
  <c r="AN79" i="24"/>
  <c r="AK79" i="24"/>
  <c r="AJ79" i="24"/>
  <c r="AI79" i="24"/>
  <c r="AG79" i="24"/>
  <c r="X79" i="24"/>
  <c r="V79" i="24"/>
  <c r="P79" i="24"/>
  <c r="L79" i="24"/>
  <c r="AP78" i="24"/>
  <c r="V78" i="20"/>
  <c r="AK78" i="20"/>
  <c r="Y78" i="20"/>
  <c r="Y78" i="24"/>
  <c r="Z78" i="24"/>
  <c r="AO78" i="24"/>
  <c r="AN78" i="24"/>
  <c r="AK78" i="24"/>
  <c r="AJ78" i="24"/>
  <c r="AI78" i="24"/>
  <c r="AG78" i="24"/>
  <c r="X78" i="24"/>
  <c r="V78" i="24"/>
  <c r="P78" i="24"/>
  <c r="L78" i="24"/>
  <c r="AP77" i="24"/>
  <c r="V77" i="20"/>
  <c r="AK77" i="20"/>
  <c r="Y77" i="20"/>
  <c r="Y77" i="24"/>
  <c r="Z77" i="24"/>
  <c r="AO77" i="24"/>
  <c r="AN77" i="24"/>
  <c r="AK77" i="24"/>
  <c r="AJ77" i="24"/>
  <c r="AI77" i="24"/>
  <c r="AG77" i="24"/>
  <c r="X77" i="24"/>
  <c r="V77" i="24"/>
  <c r="P77" i="24"/>
  <c r="L77" i="24"/>
  <c r="AP76" i="24"/>
  <c r="V76" i="20"/>
  <c r="AK76" i="20"/>
  <c r="Y76" i="20"/>
  <c r="Y76" i="24"/>
  <c r="Z76" i="24"/>
  <c r="AO76" i="24"/>
  <c r="AN76" i="24"/>
  <c r="AK76" i="24"/>
  <c r="AJ76" i="24"/>
  <c r="AI76" i="24"/>
  <c r="AG76" i="24"/>
  <c r="X76" i="24"/>
  <c r="V76" i="24"/>
  <c r="P76" i="24"/>
  <c r="L76" i="24"/>
  <c r="AP75" i="24"/>
  <c r="V75" i="20"/>
  <c r="AK75" i="20"/>
  <c r="Y75" i="20"/>
  <c r="Y75" i="24"/>
  <c r="Z75" i="24"/>
  <c r="AO75" i="24"/>
  <c r="AN75" i="24"/>
  <c r="AK75" i="24"/>
  <c r="AJ75" i="24"/>
  <c r="AI75" i="24"/>
  <c r="AG75" i="24"/>
  <c r="X75" i="24"/>
  <c r="V75" i="24"/>
  <c r="P75" i="24"/>
  <c r="L75" i="24"/>
  <c r="AP74" i="24"/>
  <c r="V74" i="20"/>
  <c r="AK74" i="20"/>
  <c r="Y74" i="20"/>
  <c r="Y74" i="24"/>
  <c r="Z74" i="24"/>
  <c r="AO74" i="24"/>
  <c r="AN74" i="24"/>
  <c r="AK74" i="24"/>
  <c r="AJ74" i="24"/>
  <c r="AI74" i="24"/>
  <c r="AG74" i="24"/>
  <c r="X74" i="24"/>
  <c r="V74" i="24"/>
  <c r="P74" i="24"/>
  <c r="L74" i="24"/>
  <c r="AP73" i="24"/>
  <c r="V73" i="20"/>
  <c r="AK73" i="20"/>
  <c r="Y73" i="20"/>
  <c r="Y73" i="24"/>
  <c r="Z73" i="24"/>
  <c r="AO73" i="24"/>
  <c r="AN73" i="24"/>
  <c r="AK73" i="24"/>
  <c r="AJ73" i="24"/>
  <c r="AI73" i="24"/>
  <c r="AG73" i="24"/>
  <c r="X73" i="24"/>
  <c r="V73" i="24"/>
  <c r="P73" i="24"/>
  <c r="L73" i="24"/>
  <c r="AP72" i="24"/>
  <c r="V72" i="20"/>
  <c r="AK72" i="20"/>
  <c r="Y72" i="20"/>
  <c r="Y72" i="24"/>
  <c r="Z72" i="24"/>
  <c r="AO72" i="24"/>
  <c r="AN72" i="24"/>
  <c r="AK72" i="24"/>
  <c r="AJ72" i="24"/>
  <c r="AI72" i="24"/>
  <c r="AG72" i="24"/>
  <c r="X72" i="24"/>
  <c r="V72" i="24"/>
  <c r="P72" i="24"/>
  <c r="L72" i="24"/>
  <c r="AP71" i="24"/>
  <c r="V71" i="20"/>
  <c r="AK71" i="20"/>
  <c r="Y71" i="20"/>
  <c r="Y71" i="24"/>
  <c r="Z71" i="24"/>
  <c r="AO71" i="24"/>
  <c r="AN71" i="24"/>
  <c r="AK71" i="24"/>
  <c r="AJ71" i="24"/>
  <c r="AI71" i="24"/>
  <c r="AG71" i="24"/>
  <c r="X71" i="24"/>
  <c r="V71" i="24"/>
  <c r="P71" i="24"/>
  <c r="L71" i="24"/>
  <c r="AP70" i="24"/>
  <c r="V70" i="20"/>
  <c r="AK70" i="20"/>
  <c r="Y70" i="20"/>
  <c r="Y70" i="24"/>
  <c r="Z70" i="24"/>
  <c r="AO70" i="24"/>
  <c r="AN70" i="24"/>
  <c r="AK70" i="24"/>
  <c r="AJ70" i="24"/>
  <c r="AI70" i="24"/>
  <c r="AG70" i="24"/>
  <c r="X70" i="24"/>
  <c r="V70" i="24"/>
  <c r="P70" i="24"/>
  <c r="L70" i="24"/>
  <c r="AP69" i="24"/>
  <c r="V69" i="20"/>
  <c r="AK69" i="20"/>
  <c r="Y69" i="20"/>
  <c r="Y69" i="24"/>
  <c r="Z69" i="24"/>
  <c r="AO69" i="24"/>
  <c r="AN69" i="24"/>
  <c r="AK69" i="24"/>
  <c r="AJ69" i="24"/>
  <c r="AI69" i="24"/>
  <c r="AG69" i="24"/>
  <c r="X69" i="24"/>
  <c r="V69" i="24"/>
  <c r="P69" i="24"/>
  <c r="L69" i="24"/>
  <c r="AP68" i="24"/>
  <c r="V68" i="20"/>
  <c r="AK68" i="20"/>
  <c r="Y68" i="20"/>
  <c r="Y68" i="24"/>
  <c r="Z68" i="24"/>
  <c r="AO68" i="24"/>
  <c r="AN68" i="24"/>
  <c r="AK68" i="24"/>
  <c r="AJ68" i="24"/>
  <c r="AI68" i="24"/>
  <c r="AG68" i="24"/>
  <c r="X68" i="24"/>
  <c r="V68" i="24"/>
  <c r="P68" i="24"/>
  <c r="L68" i="24"/>
  <c r="AP67" i="24"/>
  <c r="V67" i="20"/>
  <c r="AK67" i="20"/>
  <c r="Y67" i="20"/>
  <c r="Y67" i="24"/>
  <c r="Z67" i="24"/>
  <c r="AO67" i="24"/>
  <c r="AN67" i="24"/>
  <c r="AK67" i="24"/>
  <c r="AJ67" i="24"/>
  <c r="AI67" i="24"/>
  <c r="AG67" i="24"/>
  <c r="X67" i="24"/>
  <c r="V67" i="24"/>
  <c r="P67" i="24"/>
  <c r="L67" i="24"/>
  <c r="AP66" i="24"/>
  <c r="V66" i="20"/>
  <c r="AK66" i="20"/>
  <c r="Y66" i="20"/>
  <c r="Y66" i="24"/>
  <c r="Z66" i="24"/>
  <c r="AO66" i="24"/>
  <c r="AN66" i="24"/>
  <c r="AK66" i="24"/>
  <c r="AJ66" i="24"/>
  <c r="AI66" i="24"/>
  <c r="AG66" i="24"/>
  <c r="X66" i="24"/>
  <c r="V66" i="24"/>
  <c r="P66" i="24"/>
  <c r="L66" i="24"/>
  <c r="AP65" i="24"/>
  <c r="V65" i="20"/>
  <c r="AK65" i="20"/>
  <c r="Y65" i="20"/>
  <c r="Y65" i="24"/>
  <c r="Z65" i="24"/>
  <c r="AO65" i="24"/>
  <c r="AN65" i="24"/>
  <c r="AK65" i="24"/>
  <c r="AJ65" i="24"/>
  <c r="AI65" i="24"/>
  <c r="AG65" i="24"/>
  <c r="X65" i="24"/>
  <c r="V65" i="24"/>
  <c r="P65" i="24"/>
  <c r="L65" i="24"/>
  <c r="AP64" i="24"/>
  <c r="V64" i="20"/>
  <c r="AK64" i="20"/>
  <c r="Y64" i="20"/>
  <c r="Y64" i="24"/>
  <c r="Z64" i="24"/>
  <c r="AO64" i="24"/>
  <c r="AN64" i="24"/>
  <c r="AK64" i="24"/>
  <c r="AJ64" i="24"/>
  <c r="AI64" i="24"/>
  <c r="AG64" i="24"/>
  <c r="X64" i="24"/>
  <c r="V64" i="24"/>
  <c r="P64" i="24"/>
  <c r="L64" i="24"/>
  <c r="AP63" i="24"/>
  <c r="V63" i="20"/>
  <c r="AK63" i="20"/>
  <c r="Y63" i="20"/>
  <c r="Y63" i="24"/>
  <c r="Z63" i="24"/>
  <c r="AO63" i="24"/>
  <c r="AN63" i="24"/>
  <c r="AK63" i="24"/>
  <c r="AJ63" i="24"/>
  <c r="AI63" i="24"/>
  <c r="AG63" i="24"/>
  <c r="X63" i="24"/>
  <c r="V63" i="24"/>
  <c r="P63" i="24"/>
  <c r="L63" i="24"/>
  <c r="AP62" i="24"/>
  <c r="V62" i="20"/>
  <c r="AK62" i="20"/>
  <c r="Y62" i="20"/>
  <c r="Y62" i="24"/>
  <c r="Z62" i="24"/>
  <c r="AO62" i="24"/>
  <c r="AN62" i="24"/>
  <c r="AK62" i="24"/>
  <c r="AJ62" i="24"/>
  <c r="AI62" i="24"/>
  <c r="AG62" i="24"/>
  <c r="X62" i="24"/>
  <c r="V62" i="24"/>
  <c r="P62" i="24"/>
  <c r="L62" i="24"/>
  <c r="AP61" i="24"/>
  <c r="V61" i="20"/>
  <c r="AK61" i="20"/>
  <c r="Y61" i="20"/>
  <c r="Y61" i="24"/>
  <c r="Z61" i="24"/>
  <c r="AO61" i="24"/>
  <c r="AN61" i="24"/>
  <c r="AK61" i="24"/>
  <c r="AJ61" i="24"/>
  <c r="AI61" i="24"/>
  <c r="AG61" i="24"/>
  <c r="X61" i="24"/>
  <c r="V61" i="24"/>
  <c r="P61" i="24"/>
  <c r="L61" i="24"/>
  <c r="AP60" i="24"/>
  <c r="V60" i="20"/>
  <c r="AK60" i="20"/>
  <c r="Y60" i="20"/>
  <c r="Y60" i="24"/>
  <c r="Z60" i="24"/>
  <c r="AO60" i="24"/>
  <c r="AN60" i="24"/>
  <c r="AK60" i="24"/>
  <c r="AJ60" i="24"/>
  <c r="AI60" i="24"/>
  <c r="AG60" i="24"/>
  <c r="X60" i="24"/>
  <c r="V60" i="24"/>
  <c r="P60" i="24"/>
  <c r="L60" i="24"/>
  <c r="AP59" i="24"/>
  <c r="V59" i="20"/>
  <c r="AK59" i="20"/>
  <c r="Y59" i="20"/>
  <c r="Y59" i="24"/>
  <c r="Z59" i="24"/>
  <c r="AO59" i="24"/>
  <c r="AN59" i="24"/>
  <c r="AK59" i="24"/>
  <c r="AJ59" i="24"/>
  <c r="AI59" i="24"/>
  <c r="AG59" i="24"/>
  <c r="X59" i="24"/>
  <c r="V59" i="24"/>
  <c r="P59" i="24"/>
  <c r="L59" i="24"/>
  <c r="AP58" i="24"/>
  <c r="V58" i="20"/>
  <c r="AK58" i="20"/>
  <c r="Y58" i="20"/>
  <c r="Y58" i="24"/>
  <c r="Z58" i="24"/>
  <c r="AO58" i="24"/>
  <c r="AN58" i="24"/>
  <c r="AK58" i="24"/>
  <c r="AJ58" i="24"/>
  <c r="AI58" i="24"/>
  <c r="AG58" i="24"/>
  <c r="X58" i="24"/>
  <c r="V58" i="24"/>
  <c r="P58" i="24"/>
  <c r="L58" i="24"/>
  <c r="AP57" i="24"/>
  <c r="V57" i="20"/>
  <c r="AK57" i="20"/>
  <c r="Y57" i="20"/>
  <c r="Y57" i="24"/>
  <c r="Z57" i="24"/>
  <c r="AO57" i="24"/>
  <c r="AN57" i="24"/>
  <c r="AK57" i="24"/>
  <c r="AJ57" i="24"/>
  <c r="AI57" i="24"/>
  <c r="AG57" i="24"/>
  <c r="X57" i="24"/>
  <c r="V57" i="24"/>
  <c r="P57" i="24"/>
  <c r="L57" i="24"/>
  <c r="AP56" i="24"/>
  <c r="V56" i="20"/>
  <c r="AK56" i="20"/>
  <c r="Y56" i="20"/>
  <c r="Y56" i="24"/>
  <c r="Z56" i="24"/>
  <c r="AO56" i="24"/>
  <c r="AN56" i="24"/>
  <c r="AK56" i="24"/>
  <c r="AJ56" i="24"/>
  <c r="AI56" i="24"/>
  <c r="AG56" i="24"/>
  <c r="X56" i="24"/>
  <c r="V56" i="24"/>
  <c r="P56" i="24"/>
  <c r="L56" i="24"/>
  <c r="AP55" i="24"/>
  <c r="V55" i="20"/>
  <c r="AK55" i="20"/>
  <c r="Y55" i="20"/>
  <c r="Y55" i="24"/>
  <c r="Z55" i="24"/>
  <c r="AO55" i="24"/>
  <c r="AN55" i="24"/>
  <c r="AK55" i="24"/>
  <c r="AJ55" i="24"/>
  <c r="AI55" i="24"/>
  <c r="AG55" i="24"/>
  <c r="X55" i="24"/>
  <c r="V55" i="24"/>
  <c r="P55" i="24"/>
  <c r="L55" i="24"/>
  <c r="AP54" i="24"/>
  <c r="V54" i="20"/>
  <c r="AK54" i="20"/>
  <c r="Y54" i="20"/>
  <c r="Y54" i="24"/>
  <c r="Z54" i="24"/>
  <c r="AO54" i="24"/>
  <c r="AN54" i="24"/>
  <c r="AK54" i="24"/>
  <c r="AJ54" i="24"/>
  <c r="AI54" i="24"/>
  <c r="AG54" i="24"/>
  <c r="X54" i="24"/>
  <c r="V54" i="24"/>
  <c r="P54" i="24"/>
  <c r="L54" i="24"/>
  <c r="AP53" i="24"/>
  <c r="V53" i="20"/>
  <c r="AK53" i="20"/>
  <c r="Y53" i="20"/>
  <c r="Y53" i="24"/>
  <c r="Z53" i="24"/>
  <c r="AO53" i="24"/>
  <c r="AN53" i="24"/>
  <c r="AK53" i="24"/>
  <c r="AJ53" i="24"/>
  <c r="AI53" i="24"/>
  <c r="AG53" i="24"/>
  <c r="X53" i="24"/>
  <c r="V53" i="24"/>
  <c r="P53" i="24"/>
  <c r="L53" i="24"/>
  <c r="AP52" i="24"/>
  <c r="V52" i="20"/>
  <c r="AK52" i="20"/>
  <c r="Y52" i="20"/>
  <c r="Y52" i="24"/>
  <c r="Z52" i="24"/>
  <c r="AO52" i="24"/>
  <c r="AN52" i="24"/>
  <c r="AK52" i="24"/>
  <c r="AJ52" i="24"/>
  <c r="AI52" i="24"/>
  <c r="AG52" i="24"/>
  <c r="X52" i="24"/>
  <c r="V52" i="24"/>
  <c r="P52" i="24"/>
  <c r="L52" i="24"/>
  <c r="AP51" i="24"/>
  <c r="V51" i="20"/>
  <c r="AK51" i="20"/>
  <c r="Y51" i="20"/>
  <c r="Y51" i="24"/>
  <c r="Z51" i="24"/>
  <c r="AO51" i="24"/>
  <c r="AN51" i="24"/>
  <c r="AK51" i="24"/>
  <c r="AJ51" i="24"/>
  <c r="AI51" i="24"/>
  <c r="AG51" i="24"/>
  <c r="X51" i="24"/>
  <c r="V51" i="24"/>
  <c r="P51" i="24"/>
  <c r="L51" i="24"/>
  <c r="AP50" i="24"/>
  <c r="V50" i="20"/>
  <c r="AK50" i="20"/>
  <c r="Y50" i="20"/>
  <c r="Y50" i="24"/>
  <c r="Z50" i="24"/>
  <c r="AO50" i="24"/>
  <c r="AN50" i="24"/>
  <c r="AK50" i="24"/>
  <c r="AJ50" i="24"/>
  <c r="AI50" i="24"/>
  <c r="AG50" i="24"/>
  <c r="X50" i="24"/>
  <c r="V50" i="24"/>
  <c r="P50" i="24"/>
  <c r="L50" i="24"/>
  <c r="AP49" i="24"/>
  <c r="V49" i="20"/>
  <c r="AK49" i="20"/>
  <c r="Y49" i="20"/>
  <c r="Y49" i="24"/>
  <c r="Z49" i="24"/>
  <c r="AO49" i="24"/>
  <c r="AN49" i="24"/>
  <c r="AK49" i="24"/>
  <c r="AJ49" i="24"/>
  <c r="AI49" i="24"/>
  <c r="AG49" i="24"/>
  <c r="X49" i="24"/>
  <c r="V49" i="24"/>
  <c r="P49" i="24"/>
  <c r="L49" i="24"/>
  <c r="AP48" i="24"/>
  <c r="V48" i="20"/>
  <c r="AK48" i="20"/>
  <c r="Y48" i="20"/>
  <c r="Y48" i="24"/>
  <c r="Z48" i="24"/>
  <c r="AO48" i="24"/>
  <c r="AN48" i="24"/>
  <c r="AK48" i="24"/>
  <c r="AJ48" i="24"/>
  <c r="AI48" i="24"/>
  <c r="AG48" i="24"/>
  <c r="X48" i="24"/>
  <c r="V48" i="24"/>
  <c r="P48" i="24"/>
  <c r="L48" i="24"/>
  <c r="AP47" i="24"/>
  <c r="V47" i="20"/>
  <c r="AK47" i="20"/>
  <c r="Y47" i="20"/>
  <c r="Y47" i="24"/>
  <c r="Z47" i="24"/>
  <c r="AO47" i="24"/>
  <c r="AN47" i="24"/>
  <c r="AK47" i="24"/>
  <c r="AJ47" i="24"/>
  <c r="AI47" i="24"/>
  <c r="AG47" i="24"/>
  <c r="X47" i="24"/>
  <c r="V47" i="24"/>
  <c r="P47" i="24"/>
  <c r="L47" i="24"/>
  <c r="AP46" i="24"/>
  <c r="V46" i="20"/>
  <c r="AK46" i="20"/>
  <c r="Y46" i="20"/>
  <c r="Y46" i="24"/>
  <c r="Z46" i="24"/>
  <c r="AO46" i="24"/>
  <c r="AN46" i="24"/>
  <c r="AK46" i="24"/>
  <c r="AJ46" i="24"/>
  <c r="AI46" i="24"/>
  <c r="AG46" i="24"/>
  <c r="X46" i="24"/>
  <c r="V46" i="24"/>
  <c r="P46" i="24"/>
  <c r="L46" i="24"/>
  <c r="AP45" i="24"/>
  <c r="V45" i="20"/>
  <c r="AK45" i="20"/>
  <c r="Y45" i="20"/>
  <c r="Y45" i="24"/>
  <c r="Z45" i="24"/>
  <c r="AO45" i="24"/>
  <c r="AN45" i="24"/>
  <c r="AK45" i="24"/>
  <c r="AJ45" i="24"/>
  <c r="AI45" i="24"/>
  <c r="AG45" i="24"/>
  <c r="X45" i="24"/>
  <c r="V45" i="24"/>
  <c r="P45" i="24"/>
  <c r="L45" i="24"/>
  <c r="AP44" i="24"/>
  <c r="V44" i="20"/>
  <c r="AK44" i="20"/>
  <c r="Y44" i="20"/>
  <c r="Y44" i="24"/>
  <c r="Z44" i="24"/>
  <c r="AO44" i="24"/>
  <c r="AN44" i="24"/>
  <c r="AK44" i="24"/>
  <c r="AJ44" i="24"/>
  <c r="AI44" i="24"/>
  <c r="AG44" i="24"/>
  <c r="X44" i="24"/>
  <c r="V44" i="24"/>
  <c r="P44" i="24"/>
  <c r="L44" i="24"/>
  <c r="AP43" i="24"/>
  <c r="AK43" i="20"/>
  <c r="Y43" i="20"/>
  <c r="Y43" i="24"/>
  <c r="Z43" i="24"/>
  <c r="AO43" i="24"/>
  <c r="AN43" i="24"/>
  <c r="AK43" i="24"/>
  <c r="AJ43" i="24"/>
  <c r="AI43" i="24"/>
  <c r="AG43" i="24"/>
  <c r="X43" i="24"/>
  <c r="V43" i="24"/>
  <c r="P43" i="24"/>
  <c r="L43" i="24"/>
  <c r="AP42" i="24"/>
  <c r="V42" i="20"/>
  <c r="AK42" i="20"/>
  <c r="Y42" i="20"/>
  <c r="Y42" i="24"/>
  <c r="Z42" i="24"/>
  <c r="AO42" i="24"/>
  <c r="AN42" i="24"/>
  <c r="AK42" i="24"/>
  <c r="AJ42" i="24"/>
  <c r="AI42" i="24"/>
  <c r="AG42" i="24"/>
  <c r="X42" i="24"/>
  <c r="V42" i="24"/>
  <c r="P42" i="24"/>
  <c r="L42" i="24"/>
  <c r="AP41" i="24"/>
  <c r="V41" i="20"/>
  <c r="AK41" i="20"/>
  <c r="Y41" i="20"/>
  <c r="Y41" i="24"/>
  <c r="Z41" i="24"/>
  <c r="AO41" i="24"/>
  <c r="AN41" i="24"/>
  <c r="AK41" i="24"/>
  <c r="AJ41" i="24"/>
  <c r="AI41" i="24"/>
  <c r="AG41" i="24"/>
  <c r="X41" i="24"/>
  <c r="V41" i="24"/>
  <c r="P41" i="24"/>
  <c r="L41" i="24"/>
  <c r="AP40" i="24"/>
  <c r="V40" i="20"/>
  <c r="AK40" i="20"/>
  <c r="Y40" i="20"/>
  <c r="Y40" i="24"/>
  <c r="Z40" i="24"/>
  <c r="AO40" i="24"/>
  <c r="AN40" i="24"/>
  <c r="AK40" i="24"/>
  <c r="AJ40" i="24"/>
  <c r="AI40" i="24"/>
  <c r="AG40" i="24"/>
  <c r="X40" i="24"/>
  <c r="V40" i="24"/>
  <c r="P40" i="24"/>
  <c r="L40" i="24"/>
  <c r="AP39" i="24"/>
  <c r="V39" i="20"/>
  <c r="AK39" i="20"/>
  <c r="Y39" i="20"/>
  <c r="Y39" i="24"/>
  <c r="Z39" i="24"/>
  <c r="AO39" i="24"/>
  <c r="AN39" i="24"/>
  <c r="AK39" i="24"/>
  <c r="AJ39" i="24"/>
  <c r="AI39" i="24"/>
  <c r="AG39" i="24"/>
  <c r="X39" i="24"/>
  <c r="V39" i="24"/>
  <c r="P39" i="24"/>
  <c r="L39" i="24"/>
  <c r="AP38" i="24"/>
  <c r="V38" i="20"/>
  <c r="AK38" i="20"/>
  <c r="Y38" i="20"/>
  <c r="Y38" i="24"/>
  <c r="Z38" i="24"/>
  <c r="AO38" i="24"/>
  <c r="AN38" i="24"/>
  <c r="AK38" i="24"/>
  <c r="AJ38" i="24"/>
  <c r="AI38" i="24"/>
  <c r="AG38" i="24"/>
  <c r="X38" i="24"/>
  <c r="V38" i="24"/>
  <c r="P38" i="24"/>
  <c r="L38" i="24"/>
  <c r="AP37" i="24"/>
  <c r="V37" i="20"/>
  <c r="AK37" i="20"/>
  <c r="Y37" i="20"/>
  <c r="Y37" i="24"/>
  <c r="Z37" i="24"/>
  <c r="AO37" i="24"/>
  <c r="AN37" i="24"/>
  <c r="AK37" i="24"/>
  <c r="AJ37" i="24"/>
  <c r="AI37" i="24"/>
  <c r="AG37" i="24"/>
  <c r="X37" i="24"/>
  <c r="V37" i="24"/>
  <c r="P37" i="24"/>
  <c r="L37" i="24"/>
  <c r="AP36" i="24"/>
  <c r="V36" i="20"/>
  <c r="AK36" i="20"/>
  <c r="Y36" i="20"/>
  <c r="Y36" i="24"/>
  <c r="Z36" i="24"/>
  <c r="AO36" i="24"/>
  <c r="AN36" i="24"/>
  <c r="AK36" i="24"/>
  <c r="AJ36" i="24"/>
  <c r="AI36" i="24"/>
  <c r="AG36" i="24"/>
  <c r="X36" i="24"/>
  <c r="V36" i="24"/>
  <c r="P36" i="24"/>
  <c r="L36" i="24"/>
  <c r="AP35" i="24"/>
  <c r="V35" i="20"/>
  <c r="AK35" i="20"/>
  <c r="Y35" i="20"/>
  <c r="Y35" i="24"/>
  <c r="Z35" i="24"/>
  <c r="AO35" i="24"/>
  <c r="AN35" i="24"/>
  <c r="AK35" i="24"/>
  <c r="AJ35" i="24"/>
  <c r="AI35" i="24"/>
  <c r="AG35" i="24"/>
  <c r="X35" i="24"/>
  <c r="V35" i="24"/>
  <c r="P35" i="24"/>
  <c r="L35" i="24"/>
  <c r="AP34" i="24"/>
  <c r="V34" i="20"/>
  <c r="AK34" i="20"/>
  <c r="Y34" i="20"/>
  <c r="Y34" i="24"/>
  <c r="Z34" i="24"/>
  <c r="AO34" i="24"/>
  <c r="AN34" i="24"/>
  <c r="AK34" i="24"/>
  <c r="AJ34" i="24"/>
  <c r="AI34" i="24"/>
  <c r="AG34" i="24"/>
  <c r="X34" i="24"/>
  <c r="V34" i="24"/>
  <c r="P34" i="24"/>
  <c r="L34" i="24"/>
  <c r="AP33" i="24"/>
  <c r="V33" i="20"/>
  <c r="AK33" i="20"/>
  <c r="Y33" i="20"/>
  <c r="Y33" i="24"/>
  <c r="Z33" i="24"/>
  <c r="AO33" i="24"/>
  <c r="AN33" i="24"/>
  <c r="AK33" i="24"/>
  <c r="AJ33" i="24"/>
  <c r="AI33" i="24"/>
  <c r="AG33" i="24"/>
  <c r="X33" i="24"/>
  <c r="V33" i="24"/>
  <c r="P33" i="24"/>
  <c r="L33" i="24"/>
  <c r="AP32" i="24"/>
  <c r="V32" i="20"/>
  <c r="AK32" i="20"/>
  <c r="Y32" i="20"/>
  <c r="Y32" i="24"/>
  <c r="Z32" i="24"/>
  <c r="AO32" i="24"/>
  <c r="AN32" i="24"/>
  <c r="AK32" i="24"/>
  <c r="AJ32" i="24"/>
  <c r="AI32" i="24"/>
  <c r="AG32" i="24"/>
  <c r="X32" i="24"/>
  <c r="V32" i="24"/>
  <c r="P32" i="24"/>
  <c r="L32" i="24"/>
  <c r="AP31" i="24"/>
  <c r="V31" i="20"/>
  <c r="AK31" i="20"/>
  <c r="Y31" i="20"/>
  <c r="Y31" i="24"/>
  <c r="Z31" i="24"/>
  <c r="AO31" i="24"/>
  <c r="AN31" i="24"/>
  <c r="AK31" i="24"/>
  <c r="AJ31" i="24"/>
  <c r="AI31" i="24"/>
  <c r="AG31" i="24"/>
  <c r="X31" i="24"/>
  <c r="V31" i="24"/>
  <c r="P31" i="24"/>
  <c r="L31" i="24"/>
  <c r="AP30" i="24"/>
  <c r="V30" i="20"/>
  <c r="AK30" i="20"/>
  <c r="Y30" i="20"/>
  <c r="Y30" i="24"/>
  <c r="Z30" i="24"/>
  <c r="AO30" i="24"/>
  <c r="AN30" i="24"/>
  <c r="AK30" i="24"/>
  <c r="AJ30" i="24"/>
  <c r="AI30" i="24"/>
  <c r="AG30" i="24"/>
  <c r="X30" i="24"/>
  <c r="V30" i="24"/>
  <c r="P30" i="24"/>
  <c r="L30" i="24"/>
  <c r="AP29" i="24"/>
  <c r="V29" i="20"/>
  <c r="AK29" i="20"/>
  <c r="Y29" i="20"/>
  <c r="Y29" i="24"/>
  <c r="Z29" i="24"/>
  <c r="AO29" i="24"/>
  <c r="AN29" i="24"/>
  <c r="AK29" i="24"/>
  <c r="AJ29" i="24"/>
  <c r="AI29" i="24"/>
  <c r="AG29" i="24"/>
  <c r="X29" i="24"/>
  <c r="V29" i="24"/>
  <c r="P29" i="24"/>
  <c r="L29" i="24"/>
  <c r="AP28" i="24"/>
  <c r="V28" i="20"/>
  <c r="AK28" i="20"/>
  <c r="Y28" i="20"/>
  <c r="Y28" i="24"/>
  <c r="Z28" i="24"/>
  <c r="AO28" i="24"/>
  <c r="AN28" i="24"/>
  <c r="AK28" i="24"/>
  <c r="AJ28" i="24"/>
  <c r="AI28" i="24"/>
  <c r="AG28" i="24"/>
  <c r="X28" i="24"/>
  <c r="V28" i="24"/>
  <c r="P28" i="24"/>
  <c r="L28" i="24"/>
  <c r="AP27" i="24"/>
  <c r="V27" i="20"/>
  <c r="AK27" i="20"/>
  <c r="Y27" i="20"/>
  <c r="Y27" i="24"/>
  <c r="Z27" i="24"/>
  <c r="AO27" i="24"/>
  <c r="AN27" i="24"/>
  <c r="AK27" i="24"/>
  <c r="AJ27" i="24"/>
  <c r="AI27" i="24"/>
  <c r="AG27" i="24"/>
  <c r="X27" i="24"/>
  <c r="V27" i="24"/>
  <c r="P27" i="24"/>
  <c r="L27" i="24"/>
  <c r="AP26" i="24"/>
  <c r="V26" i="20"/>
  <c r="AK26" i="20"/>
  <c r="Y26" i="20"/>
  <c r="Y26" i="24"/>
  <c r="Z26" i="24"/>
  <c r="AO26" i="24"/>
  <c r="AN26" i="24"/>
  <c r="AK26" i="24"/>
  <c r="AJ26" i="24"/>
  <c r="AI26" i="24"/>
  <c r="AG26" i="24"/>
  <c r="X26" i="24"/>
  <c r="V26" i="24"/>
  <c r="P26" i="24"/>
  <c r="L26" i="24"/>
  <c r="AP25" i="24"/>
  <c r="V25" i="20"/>
  <c r="AK25" i="20"/>
  <c r="Y25" i="20"/>
  <c r="Y25" i="24"/>
  <c r="Z25" i="24"/>
  <c r="AO25" i="24"/>
  <c r="AN25" i="24"/>
  <c r="AK25" i="24"/>
  <c r="AJ25" i="24"/>
  <c r="AI25" i="24"/>
  <c r="AG25" i="24"/>
  <c r="X25" i="24"/>
  <c r="V25" i="24"/>
  <c r="P25" i="24"/>
  <c r="L25" i="24"/>
  <c r="AP24" i="24"/>
  <c r="V24" i="20"/>
  <c r="AK24" i="20"/>
  <c r="Y24" i="20"/>
  <c r="Y24" i="24"/>
  <c r="Z24" i="24"/>
  <c r="AO24" i="24"/>
  <c r="AN24" i="24"/>
  <c r="AK24" i="24"/>
  <c r="AJ24" i="24"/>
  <c r="AI24" i="24"/>
  <c r="AG24" i="24"/>
  <c r="X24" i="24"/>
  <c r="V24" i="24"/>
  <c r="P24" i="24"/>
  <c r="L24" i="24"/>
  <c r="AP23" i="24"/>
  <c r="V23" i="20"/>
  <c r="AK23" i="20"/>
  <c r="Y23" i="20"/>
  <c r="Y23" i="24"/>
  <c r="Z23" i="24"/>
  <c r="AO23" i="24"/>
  <c r="AN23" i="24"/>
  <c r="AK23" i="24"/>
  <c r="AJ23" i="24"/>
  <c r="AI23" i="24"/>
  <c r="AG23" i="24"/>
  <c r="X23" i="24"/>
  <c r="V23" i="24"/>
  <c r="P23" i="24"/>
  <c r="L23" i="24"/>
  <c r="AP22" i="24"/>
  <c r="V22" i="20"/>
  <c r="AK22" i="20"/>
  <c r="Y22" i="20"/>
  <c r="Y22" i="24"/>
  <c r="Z22" i="24"/>
  <c r="AO22" i="24"/>
  <c r="AN22" i="24"/>
  <c r="AK22" i="24"/>
  <c r="AJ22" i="24"/>
  <c r="AI22" i="24"/>
  <c r="AG22" i="24"/>
  <c r="X22" i="24"/>
  <c r="V22" i="24"/>
  <c r="P22" i="24"/>
  <c r="L22" i="24"/>
  <c r="AP21" i="24"/>
  <c r="V21" i="20"/>
  <c r="AK21" i="20"/>
  <c r="Y21" i="20"/>
  <c r="Y21" i="24"/>
  <c r="Z21" i="24"/>
  <c r="AO21" i="24"/>
  <c r="AN21" i="24"/>
  <c r="AK21" i="24"/>
  <c r="AJ21" i="24"/>
  <c r="AI21" i="24"/>
  <c r="AG21" i="24"/>
  <c r="X21" i="24"/>
  <c r="V21" i="24"/>
  <c r="P21" i="24"/>
  <c r="L21" i="24"/>
  <c r="AP20" i="24"/>
  <c r="V20" i="20"/>
  <c r="AK20" i="20"/>
  <c r="Y20" i="20"/>
  <c r="Y20" i="24"/>
  <c r="Z20" i="24"/>
  <c r="AO20" i="24"/>
  <c r="AN20" i="24"/>
  <c r="AK20" i="24"/>
  <c r="AJ20" i="24"/>
  <c r="AI20" i="24"/>
  <c r="AG20" i="24"/>
  <c r="X20" i="24"/>
  <c r="V20" i="24"/>
  <c r="P20" i="24"/>
  <c r="L20" i="24"/>
  <c r="AP19" i="24"/>
  <c r="V19" i="20"/>
  <c r="AK19" i="20"/>
  <c r="Y19" i="20"/>
  <c r="Y19" i="24"/>
  <c r="Z19" i="24"/>
  <c r="AO19" i="24"/>
  <c r="AN19" i="24"/>
  <c r="AK19" i="24"/>
  <c r="AJ19" i="24"/>
  <c r="AI19" i="24"/>
  <c r="AG19" i="24"/>
  <c r="X19" i="24"/>
  <c r="V19" i="24"/>
  <c r="P19" i="24"/>
  <c r="L19" i="24"/>
  <c r="AP18" i="24"/>
  <c r="V18" i="20"/>
  <c r="AK18" i="20"/>
  <c r="Y18" i="20"/>
  <c r="Y18" i="24"/>
  <c r="Z18" i="24"/>
  <c r="AO18" i="24"/>
  <c r="AN18" i="24"/>
  <c r="AK18" i="24"/>
  <c r="AJ18" i="24"/>
  <c r="AI18" i="24"/>
  <c r="AG18" i="24"/>
  <c r="X18" i="24"/>
  <c r="V18" i="24"/>
  <c r="P18" i="24"/>
  <c r="L18" i="24"/>
  <c r="AP17" i="24"/>
  <c r="V17" i="20"/>
  <c r="AK17" i="20"/>
  <c r="Y17" i="20"/>
  <c r="Y17" i="24"/>
  <c r="Z17" i="24"/>
  <c r="AO17" i="24"/>
  <c r="AN17" i="24"/>
  <c r="AK17" i="24"/>
  <c r="AJ17" i="24"/>
  <c r="AI17" i="24"/>
  <c r="AG17" i="24"/>
  <c r="X17" i="24"/>
  <c r="V17" i="24"/>
  <c r="P17" i="24"/>
  <c r="L17" i="24"/>
  <c r="AP16" i="24"/>
  <c r="V16" i="20"/>
  <c r="AK16" i="20"/>
  <c r="Y16" i="20"/>
  <c r="Y16" i="24"/>
  <c r="Z16" i="24"/>
  <c r="AO16" i="24"/>
  <c r="AN16" i="24"/>
  <c r="AK16" i="24"/>
  <c r="AJ16" i="24"/>
  <c r="AI16" i="24"/>
  <c r="AG16" i="24"/>
  <c r="X16" i="24"/>
  <c r="V16" i="24"/>
  <c r="P16" i="24"/>
  <c r="L16" i="24"/>
  <c r="AP15" i="24"/>
  <c r="V15" i="20"/>
  <c r="AK15" i="20"/>
  <c r="Y15" i="20"/>
  <c r="Y15" i="24"/>
  <c r="Z15" i="24"/>
  <c r="AO15" i="24"/>
  <c r="AN15" i="24"/>
  <c r="AK15" i="24"/>
  <c r="AJ15" i="24"/>
  <c r="AI15" i="24"/>
  <c r="AG15" i="24"/>
  <c r="X15" i="24"/>
  <c r="V15" i="24"/>
  <c r="P15" i="24"/>
  <c r="L15" i="24"/>
  <c r="AP14" i="24"/>
  <c r="V14" i="20"/>
  <c r="AK14" i="20"/>
  <c r="Y14" i="20"/>
  <c r="Y14" i="24"/>
  <c r="Z14" i="24"/>
  <c r="AO14" i="24"/>
  <c r="AN14" i="24"/>
  <c r="AK14" i="24"/>
  <c r="AJ14" i="24"/>
  <c r="AI14" i="24"/>
  <c r="AG14" i="24"/>
  <c r="X14" i="24"/>
  <c r="V14" i="24"/>
  <c r="P14" i="24"/>
  <c r="L14" i="24"/>
  <c r="AP13" i="24"/>
  <c r="V13" i="20"/>
  <c r="AK13" i="20"/>
  <c r="Y13" i="20"/>
  <c r="Y13" i="24"/>
  <c r="Z13" i="24"/>
  <c r="AO13" i="24"/>
  <c r="AN13" i="24"/>
  <c r="AK13" i="24"/>
  <c r="AJ13" i="24"/>
  <c r="AI13" i="24"/>
  <c r="AG13" i="24"/>
  <c r="X13" i="24"/>
  <c r="V13" i="24"/>
  <c r="P13" i="24"/>
  <c r="L13" i="24"/>
  <c r="AP12" i="24"/>
  <c r="V12" i="20"/>
  <c r="AK12" i="20"/>
  <c r="Y12" i="20"/>
  <c r="Y12" i="24"/>
  <c r="Z12" i="24"/>
  <c r="AO12" i="24"/>
  <c r="AN12" i="24"/>
  <c r="AK12" i="24"/>
  <c r="AJ12" i="24"/>
  <c r="AI12" i="24"/>
  <c r="AG12" i="24"/>
  <c r="X12" i="24"/>
  <c r="V12" i="24"/>
  <c r="P12" i="24"/>
  <c r="L12" i="24"/>
  <c r="AP11" i="24"/>
  <c r="V11" i="20"/>
  <c r="AK11" i="20"/>
  <c r="Y11" i="20"/>
  <c r="Y11" i="24"/>
  <c r="Z11" i="24"/>
  <c r="AO11" i="24"/>
  <c r="AN11" i="24"/>
  <c r="AK11" i="24"/>
  <c r="AJ11" i="24"/>
  <c r="AI11" i="24"/>
  <c r="AG11" i="24"/>
  <c r="X11" i="24"/>
  <c r="V11" i="24"/>
  <c r="P11" i="24"/>
  <c r="L11" i="24"/>
  <c r="AP10" i="24"/>
  <c r="V10" i="20"/>
  <c r="AK10" i="20"/>
  <c r="Y10" i="20"/>
  <c r="Y10" i="24"/>
  <c r="Z10" i="24"/>
  <c r="AO10" i="24"/>
  <c r="AN10" i="24"/>
  <c r="AK10" i="24"/>
  <c r="AJ10" i="24"/>
  <c r="AI10" i="24"/>
  <c r="AG10" i="24"/>
  <c r="X10" i="24"/>
  <c r="V10" i="24"/>
  <c r="P10" i="24"/>
  <c r="L10" i="24"/>
  <c r="AP9" i="24"/>
  <c r="V9" i="20"/>
  <c r="AK9" i="20"/>
  <c r="Y9" i="20"/>
  <c r="Y9" i="24"/>
  <c r="Z9" i="24"/>
  <c r="AO9" i="24"/>
  <c r="AN9" i="24"/>
  <c r="AK9" i="24"/>
  <c r="AJ9" i="24"/>
  <c r="AI9" i="24"/>
  <c r="AG9" i="24"/>
  <c r="X9" i="24"/>
  <c r="V9" i="24"/>
  <c r="P9" i="24"/>
  <c r="L9" i="24"/>
  <c r="AP8" i="24"/>
  <c r="V8" i="20"/>
  <c r="AK8" i="20"/>
  <c r="Y8" i="20"/>
  <c r="Y8" i="24"/>
  <c r="Z8" i="24"/>
  <c r="AO8" i="24"/>
  <c r="AN8" i="24"/>
  <c r="AK8" i="24"/>
  <c r="AJ8" i="24"/>
  <c r="AI8" i="24"/>
  <c r="AG8" i="24"/>
  <c r="X8" i="24"/>
  <c r="V8" i="24"/>
  <c r="P8" i="24"/>
  <c r="L8" i="24"/>
  <c r="AP7" i="24"/>
  <c r="V7" i="20"/>
  <c r="AK7" i="20"/>
  <c r="Y7" i="20"/>
  <c r="Y7" i="24"/>
  <c r="Z7" i="24"/>
  <c r="AO7" i="24"/>
  <c r="AN7" i="24"/>
  <c r="AK7" i="24"/>
  <c r="AJ7" i="24"/>
  <c r="AI7" i="24"/>
  <c r="AG7" i="24"/>
  <c r="X7" i="24"/>
  <c r="V7" i="24"/>
  <c r="P7" i="24"/>
  <c r="L7" i="24"/>
  <c r="AP6" i="24"/>
  <c r="Y6" i="24"/>
  <c r="Z6" i="24"/>
  <c r="AO6" i="24"/>
  <c r="AN6" i="24"/>
  <c r="AK6" i="24"/>
  <c r="AJ6" i="24"/>
  <c r="AI6" i="24"/>
  <c r="AG6" i="24"/>
  <c r="X6" i="24"/>
  <c r="V6" i="24"/>
  <c r="P6" i="24"/>
  <c r="L6" i="24"/>
  <c r="AN2" i="24"/>
  <c r="L293" i="23"/>
  <c r="V293" i="23"/>
  <c r="AK293" i="23"/>
  <c r="P293" i="23"/>
  <c r="AI293" i="23"/>
  <c r="AJ293" i="23"/>
  <c r="AG293" i="23"/>
  <c r="L292" i="23"/>
  <c r="V292" i="23"/>
  <c r="AK292" i="23"/>
  <c r="P292" i="23"/>
  <c r="AI292" i="23"/>
  <c r="AJ292" i="23"/>
  <c r="AG292" i="23"/>
  <c r="L291" i="23"/>
  <c r="V291" i="23"/>
  <c r="AK291" i="23"/>
  <c r="P291" i="23"/>
  <c r="AI291" i="23"/>
  <c r="AJ291" i="23"/>
  <c r="AG291" i="23"/>
  <c r="L290" i="23"/>
  <c r="V290" i="23"/>
  <c r="AK290" i="23"/>
  <c r="P290" i="23"/>
  <c r="AI290" i="23"/>
  <c r="AJ290" i="23"/>
  <c r="AG290" i="23"/>
  <c r="L289" i="23"/>
  <c r="V289" i="23"/>
  <c r="AK289" i="23"/>
  <c r="P289" i="23"/>
  <c r="AI289" i="23"/>
  <c r="AJ289" i="23"/>
  <c r="AG289" i="23"/>
  <c r="L288" i="23"/>
  <c r="V288" i="23"/>
  <c r="AK288" i="23"/>
  <c r="P288" i="23"/>
  <c r="AI288" i="23"/>
  <c r="AJ288" i="23"/>
  <c r="AG288" i="23"/>
  <c r="L287" i="23"/>
  <c r="V287" i="23"/>
  <c r="AK287" i="23"/>
  <c r="P287" i="23"/>
  <c r="AI287" i="23"/>
  <c r="AJ287" i="23"/>
  <c r="AG287" i="23"/>
  <c r="L286" i="23"/>
  <c r="V286" i="23"/>
  <c r="AK286" i="23"/>
  <c r="P286" i="23"/>
  <c r="AI286" i="23"/>
  <c r="AJ286" i="23"/>
  <c r="AG286" i="23"/>
  <c r="L285" i="23"/>
  <c r="V285" i="23"/>
  <c r="AK285" i="23"/>
  <c r="P285" i="23"/>
  <c r="AI285" i="23"/>
  <c r="AJ285" i="23"/>
  <c r="AG285" i="23"/>
  <c r="L284" i="23"/>
  <c r="V284" i="23"/>
  <c r="AK284" i="23"/>
  <c r="P284" i="23"/>
  <c r="AI284" i="23"/>
  <c r="AJ284" i="23"/>
  <c r="AG284" i="23"/>
  <c r="L283" i="23"/>
  <c r="V283" i="23"/>
  <c r="AK283" i="23"/>
  <c r="P283" i="23"/>
  <c r="AI283" i="23"/>
  <c r="AJ283" i="23"/>
  <c r="AG283" i="23"/>
  <c r="L282" i="23"/>
  <c r="V282" i="23"/>
  <c r="AK282" i="23"/>
  <c r="P282" i="23"/>
  <c r="AI282" i="23"/>
  <c r="AJ282" i="23"/>
  <c r="AG282" i="23"/>
  <c r="L281" i="23"/>
  <c r="V281" i="23"/>
  <c r="AK281" i="23"/>
  <c r="P281" i="23"/>
  <c r="AI281" i="23"/>
  <c r="AJ281" i="23"/>
  <c r="AG281" i="23"/>
  <c r="L280" i="23"/>
  <c r="V280" i="23"/>
  <c r="AK280" i="23"/>
  <c r="P280" i="23"/>
  <c r="AI280" i="23"/>
  <c r="AJ280" i="23"/>
  <c r="AG280" i="23"/>
  <c r="L279" i="23"/>
  <c r="V279" i="23"/>
  <c r="AK279" i="23"/>
  <c r="P279" i="23"/>
  <c r="AI279" i="23"/>
  <c r="AJ279" i="23"/>
  <c r="AG279" i="23"/>
  <c r="L278" i="23"/>
  <c r="V278" i="23"/>
  <c r="AK278" i="23"/>
  <c r="P278" i="23"/>
  <c r="AI278" i="23"/>
  <c r="AJ278" i="23"/>
  <c r="AG278" i="23"/>
  <c r="L277" i="23"/>
  <c r="V277" i="23"/>
  <c r="AK277" i="23"/>
  <c r="P277" i="23"/>
  <c r="AI277" i="23"/>
  <c r="AJ277" i="23"/>
  <c r="AG277" i="23"/>
  <c r="L276" i="23"/>
  <c r="V276" i="23"/>
  <c r="AK276" i="23"/>
  <c r="P276" i="23"/>
  <c r="AI276" i="23"/>
  <c r="AJ276" i="23"/>
  <c r="AG276" i="23"/>
  <c r="L275" i="23"/>
  <c r="V275" i="23"/>
  <c r="AK275" i="23"/>
  <c r="P275" i="23"/>
  <c r="AI275" i="23"/>
  <c r="AJ275" i="23"/>
  <c r="AG275" i="23"/>
  <c r="L274" i="23"/>
  <c r="V274" i="23"/>
  <c r="AK274" i="23"/>
  <c r="P274" i="23"/>
  <c r="AI274" i="23"/>
  <c r="AJ274" i="23"/>
  <c r="AG274" i="23"/>
  <c r="L273" i="23"/>
  <c r="V273" i="23"/>
  <c r="AK273" i="23"/>
  <c r="P273" i="23"/>
  <c r="AI273" i="23"/>
  <c r="AJ273" i="23"/>
  <c r="AG273" i="23"/>
  <c r="L272" i="23"/>
  <c r="V272" i="23"/>
  <c r="AK272" i="23"/>
  <c r="P272" i="23"/>
  <c r="AI272" i="23"/>
  <c r="AJ272" i="23"/>
  <c r="AG272" i="23"/>
  <c r="L271" i="23"/>
  <c r="V271" i="23"/>
  <c r="AK271" i="23"/>
  <c r="P271" i="23"/>
  <c r="AI271" i="23"/>
  <c r="AJ271" i="23"/>
  <c r="AG271" i="23"/>
  <c r="L270" i="23"/>
  <c r="V270" i="23"/>
  <c r="AK270" i="23"/>
  <c r="P270" i="23"/>
  <c r="AI270" i="23"/>
  <c r="AJ270" i="23"/>
  <c r="AG270" i="23"/>
  <c r="L269" i="23"/>
  <c r="V269" i="23"/>
  <c r="AK269" i="23"/>
  <c r="P269" i="23"/>
  <c r="AI269" i="23"/>
  <c r="AJ269" i="23"/>
  <c r="AG269" i="23"/>
  <c r="L268" i="23"/>
  <c r="V268" i="23"/>
  <c r="AK268" i="23"/>
  <c r="P268" i="23"/>
  <c r="AI268" i="23"/>
  <c r="AJ268" i="23"/>
  <c r="AG268" i="23"/>
  <c r="L267" i="23"/>
  <c r="V267" i="23"/>
  <c r="AK267" i="23"/>
  <c r="P267" i="23"/>
  <c r="AI267" i="23"/>
  <c r="AJ267" i="23"/>
  <c r="AG267" i="23"/>
  <c r="L266" i="23"/>
  <c r="V266" i="23"/>
  <c r="AK266" i="23"/>
  <c r="P266" i="23"/>
  <c r="AI266" i="23"/>
  <c r="AJ266" i="23"/>
  <c r="AG266" i="23"/>
  <c r="L265" i="23"/>
  <c r="V265" i="23"/>
  <c r="AK265" i="23"/>
  <c r="P265" i="23"/>
  <c r="AI265" i="23"/>
  <c r="AJ265" i="23"/>
  <c r="AG265" i="23"/>
  <c r="L264" i="23"/>
  <c r="V264" i="23"/>
  <c r="AK264" i="23"/>
  <c r="P264" i="23"/>
  <c r="AI264" i="23"/>
  <c r="AJ264" i="23"/>
  <c r="AG264" i="23"/>
  <c r="L263" i="23"/>
  <c r="V263" i="23"/>
  <c r="AK263" i="23"/>
  <c r="P263" i="23"/>
  <c r="AI263" i="23"/>
  <c r="AJ263" i="23"/>
  <c r="AG263" i="23"/>
  <c r="L262" i="23"/>
  <c r="V262" i="23"/>
  <c r="AK262" i="23"/>
  <c r="P262" i="23"/>
  <c r="AI262" i="23"/>
  <c r="AJ262" i="23"/>
  <c r="AG262" i="23"/>
  <c r="L261" i="23"/>
  <c r="V261" i="23"/>
  <c r="AK261" i="23"/>
  <c r="P261" i="23"/>
  <c r="AI261" i="23"/>
  <c r="AJ261" i="23"/>
  <c r="AG261" i="23"/>
  <c r="L260" i="23"/>
  <c r="V260" i="23"/>
  <c r="AK260" i="23"/>
  <c r="P260" i="23"/>
  <c r="AI260" i="23"/>
  <c r="AJ260" i="23"/>
  <c r="AG260" i="23"/>
  <c r="L259" i="23"/>
  <c r="V259" i="23"/>
  <c r="AK259" i="23"/>
  <c r="P259" i="23"/>
  <c r="AI259" i="23"/>
  <c r="AJ259" i="23"/>
  <c r="AG259" i="23"/>
  <c r="L258" i="23"/>
  <c r="V258" i="23"/>
  <c r="AK258" i="23"/>
  <c r="P258" i="23"/>
  <c r="AI258" i="23"/>
  <c r="AJ258" i="23"/>
  <c r="AG258" i="23"/>
  <c r="L257" i="23"/>
  <c r="V257" i="23"/>
  <c r="AK257" i="23"/>
  <c r="P257" i="23"/>
  <c r="AI257" i="23"/>
  <c r="AJ257" i="23"/>
  <c r="AG257" i="23"/>
  <c r="L256" i="23"/>
  <c r="V256" i="23"/>
  <c r="AK256" i="23"/>
  <c r="P256" i="23"/>
  <c r="AI256" i="23"/>
  <c r="AJ256" i="23"/>
  <c r="AG256" i="23"/>
  <c r="L255" i="23"/>
  <c r="V255" i="23"/>
  <c r="AK255" i="23"/>
  <c r="P255" i="23"/>
  <c r="AI255" i="23"/>
  <c r="AJ255" i="23"/>
  <c r="AG255" i="23"/>
  <c r="L254" i="23"/>
  <c r="V254" i="23"/>
  <c r="AK254" i="23"/>
  <c r="P254" i="23"/>
  <c r="AI254" i="23"/>
  <c r="AJ254" i="23"/>
  <c r="AG254" i="23"/>
  <c r="L253" i="23"/>
  <c r="V253" i="23"/>
  <c r="AK253" i="23"/>
  <c r="P253" i="23"/>
  <c r="AI253" i="23"/>
  <c r="AJ253" i="23"/>
  <c r="AG253" i="23"/>
  <c r="L252" i="23"/>
  <c r="V252" i="23"/>
  <c r="AK252" i="23"/>
  <c r="P252" i="23"/>
  <c r="AI252" i="23"/>
  <c r="AJ252" i="23"/>
  <c r="AG252" i="23"/>
  <c r="L251" i="23"/>
  <c r="V251" i="23"/>
  <c r="AK251" i="23"/>
  <c r="P251" i="23"/>
  <c r="AI251" i="23"/>
  <c r="AJ251" i="23"/>
  <c r="AG251" i="23"/>
  <c r="L250" i="23"/>
  <c r="V250" i="23"/>
  <c r="AK250" i="23"/>
  <c r="P250" i="23"/>
  <c r="AI250" i="23"/>
  <c r="AJ250" i="23"/>
  <c r="AG250" i="23"/>
  <c r="L249" i="23"/>
  <c r="V249" i="23"/>
  <c r="AK249" i="23"/>
  <c r="P249" i="23"/>
  <c r="AI249" i="23"/>
  <c r="AJ249" i="23"/>
  <c r="AG249" i="23"/>
  <c r="L248" i="23"/>
  <c r="V248" i="23"/>
  <c r="AK248" i="23"/>
  <c r="P248" i="23"/>
  <c r="AI248" i="23"/>
  <c r="AJ248" i="23"/>
  <c r="AG248" i="23"/>
  <c r="L247" i="23"/>
  <c r="V247" i="23"/>
  <c r="AK247" i="23"/>
  <c r="P247" i="23"/>
  <c r="AI247" i="23"/>
  <c r="AJ247" i="23"/>
  <c r="AG247" i="23"/>
  <c r="L246" i="23"/>
  <c r="V246" i="23"/>
  <c r="AK246" i="23"/>
  <c r="P246" i="23"/>
  <c r="AI246" i="23"/>
  <c r="AJ246" i="23"/>
  <c r="AG246" i="23"/>
  <c r="L245" i="23"/>
  <c r="V245" i="23"/>
  <c r="AK245" i="23"/>
  <c r="P245" i="23"/>
  <c r="AI245" i="23"/>
  <c r="AJ245" i="23"/>
  <c r="AG245" i="23"/>
  <c r="L244" i="23"/>
  <c r="V244" i="23"/>
  <c r="AK244" i="23"/>
  <c r="P244" i="23"/>
  <c r="AI244" i="23"/>
  <c r="AJ244" i="23"/>
  <c r="AG244" i="23"/>
  <c r="L243" i="23"/>
  <c r="V243" i="23"/>
  <c r="AK243" i="23"/>
  <c r="P243" i="23"/>
  <c r="AI243" i="23"/>
  <c r="AJ243" i="23"/>
  <c r="AG243" i="23"/>
  <c r="L242" i="23"/>
  <c r="V242" i="23"/>
  <c r="AK242" i="23"/>
  <c r="P242" i="23"/>
  <c r="AI242" i="23"/>
  <c r="AJ242" i="23"/>
  <c r="AG242" i="23"/>
  <c r="L241" i="23"/>
  <c r="V241" i="23"/>
  <c r="AK241" i="23"/>
  <c r="P241" i="23"/>
  <c r="AI241" i="23"/>
  <c r="AJ241" i="23"/>
  <c r="AG241" i="23"/>
  <c r="L240" i="23"/>
  <c r="V240" i="23"/>
  <c r="AK240" i="23"/>
  <c r="P240" i="23"/>
  <c r="AI240" i="23"/>
  <c r="AJ240" i="23"/>
  <c r="AG240" i="23"/>
  <c r="L239" i="23"/>
  <c r="V239" i="23"/>
  <c r="AK239" i="23"/>
  <c r="P239" i="23"/>
  <c r="AI239" i="23"/>
  <c r="AJ239" i="23"/>
  <c r="AG239" i="23"/>
  <c r="L238" i="23"/>
  <c r="V238" i="23"/>
  <c r="AK238" i="23"/>
  <c r="P238" i="23"/>
  <c r="AI238" i="23"/>
  <c r="AJ238" i="23"/>
  <c r="AG238" i="23"/>
  <c r="L237" i="23"/>
  <c r="V237" i="23"/>
  <c r="AK237" i="23"/>
  <c r="P237" i="23"/>
  <c r="AI237" i="23"/>
  <c r="AJ237" i="23"/>
  <c r="AG237" i="23"/>
  <c r="L236" i="23"/>
  <c r="V236" i="23"/>
  <c r="AK236" i="23"/>
  <c r="P236" i="23"/>
  <c r="AI236" i="23"/>
  <c r="AJ236" i="23"/>
  <c r="AG236" i="23"/>
  <c r="L235" i="23"/>
  <c r="V235" i="23"/>
  <c r="AK235" i="23"/>
  <c r="P235" i="23"/>
  <c r="AI235" i="23"/>
  <c r="AJ235" i="23"/>
  <c r="AG235" i="23"/>
  <c r="L234" i="23"/>
  <c r="V234" i="23"/>
  <c r="AK234" i="23"/>
  <c r="P234" i="23"/>
  <c r="AI234" i="23"/>
  <c r="AJ234" i="23"/>
  <c r="AG234" i="23"/>
  <c r="L233" i="23"/>
  <c r="V233" i="23"/>
  <c r="AK233" i="23"/>
  <c r="P233" i="23"/>
  <c r="AI233" i="23"/>
  <c r="AJ233" i="23"/>
  <c r="AG233" i="23"/>
  <c r="L232" i="23"/>
  <c r="V232" i="23"/>
  <c r="AK232" i="23"/>
  <c r="P232" i="23"/>
  <c r="AI232" i="23"/>
  <c r="AJ232" i="23"/>
  <c r="AG232" i="23"/>
  <c r="L231" i="23"/>
  <c r="V231" i="23"/>
  <c r="AK231" i="23"/>
  <c r="P231" i="23"/>
  <c r="AI231" i="23"/>
  <c r="AJ231" i="23"/>
  <c r="AG231" i="23"/>
  <c r="L230" i="23"/>
  <c r="V230" i="23"/>
  <c r="AK230" i="23"/>
  <c r="P230" i="23"/>
  <c r="AI230" i="23"/>
  <c r="AJ230" i="23"/>
  <c r="AG230" i="23"/>
  <c r="L229" i="23"/>
  <c r="V229" i="23"/>
  <c r="AK229" i="23"/>
  <c r="P229" i="23"/>
  <c r="AI229" i="23"/>
  <c r="AJ229" i="23"/>
  <c r="AG229" i="23"/>
  <c r="L228" i="23"/>
  <c r="V228" i="23"/>
  <c r="AK228" i="23"/>
  <c r="P228" i="23"/>
  <c r="AI228" i="23"/>
  <c r="AJ228" i="23"/>
  <c r="AG228" i="23"/>
  <c r="L227" i="23"/>
  <c r="V227" i="23"/>
  <c r="AK227" i="23"/>
  <c r="P227" i="23"/>
  <c r="AI227" i="23"/>
  <c r="AJ227" i="23"/>
  <c r="AG227" i="23"/>
  <c r="L226" i="23"/>
  <c r="V226" i="23"/>
  <c r="AK226" i="23"/>
  <c r="P226" i="23"/>
  <c r="AI226" i="23"/>
  <c r="AJ226" i="23"/>
  <c r="AG226" i="23"/>
  <c r="L225" i="23"/>
  <c r="V225" i="23"/>
  <c r="AK225" i="23"/>
  <c r="P225" i="23"/>
  <c r="AI225" i="23"/>
  <c r="AJ225" i="23"/>
  <c r="AG225" i="23"/>
  <c r="L224" i="23"/>
  <c r="V224" i="23"/>
  <c r="AK224" i="23"/>
  <c r="P224" i="23"/>
  <c r="AI224" i="23"/>
  <c r="AJ224" i="23"/>
  <c r="AG224" i="23"/>
  <c r="L223" i="23"/>
  <c r="V223" i="23"/>
  <c r="AK223" i="23"/>
  <c r="P223" i="23"/>
  <c r="AI223" i="23"/>
  <c r="AJ223" i="23"/>
  <c r="AG223" i="23"/>
  <c r="L222" i="23"/>
  <c r="V222" i="23"/>
  <c r="AK222" i="23"/>
  <c r="P222" i="23"/>
  <c r="AI222" i="23"/>
  <c r="AJ222" i="23"/>
  <c r="AG222" i="23"/>
  <c r="L221" i="23"/>
  <c r="V221" i="23"/>
  <c r="AK221" i="23"/>
  <c r="P221" i="23"/>
  <c r="AI221" i="23"/>
  <c r="AJ221" i="23"/>
  <c r="AG221" i="23"/>
  <c r="L220" i="23"/>
  <c r="V220" i="23"/>
  <c r="AK220" i="23"/>
  <c r="P220" i="23"/>
  <c r="AI220" i="23"/>
  <c r="AJ220" i="23"/>
  <c r="AG220" i="23"/>
  <c r="L219" i="23"/>
  <c r="V219" i="23"/>
  <c r="AK219" i="23"/>
  <c r="P219" i="23"/>
  <c r="AI219" i="23"/>
  <c r="AJ219" i="23"/>
  <c r="AG219" i="23"/>
  <c r="L218" i="23"/>
  <c r="V218" i="23"/>
  <c r="AK218" i="23"/>
  <c r="P218" i="23"/>
  <c r="AI218" i="23"/>
  <c r="AJ218" i="23"/>
  <c r="AG218" i="23"/>
  <c r="L217" i="23"/>
  <c r="V217" i="23"/>
  <c r="AK217" i="23"/>
  <c r="P217" i="23"/>
  <c r="AI217" i="23"/>
  <c r="AJ217" i="23"/>
  <c r="AG217" i="23"/>
  <c r="L216" i="23"/>
  <c r="V216" i="23"/>
  <c r="AK216" i="23"/>
  <c r="P216" i="23"/>
  <c r="AI216" i="23"/>
  <c r="AJ216" i="23"/>
  <c r="AG216" i="23"/>
  <c r="L215" i="23"/>
  <c r="V215" i="23"/>
  <c r="AK215" i="23"/>
  <c r="P215" i="23"/>
  <c r="AI215" i="23"/>
  <c r="AJ215" i="23"/>
  <c r="AG215" i="23"/>
  <c r="L214" i="23"/>
  <c r="V214" i="23"/>
  <c r="AK214" i="23"/>
  <c r="P214" i="23"/>
  <c r="AI214" i="23"/>
  <c r="AJ214" i="23"/>
  <c r="AG214" i="23"/>
  <c r="L213" i="23"/>
  <c r="V213" i="23"/>
  <c r="AK213" i="23"/>
  <c r="P213" i="23"/>
  <c r="AI213" i="23"/>
  <c r="AJ213" i="23"/>
  <c r="AG213" i="23"/>
  <c r="L212" i="23"/>
  <c r="V212" i="23"/>
  <c r="AK212" i="23"/>
  <c r="P212" i="23"/>
  <c r="AI212" i="23"/>
  <c r="AJ212" i="23"/>
  <c r="AG212" i="23"/>
  <c r="L211" i="23"/>
  <c r="V211" i="23"/>
  <c r="AK211" i="23"/>
  <c r="P211" i="23"/>
  <c r="AI211" i="23"/>
  <c r="AJ211" i="23"/>
  <c r="AG211" i="23"/>
  <c r="L210" i="23"/>
  <c r="V210" i="23"/>
  <c r="AK210" i="23"/>
  <c r="P210" i="23"/>
  <c r="AI210" i="23"/>
  <c r="AJ210" i="23"/>
  <c r="AG210" i="23"/>
  <c r="L209" i="23"/>
  <c r="V209" i="23"/>
  <c r="AK209" i="23"/>
  <c r="P209" i="23"/>
  <c r="AI209" i="23"/>
  <c r="AJ209" i="23"/>
  <c r="AG209" i="23"/>
  <c r="L208" i="23"/>
  <c r="V208" i="23"/>
  <c r="AK208" i="23"/>
  <c r="P208" i="23"/>
  <c r="AI208" i="23"/>
  <c r="AJ208" i="23"/>
  <c r="AG208" i="23"/>
  <c r="L207" i="23"/>
  <c r="V207" i="23"/>
  <c r="AK207" i="23"/>
  <c r="P207" i="23"/>
  <c r="AI207" i="23"/>
  <c r="AJ207" i="23"/>
  <c r="AG207" i="23"/>
  <c r="L206" i="23"/>
  <c r="V206" i="23"/>
  <c r="AK206" i="23"/>
  <c r="P206" i="23"/>
  <c r="AI206" i="23"/>
  <c r="AJ206" i="23"/>
  <c r="AG206" i="23"/>
  <c r="L205" i="23"/>
  <c r="V205" i="23"/>
  <c r="AK205" i="23"/>
  <c r="P205" i="23"/>
  <c r="AI205" i="23"/>
  <c r="AJ205" i="23"/>
  <c r="AG205" i="23"/>
  <c r="L204" i="23"/>
  <c r="V204" i="23"/>
  <c r="AK204" i="23"/>
  <c r="P204" i="23"/>
  <c r="AI204" i="23"/>
  <c r="AJ204" i="23"/>
  <c r="AG204" i="23"/>
  <c r="L203" i="23"/>
  <c r="V203" i="23"/>
  <c r="AK203" i="23"/>
  <c r="P203" i="23"/>
  <c r="AI203" i="23"/>
  <c r="AJ203" i="23"/>
  <c r="AG203" i="23"/>
  <c r="L202" i="23"/>
  <c r="V202" i="23"/>
  <c r="AK202" i="23"/>
  <c r="P202" i="23"/>
  <c r="AI202" i="23"/>
  <c r="AJ202" i="23"/>
  <c r="AG202" i="23"/>
  <c r="L201" i="23"/>
  <c r="V201" i="23"/>
  <c r="AK201" i="23"/>
  <c r="P201" i="23"/>
  <c r="AI201" i="23"/>
  <c r="AJ201" i="23"/>
  <c r="AG201" i="23"/>
  <c r="L200" i="23"/>
  <c r="V200" i="23"/>
  <c r="AK200" i="23"/>
  <c r="P200" i="23"/>
  <c r="AI200" i="23"/>
  <c r="AJ200" i="23"/>
  <c r="AG200" i="23"/>
  <c r="L199" i="23"/>
  <c r="V199" i="23"/>
  <c r="AK199" i="23"/>
  <c r="P199" i="23"/>
  <c r="AI199" i="23"/>
  <c r="AJ199" i="23"/>
  <c r="AG199" i="23"/>
  <c r="L198" i="23"/>
  <c r="V198" i="23"/>
  <c r="AK198" i="23"/>
  <c r="P198" i="23"/>
  <c r="AI198" i="23"/>
  <c r="AJ198" i="23"/>
  <c r="AG198" i="23"/>
  <c r="L197" i="23"/>
  <c r="V197" i="23"/>
  <c r="AK197" i="23"/>
  <c r="P197" i="23"/>
  <c r="AI197" i="23"/>
  <c r="AJ197" i="23"/>
  <c r="AG197" i="23"/>
  <c r="L196" i="23"/>
  <c r="V196" i="23"/>
  <c r="AK196" i="23"/>
  <c r="P196" i="23"/>
  <c r="AI196" i="23"/>
  <c r="AJ196" i="23"/>
  <c r="AG196" i="23"/>
  <c r="L195" i="23"/>
  <c r="V195" i="23"/>
  <c r="AK195" i="23"/>
  <c r="P195" i="23"/>
  <c r="AI195" i="23"/>
  <c r="AJ195" i="23"/>
  <c r="AG195" i="23"/>
  <c r="L194" i="23"/>
  <c r="V194" i="23"/>
  <c r="AK194" i="23"/>
  <c r="P194" i="23"/>
  <c r="AI194" i="23"/>
  <c r="AJ194" i="23"/>
  <c r="AG194" i="23"/>
  <c r="L193" i="23"/>
  <c r="V193" i="23"/>
  <c r="AK193" i="23"/>
  <c r="P193" i="23"/>
  <c r="AI193" i="23"/>
  <c r="AJ193" i="23"/>
  <c r="AG193" i="23"/>
  <c r="L192" i="23"/>
  <c r="V192" i="23"/>
  <c r="AK192" i="23"/>
  <c r="P192" i="23"/>
  <c r="AI192" i="23"/>
  <c r="AJ192" i="23"/>
  <c r="AG192" i="23"/>
  <c r="L191" i="23"/>
  <c r="V191" i="23"/>
  <c r="AK191" i="23"/>
  <c r="P191" i="23"/>
  <c r="AI191" i="23"/>
  <c r="AJ191" i="23"/>
  <c r="AG191" i="23"/>
  <c r="L190" i="23"/>
  <c r="V190" i="23"/>
  <c r="AK190" i="23"/>
  <c r="P190" i="23"/>
  <c r="AI190" i="23"/>
  <c r="AJ190" i="23"/>
  <c r="AG190" i="23"/>
  <c r="L189" i="23"/>
  <c r="V189" i="23"/>
  <c r="AK189" i="23"/>
  <c r="P189" i="23"/>
  <c r="AI189" i="23"/>
  <c r="AJ189" i="23"/>
  <c r="AG189" i="23"/>
  <c r="L188" i="23"/>
  <c r="V188" i="23"/>
  <c r="AK188" i="23"/>
  <c r="P188" i="23"/>
  <c r="AI188" i="23"/>
  <c r="AJ188" i="23"/>
  <c r="AG188" i="23"/>
  <c r="L187" i="23"/>
  <c r="V187" i="23"/>
  <c r="AK187" i="23"/>
  <c r="P187" i="23"/>
  <c r="AI187" i="23"/>
  <c r="AJ187" i="23"/>
  <c r="AG187" i="23"/>
  <c r="L186" i="23"/>
  <c r="V186" i="23"/>
  <c r="AK186" i="23"/>
  <c r="P186" i="23"/>
  <c r="AI186" i="23"/>
  <c r="AJ186" i="23"/>
  <c r="AG186" i="23"/>
  <c r="L185" i="23"/>
  <c r="V185" i="23"/>
  <c r="AK185" i="23"/>
  <c r="P185" i="23"/>
  <c r="AI185" i="23"/>
  <c r="AJ185" i="23"/>
  <c r="AG185" i="23"/>
  <c r="L184" i="23"/>
  <c r="V184" i="23"/>
  <c r="AK184" i="23"/>
  <c r="P184" i="23"/>
  <c r="AI184" i="23"/>
  <c r="AJ184" i="23"/>
  <c r="AG184" i="23"/>
  <c r="L183" i="23"/>
  <c r="V183" i="23"/>
  <c r="AK183" i="23"/>
  <c r="P183" i="23"/>
  <c r="AI183" i="23"/>
  <c r="AJ183" i="23"/>
  <c r="AG183" i="23"/>
  <c r="L182" i="23"/>
  <c r="V182" i="23"/>
  <c r="AK182" i="23"/>
  <c r="P182" i="23"/>
  <c r="AI182" i="23"/>
  <c r="AJ182" i="23"/>
  <c r="AG182" i="23"/>
  <c r="L181" i="23"/>
  <c r="V181" i="23"/>
  <c r="AK181" i="23"/>
  <c r="P181" i="23"/>
  <c r="AI181" i="23"/>
  <c r="AJ181" i="23"/>
  <c r="AG181" i="23"/>
  <c r="L180" i="23"/>
  <c r="V180" i="23"/>
  <c r="AK180" i="23"/>
  <c r="P180" i="23"/>
  <c r="AI180" i="23"/>
  <c r="AJ180" i="23"/>
  <c r="AG180" i="23"/>
  <c r="L179" i="23"/>
  <c r="V179" i="23"/>
  <c r="AK179" i="23"/>
  <c r="P179" i="23"/>
  <c r="AI179" i="23"/>
  <c r="AJ179" i="23"/>
  <c r="AG179" i="23"/>
  <c r="L178" i="23"/>
  <c r="V178" i="23"/>
  <c r="AK178" i="23"/>
  <c r="P178" i="23"/>
  <c r="AI178" i="23"/>
  <c r="AJ178" i="23"/>
  <c r="AG178" i="23"/>
  <c r="L177" i="23"/>
  <c r="V177" i="23"/>
  <c r="AK177" i="23"/>
  <c r="P177" i="23"/>
  <c r="AI177" i="23"/>
  <c r="AJ177" i="23"/>
  <c r="AG177" i="23"/>
  <c r="L176" i="23"/>
  <c r="V176" i="23"/>
  <c r="AK176" i="23"/>
  <c r="P176" i="23"/>
  <c r="AI176" i="23"/>
  <c r="AJ176" i="23"/>
  <c r="AG176" i="23"/>
  <c r="L175" i="23"/>
  <c r="V175" i="23"/>
  <c r="AK175" i="23"/>
  <c r="P175" i="23"/>
  <c r="AI175" i="23"/>
  <c r="AJ175" i="23"/>
  <c r="AG175" i="23"/>
  <c r="L174" i="23"/>
  <c r="V174" i="23"/>
  <c r="AK174" i="23"/>
  <c r="P174" i="23"/>
  <c r="AI174" i="23"/>
  <c r="AJ174" i="23"/>
  <c r="AG174" i="23"/>
  <c r="L173" i="23"/>
  <c r="V173" i="23"/>
  <c r="AK173" i="23"/>
  <c r="P173" i="23"/>
  <c r="AI173" i="23"/>
  <c r="AJ173" i="23"/>
  <c r="AG173" i="23"/>
  <c r="L172" i="23"/>
  <c r="V172" i="23"/>
  <c r="AK172" i="23"/>
  <c r="P172" i="23"/>
  <c r="AI172" i="23"/>
  <c r="AJ172" i="23"/>
  <c r="AG172" i="23"/>
  <c r="L171" i="23"/>
  <c r="V171" i="23"/>
  <c r="AK171" i="23"/>
  <c r="P171" i="23"/>
  <c r="AI171" i="23"/>
  <c r="AJ171" i="23"/>
  <c r="AG171" i="23"/>
  <c r="L170" i="23"/>
  <c r="V170" i="23"/>
  <c r="AK170" i="23"/>
  <c r="P170" i="23"/>
  <c r="AI170" i="23"/>
  <c r="AJ170" i="23"/>
  <c r="AG170" i="23"/>
  <c r="L169" i="23"/>
  <c r="V169" i="23"/>
  <c r="AK169" i="23"/>
  <c r="P169" i="23"/>
  <c r="AI169" i="23"/>
  <c r="AJ169" i="23"/>
  <c r="AG169" i="23"/>
  <c r="L168" i="23"/>
  <c r="V168" i="23"/>
  <c r="AK168" i="23"/>
  <c r="P168" i="23"/>
  <c r="AI168" i="23"/>
  <c r="AJ168" i="23"/>
  <c r="AG168" i="23"/>
  <c r="L167" i="23"/>
  <c r="V167" i="23"/>
  <c r="AK167" i="23"/>
  <c r="P167" i="23"/>
  <c r="AI167" i="23"/>
  <c r="AJ167" i="23"/>
  <c r="AG167" i="23"/>
  <c r="L166" i="23"/>
  <c r="V166" i="23"/>
  <c r="AK166" i="23"/>
  <c r="P166" i="23"/>
  <c r="AI166" i="23"/>
  <c r="AJ166" i="23"/>
  <c r="AG166" i="23"/>
  <c r="L165" i="23"/>
  <c r="V165" i="23"/>
  <c r="AK165" i="23"/>
  <c r="P165" i="23"/>
  <c r="AI165" i="23"/>
  <c r="AJ165" i="23"/>
  <c r="AG165" i="23"/>
  <c r="L164" i="23"/>
  <c r="V164" i="23"/>
  <c r="AK164" i="23"/>
  <c r="P164" i="23"/>
  <c r="AI164" i="23"/>
  <c r="AJ164" i="23"/>
  <c r="AG164" i="23"/>
  <c r="L163" i="23"/>
  <c r="V163" i="23"/>
  <c r="AK163" i="23"/>
  <c r="P163" i="23"/>
  <c r="AI163" i="23"/>
  <c r="AJ163" i="23"/>
  <c r="AG163" i="23"/>
  <c r="L162" i="23"/>
  <c r="V162" i="23"/>
  <c r="AK162" i="23"/>
  <c r="P162" i="23"/>
  <c r="AI162" i="23"/>
  <c r="AJ162" i="23"/>
  <c r="AG162" i="23"/>
  <c r="L161" i="23"/>
  <c r="V161" i="23"/>
  <c r="AK161" i="23"/>
  <c r="P161" i="23"/>
  <c r="AI161" i="23"/>
  <c r="AJ161" i="23"/>
  <c r="AG161" i="23"/>
  <c r="L160" i="23"/>
  <c r="V160" i="23"/>
  <c r="AK160" i="23"/>
  <c r="P160" i="23"/>
  <c r="AI160" i="23"/>
  <c r="AJ160" i="23"/>
  <c r="AG160" i="23"/>
  <c r="L159" i="23"/>
  <c r="V159" i="23"/>
  <c r="AK159" i="23"/>
  <c r="P159" i="23"/>
  <c r="AI159" i="23"/>
  <c r="AJ159" i="23"/>
  <c r="AG159" i="23"/>
  <c r="L158" i="23"/>
  <c r="V158" i="23"/>
  <c r="AK158" i="23"/>
  <c r="P158" i="23"/>
  <c r="AI158" i="23"/>
  <c r="AJ158" i="23"/>
  <c r="AG158" i="23"/>
  <c r="L157" i="23"/>
  <c r="V157" i="23"/>
  <c r="AK157" i="23"/>
  <c r="P157" i="23"/>
  <c r="AI157" i="23"/>
  <c r="AJ157" i="23"/>
  <c r="AG157" i="23"/>
  <c r="L156" i="23"/>
  <c r="V156" i="23"/>
  <c r="AK156" i="23"/>
  <c r="P156" i="23"/>
  <c r="AI156" i="23"/>
  <c r="AJ156" i="23"/>
  <c r="AG156" i="23"/>
  <c r="L155" i="23"/>
  <c r="V155" i="23"/>
  <c r="AK155" i="23"/>
  <c r="P155" i="23"/>
  <c r="AI155" i="23"/>
  <c r="AJ155" i="23"/>
  <c r="AG155" i="23"/>
  <c r="L154" i="23"/>
  <c r="V154" i="23"/>
  <c r="AK154" i="23"/>
  <c r="P154" i="23"/>
  <c r="AI154" i="23"/>
  <c r="AJ154" i="23"/>
  <c r="AG154" i="23"/>
  <c r="L153" i="23"/>
  <c r="V153" i="23"/>
  <c r="AK153" i="23"/>
  <c r="P153" i="23"/>
  <c r="AI153" i="23"/>
  <c r="AJ153" i="23"/>
  <c r="AG153" i="23"/>
  <c r="L152" i="23"/>
  <c r="V152" i="23"/>
  <c r="AK152" i="23"/>
  <c r="P152" i="23"/>
  <c r="AI152" i="23"/>
  <c r="AJ152" i="23"/>
  <c r="AG152" i="23"/>
  <c r="L151" i="23"/>
  <c r="V151" i="23"/>
  <c r="AK151" i="23"/>
  <c r="P151" i="23"/>
  <c r="AI151" i="23"/>
  <c r="AJ151" i="23"/>
  <c r="AG151" i="23"/>
  <c r="L150" i="23"/>
  <c r="V150" i="23"/>
  <c r="AK150" i="23"/>
  <c r="P150" i="23"/>
  <c r="AI150" i="23"/>
  <c r="AJ150" i="23"/>
  <c r="AG150" i="23"/>
  <c r="L149" i="23"/>
  <c r="V149" i="23"/>
  <c r="AK149" i="23"/>
  <c r="P149" i="23"/>
  <c r="AI149" i="23"/>
  <c r="AJ149" i="23"/>
  <c r="AG149" i="23"/>
  <c r="L148" i="23"/>
  <c r="V148" i="23"/>
  <c r="AK148" i="23"/>
  <c r="P148" i="23"/>
  <c r="AI148" i="23"/>
  <c r="AJ148" i="23"/>
  <c r="AG148" i="23"/>
  <c r="L147" i="23"/>
  <c r="V147" i="23"/>
  <c r="AK147" i="23"/>
  <c r="P147" i="23"/>
  <c r="AI147" i="23"/>
  <c r="AJ147" i="23"/>
  <c r="AG147" i="23"/>
  <c r="L146" i="23"/>
  <c r="V146" i="23"/>
  <c r="AK146" i="23"/>
  <c r="P146" i="23"/>
  <c r="AI146" i="23"/>
  <c r="AJ146" i="23"/>
  <c r="AG146" i="23"/>
  <c r="L145" i="23"/>
  <c r="V145" i="23"/>
  <c r="AK145" i="23"/>
  <c r="P145" i="23"/>
  <c r="AI145" i="23"/>
  <c r="AJ145" i="23"/>
  <c r="AG145" i="23"/>
  <c r="L144" i="23"/>
  <c r="V144" i="23"/>
  <c r="AK144" i="23"/>
  <c r="P144" i="23"/>
  <c r="AI144" i="23"/>
  <c r="AJ144" i="23"/>
  <c r="AG144" i="23"/>
  <c r="L143" i="23"/>
  <c r="V143" i="23"/>
  <c r="AK143" i="23"/>
  <c r="P143" i="23"/>
  <c r="AI143" i="23"/>
  <c r="AJ143" i="23"/>
  <c r="AG143" i="23"/>
  <c r="L142" i="23"/>
  <c r="V142" i="23"/>
  <c r="AK142" i="23"/>
  <c r="P142" i="23"/>
  <c r="AI142" i="23"/>
  <c r="AJ142" i="23"/>
  <c r="AG142" i="23"/>
  <c r="L141" i="23"/>
  <c r="V141" i="23"/>
  <c r="AK141" i="23"/>
  <c r="P141" i="23"/>
  <c r="AI141" i="23"/>
  <c r="AJ141" i="23"/>
  <c r="AG141" i="23"/>
  <c r="L140" i="23"/>
  <c r="V140" i="23"/>
  <c r="AK140" i="23"/>
  <c r="P140" i="23"/>
  <c r="AI140" i="23"/>
  <c r="AJ140" i="23"/>
  <c r="AG140" i="23"/>
  <c r="L139" i="23"/>
  <c r="V139" i="23"/>
  <c r="AK139" i="23"/>
  <c r="P139" i="23"/>
  <c r="AI139" i="23"/>
  <c r="AJ139" i="23"/>
  <c r="AG139" i="23"/>
  <c r="L138" i="23"/>
  <c r="V138" i="23"/>
  <c r="AK138" i="23"/>
  <c r="P138" i="23"/>
  <c r="AI138" i="23"/>
  <c r="AJ138" i="23"/>
  <c r="AG138" i="23"/>
  <c r="L137" i="23"/>
  <c r="V137" i="23"/>
  <c r="AK137" i="23"/>
  <c r="P137" i="23"/>
  <c r="AI137" i="23"/>
  <c r="AJ137" i="23"/>
  <c r="AG137" i="23"/>
  <c r="L136" i="23"/>
  <c r="V136" i="23"/>
  <c r="AK136" i="23"/>
  <c r="P136" i="23"/>
  <c r="AI136" i="23"/>
  <c r="AJ136" i="23"/>
  <c r="AG136" i="23"/>
  <c r="L135" i="23"/>
  <c r="V135" i="23"/>
  <c r="AK135" i="23"/>
  <c r="P135" i="23"/>
  <c r="AI135" i="23"/>
  <c r="AJ135" i="23"/>
  <c r="AG135" i="23"/>
  <c r="L134" i="23"/>
  <c r="V134" i="23"/>
  <c r="AK134" i="23"/>
  <c r="P134" i="23"/>
  <c r="AI134" i="23"/>
  <c r="AJ134" i="23"/>
  <c r="AG134" i="23"/>
  <c r="L133" i="23"/>
  <c r="V133" i="23"/>
  <c r="AK133" i="23"/>
  <c r="P133" i="23"/>
  <c r="AI133" i="23"/>
  <c r="AJ133" i="23"/>
  <c r="AG133" i="23"/>
  <c r="L132" i="23"/>
  <c r="V132" i="23"/>
  <c r="AK132" i="23"/>
  <c r="P132" i="23"/>
  <c r="AI132" i="23"/>
  <c r="AJ132" i="23"/>
  <c r="AG132" i="23"/>
  <c r="L131" i="23"/>
  <c r="V131" i="23"/>
  <c r="AK131" i="23"/>
  <c r="P131" i="23"/>
  <c r="AI131" i="23"/>
  <c r="AJ131" i="23"/>
  <c r="AG131" i="23"/>
  <c r="L130" i="23"/>
  <c r="V130" i="23"/>
  <c r="AK130" i="23"/>
  <c r="P130" i="23"/>
  <c r="AI130" i="23"/>
  <c r="AJ130" i="23"/>
  <c r="AG130" i="23"/>
  <c r="L129" i="23"/>
  <c r="V129" i="23"/>
  <c r="AK129" i="23"/>
  <c r="P129" i="23"/>
  <c r="AI129" i="23"/>
  <c r="AJ129" i="23"/>
  <c r="AG129" i="23"/>
  <c r="L128" i="23"/>
  <c r="V128" i="23"/>
  <c r="AK128" i="23"/>
  <c r="P128" i="23"/>
  <c r="AI128" i="23"/>
  <c r="AJ128" i="23"/>
  <c r="AG128" i="23"/>
  <c r="L127" i="23"/>
  <c r="V127" i="23"/>
  <c r="AK127" i="23"/>
  <c r="P127" i="23"/>
  <c r="AI127" i="23"/>
  <c r="AJ127" i="23"/>
  <c r="AG127" i="23"/>
  <c r="L126" i="23"/>
  <c r="V126" i="23"/>
  <c r="AK126" i="23"/>
  <c r="P126" i="23"/>
  <c r="AI126" i="23"/>
  <c r="AJ126" i="23"/>
  <c r="AG126" i="23"/>
  <c r="L125" i="23"/>
  <c r="V125" i="23"/>
  <c r="AK125" i="23"/>
  <c r="P125" i="23"/>
  <c r="AI125" i="23"/>
  <c r="AJ125" i="23"/>
  <c r="AG125" i="23"/>
  <c r="L124" i="23"/>
  <c r="V124" i="23"/>
  <c r="AK124" i="23"/>
  <c r="P124" i="23"/>
  <c r="AI124" i="23"/>
  <c r="AJ124" i="23"/>
  <c r="AG124" i="23"/>
  <c r="L123" i="23"/>
  <c r="V123" i="23"/>
  <c r="AK123" i="23"/>
  <c r="P123" i="23"/>
  <c r="AI123" i="23"/>
  <c r="AJ123" i="23"/>
  <c r="AG123" i="23"/>
  <c r="L122" i="23"/>
  <c r="V122" i="23"/>
  <c r="AK122" i="23"/>
  <c r="P122" i="23"/>
  <c r="AI122" i="23"/>
  <c r="AJ122" i="23"/>
  <c r="AG122" i="23"/>
  <c r="L121" i="23"/>
  <c r="V121" i="23"/>
  <c r="AK121" i="23"/>
  <c r="P121" i="23"/>
  <c r="AI121" i="23"/>
  <c r="AJ121" i="23"/>
  <c r="AG121" i="23"/>
  <c r="L120" i="23"/>
  <c r="V120" i="23"/>
  <c r="AK120" i="23"/>
  <c r="P120" i="23"/>
  <c r="AI120" i="23"/>
  <c r="AJ120" i="23"/>
  <c r="AG120" i="23"/>
  <c r="L119" i="23"/>
  <c r="V119" i="23"/>
  <c r="AK119" i="23"/>
  <c r="P119" i="23"/>
  <c r="AI119" i="23"/>
  <c r="AJ119" i="23"/>
  <c r="AG119" i="23"/>
  <c r="L118" i="23"/>
  <c r="V118" i="23"/>
  <c r="AK118" i="23"/>
  <c r="P118" i="23"/>
  <c r="AI118" i="23"/>
  <c r="AJ118" i="23"/>
  <c r="AG118" i="23"/>
  <c r="L117" i="23"/>
  <c r="V117" i="23"/>
  <c r="AK117" i="23"/>
  <c r="P117" i="23"/>
  <c r="AI117" i="23"/>
  <c r="AJ117" i="23"/>
  <c r="AG117" i="23"/>
  <c r="L116" i="23"/>
  <c r="V116" i="23"/>
  <c r="AK116" i="23"/>
  <c r="P116" i="23"/>
  <c r="AI116" i="23"/>
  <c r="AJ116" i="23"/>
  <c r="AG116" i="23"/>
  <c r="L115" i="23"/>
  <c r="V115" i="23"/>
  <c r="AK115" i="23"/>
  <c r="P115" i="23"/>
  <c r="AI115" i="23"/>
  <c r="AJ115" i="23"/>
  <c r="AG115" i="23"/>
  <c r="L114" i="23"/>
  <c r="V114" i="23"/>
  <c r="AK114" i="23"/>
  <c r="P114" i="23"/>
  <c r="AI114" i="23"/>
  <c r="AJ114" i="23"/>
  <c r="AG114" i="23"/>
  <c r="L113" i="23"/>
  <c r="V113" i="23"/>
  <c r="AK113" i="23"/>
  <c r="P113" i="23"/>
  <c r="AI113" i="23"/>
  <c r="AJ113" i="23"/>
  <c r="AG113" i="23"/>
  <c r="L112" i="23"/>
  <c r="V112" i="23"/>
  <c r="AK112" i="23"/>
  <c r="P112" i="23"/>
  <c r="AI112" i="23"/>
  <c r="AJ112" i="23"/>
  <c r="AG112" i="23"/>
  <c r="L111" i="23"/>
  <c r="V111" i="23"/>
  <c r="AK111" i="23"/>
  <c r="P111" i="23"/>
  <c r="AI111" i="23"/>
  <c r="AJ111" i="23"/>
  <c r="AG111" i="23"/>
  <c r="L110" i="23"/>
  <c r="V110" i="23"/>
  <c r="AK110" i="23"/>
  <c r="P110" i="23"/>
  <c r="AI110" i="23"/>
  <c r="AJ110" i="23"/>
  <c r="AG110" i="23"/>
  <c r="L109" i="23"/>
  <c r="V109" i="23"/>
  <c r="AK109" i="23"/>
  <c r="P109" i="23"/>
  <c r="AI109" i="23"/>
  <c r="AJ109" i="23"/>
  <c r="AG109" i="23"/>
  <c r="L108" i="23"/>
  <c r="V108" i="23"/>
  <c r="AK108" i="23"/>
  <c r="P108" i="23"/>
  <c r="AI108" i="23"/>
  <c r="AJ108" i="23"/>
  <c r="AG108" i="23"/>
  <c r="L107" i="23"/>
  <c r="V107" i="23"/>
  <c r="AK107" i="23"/>
  <c r="P107" i="23"/>
  <c r="AI107" i="23"/>
  <c r="AJ107" i="23"/>
  <c r="AG107" i="23"/>
  <c r="L106" i="23"/>
  <c r="V106" i="23"/>
  <c r="AK106" i="23"/>
  <c r="P106" i="23"/>
  <c r="AI106" i="23"/>
  <c r="AJ106" i="23"/>
  <c r="AG106" i="23"/>
  <c r="L105" i="23"/>
  <c r="V105" i="23"/>
  <c r="AK105" i="23"/>
  <c r="P105" i="23"/>
  <c r="AI105" i="23"/>
  <c r="AJ105" i="23"/>
  <c r="AG105" i="23"/>
  <c r="L104" i="23"/>
  <c r="V104" i="23"/>
  <c r="AK104" i="23"/>
  <c r="P104" i="23"/>
  <c r="AI104" i="23"/>
  <c r="AJ104" i="23"/>
  <c r="AG104" i="23"/>
  <c r="L103" i="23"/>
  <c r="V103" i="23"/>
  <c r="AK103" i="23"/>
  <c r="P103" i="23"/>
  <c r="AI103" i="23"/>
  <c r="AJ103" i="23"/>
  <c r="AG103" i="23"/>
  <c r="L102" i="23"/>
  <c r="V102" i="23"/>
  <c r="AK102" i="23"/>
  <c r="P102" i="23"/>
  <c r="AI102" i="23"/>
  <c r="AJ102" i="23"/>
  <c r="AG102" i="23"/>
  <c r="L101" i="23"/>
  <c r="V101" i="23"/>
  <c r="AK101" i="23"/>
  <c r="AJ101" i="23"/>
  <c r="AG101" i="23"/>
  <c r="L100" i="23"/>
  <c r="V100" i="23"/>
  <c r="AK100" i="23"/>
  <c r="AJ100" i="23"/>
  <c r="AG100" i="23"/>
  <c r="L99" i="23"/>
  <c r="V99" i="23"/>
  <c r="AK99" i="23"/>
  <c r="AJ99" i="23"/>
  <c r="AG99" i="23"/>
  <c r="L98" i="23"/>
  <c r="V98" i="23"/>
  <c r="AK98" i="23"/>
  <c r="AJ98" i="23"/>
  <c r="AG98" i="23"/>
  <c r="L97" i="23"/>
  <c r="V97" i="23"/>
  <c r="AK97" i="23"/>
  <c r="AJ97" i="23"/>
  <c r="AG97" i="23"/>
  <c r="L96" i="23"/>
  <c r="V96" i="23"/>
  <c r="AK96" i="23"/>
  <c r="AJ96" i="23"/>
  <c r="AG96" i="23"/>
  <c r="L95" i="23"/>
  <c r="V95" i="23"/>
  <c r="AK95" i="23"/>
  <c r="AJ95" i="23"/>
  <c r="AG95" i="23"/>
  <c r="L94" i="23"/>
  <c r="V94" i="23"/>
  <c r="AK94" i="23"/>
  <c r="AJ94" i="23"/>
  <c r="AG94" i="23"/>
  <c r="L93" i="23"/>
  <c r="V93" i="23"/>
  <c r="AK93" i="23"/>
  <c r="AJ93" i="23"/>
  <c r="AG93" i="23"/>
  <c r="L92" i="23"/>
  <c r="V92" i="23"/>
  <c r="AK92" i="23"/>
  <c r="AJ92" i="23"/>
  <c r="AG92" i="23"/>
  <c r="L91" i="23"/>
  <c r="V91" i="23"/>
  <c r="AK91" i="23"/>
  <c r="AJ91" i="23"/>
  <c r="AG91" i="23"/>
  <c r="L90" i="23"/>
  <c r="V90" i="23"/>
  <c r="AK90" i="23"/>
  <c r="AJ90" i="23"/>
  <c r="AG90" i="23"/>
  <c r="L89" i="23"/>
  <c r="V89" i="23"/>
  <c r="AK89" i="23"/>
  <c r="AJ89" i="23"/>
  <c r="AG89" i="23"/>
  <c r="L88" i="23"/>
  <c r="V88" i="23"/>
  <c r="AK88" i="23"/>
  <c r="AJ88" i="23"/>
  <c r="AG88" i="23"/>
  <c r="L87" i="23"/>
  <c r="V87" i="23"/>
  <c r="AK87" i="23"/>
  <c r="AJ87" i="23"/>
  <c r="AG87" i="23"/>
  <c r="L86" i="23"/>
  <c r="V86" i="23"/>
  <c r="AK86" i="23"/>
  <c r="AJ86" i="23"/>
  <c r="AG86" i="23"/>
  <c r="L85" i="23"/>
  <c r="V85" i="23"/>
  <c r="AK85" i="23"/>
  <c r="AJ85" i="23"/>
  <c r="AG85" i="23"/>
  <c r="L84" i="23"/>
  <c r="V84" i="23"/>
  <c r="AK84" i="23"/>
  <c r="AJ84" i="23"/>
  <c r="AG84" i="23"/>
  <c r="L83" i="23"/>
  <c r="V83" i="23"/>
  <c r="AK83" i="23"/>
  <c r="AJ83" i="23"/>
  <c r="AG83" i="23"/>
  <c r="L82" i="23"/>
  <c r="V82" i="23"/>
  <c r="AK82" i="23"/>
  <c r="AJ82" i="23"/>
  <c r="AG82" i="23"/>
  <c r="L81" i="23"/>
  <c r="V81" i="23"/>
  <c r="AK81" i="23"/>
  <c r="AJ81" i="23"/>
  <c r="AG81" i="23"/>
  <c r="L80" i="23"/>
  <c r="V80" i="23"/>
  <c r="AK80" i="23"/>
  <c r="AJ80" i="23"/>
  <c r="AG80" i="23"/>
  <c r="L79" i="23"/>
  <c r="V79" i="23"/>
  <c r="AK79" i="23"/>
  <c r="AJ79" i="23"/>
  <c r="AG79" i="23"/>
  <c r="L78" i="23"/>
  <c r="V78" i="23"/>
  <c r="AK78" i="23"/>
  <c r="AJ78" i="23"/>
  <c r="AG78" i="23"/>
  <c r="L77" i="23"/>
  <c r="V77" i="23"/>
  <c r="AK77" i="23"/>
  <c r="AJ77" i="23"/>
  <c r="AG77" i="23"/>
  <c r="L76" i="23"/>
  <c r="V76" i="23"/>
  <c r="AK76" i="23"/>
  <c r="AJ76" i="23"/>
  <c r="AG76" i="23"/>
  <c r="L75" i="23"/>
  <c r="V75" i="23"/>
  <c r="AK75" i="23"/>
  <c r="AJ75" i="23"/>
  <c r="AG75" i="23"/>
  <c r="L74" i="23"/>
  <c r="V74" i="23"/>
  <c r="AK74" i="23"/>
  <c r="AJ74" i="23"/>
  <c r="AG74" i="23"/>
  <c r="L73" i="23"/>
  <c r="V73" i="23"/>
  <c r="AK73" i="23"/>
  <c r="AJ73" i="23"/>
  <c r="AG73" i="23"/>
  <c r="L72" i="23"/>
  <c r="V72" i="23"/>
  <c r="AK72" i="23"/>
  <c r="AJ72" i="23"/>
  <c r="AG72" i="23"/>
  <c r="L71" i="23"/>
  <c r="V71" i="23"/>
  <c r="AK71" i="23"/>
  <c r="AJ71" i="23"/>
  <c r="AG71" i="23"/>
  <c r="L70" i="23"/>
  <c r="V70" i="23"/>
  <c r="AK70" i="23"/>
  <c r="AJ70" i="23"/>
  <c r="AG70" i="23"/>
  <c r="L69" i="23"/>
  <c r="V69" i="23"/>
  <c r="AK69" i="23"/>
  <c r="AJ69" i="23"/>
  <c r="AG69" i="23"/>
  <c r="L68" i="23"/>
  <c r="V68" i="23"/>
  <c r="AK68" i="23"/>
  <c r="AJ68" i="23"/>
  <c r="AG68" i="23"/>
  <c r="L67" i="23"/>
  <c r="V67" i="23"/>
  <c r="AK67" i="23"/>
  <c r="AJ67" i="23"/>
  <c r="AG67" i="23"/>
  <c r="L66" i="23"/>
  <c r="V66" i="23"/>
  <c r="AK66" i="23"/>
  <c r="AJ66" i="23"/>
  <c r="AG66" i="23"/>
  <c r="L65" i="23"/>
  <c r="V65" i="23"/>
  <c r="AK65" i="23"/>
  <c r="AJ65" i="23"/>
  <c r="AG65" i="23"/>
  <c r="L64" i="23"/>
  <c r="V64" i="23"/>
  <c r="AK64" i="23"/>
  <c r="AJ64" i="23"/>
  <c r="AG64" i="23"/>
  <c r="L63" i="23"/>
  <c r="V63" i="23"/>
  <c r="AK63" i="23"/>
  <c r="AJ63" i="23"/>
  <c r="AG63" i="23"/>
  <c r="L62" i="23"/>
  <c r="V62" i="23"/>
  <c r="AK62" i="23"/>
  <c r="AJ62" i="23"/>
  <c r="AG62" i="23"/>
  <c r="L61" i="23"/>
  <c r="V61" i="23"/>
  <c r="AK61" i="23"/>
  <c r="AJ61" i="23"/>
  <c r="AG61" i="23"/>
  <c r="L60" i="23"/>
  <c r="V60" i="23"/>
  <c r="AK60" i="23"/>
  <c r="AJ60" i="23"/>
  <c r="AG60" i="23"/>
  <c r="L59" i="23"/>
  <c r="V59" i="23"/>
  <c r="AK59" i="23"/>
  <c r="AJ59" i="23"/>
  <c r="AG59" i="23"/>
  <c r="L58" i="23"/>
  <c r="V58" i="23"/>
  <c r="AK58" i="23"/>
  <c r="AJ58" i="23"/>
  <c r="AG58" i="23"/>
  <c r="L57" i="23"/>
  <c r="V57" i="23"/>
  <c r="AK57" i="23"/>
  <c r="AJ57" i="23"/>
  <c r="AG57" i="23"/>
  <c r="L56" i="23"/>
  <c r="V56" i="23"/>
  <c r="AK56" i="23"/>
  <c r="AJ56" i="23"/>
  <c r="AG56" i="23"/>
  <c r="L55" i="23"/>
  <c r="V55" i="23"/>
  <c r="AK55" i="23"/>
  <c r="AJ55" i="23"/>
  <c r="AG55" i="23"/>
  <c r="L54" i="23"/>
  <c r="V54" i="23"/>
  <c r="AK54" i="23"/>
  <c r="AJ54" i="23"/>
  <c r="AG54" i="23"/>
  <c r="L53" i="23"/>
  <c r="V53" i="23"/>
  <c r="AK53" i="23"/>
  <c r="AJ53" i="23"/>
  <c r="AG53" i="23"/>
  <c r="L52" i="23"/>
  <c r="V52" i="23"/>
  <c r="AK52" i="23"/>
  <c r="AJ52" i="23"/>
  <c r="AG52" i="23"/>
  <c r="L51" i="23"/>
  <c r="V51" i="23"/>
  <c r="AK51" i="23"/>
  <c r="AJ51" i="23"/>
  <c r="AG51" i="23"/>
  <c r="L50" i="23"/>
  <c r="V50" i="23"/>
  <c r="AK50" i="23"/>
  <c r="AJ50" i="23"/>
  <c r="AG50" i="23"/>
  <c r="L49" i="23"/>
  <c r="V49" i="23"/>
  <c r="AK49" i="23"/>
  <c r="AJ49" i="23"/>
  <c r="AG49" i="23"/>
  <c r="L48" i="23"/>
  <c r="V48" i="23"/>
  <c r="AK48" i="23"/>
  <c r="AJ48" i="23"/>
  <c r="AG48" i="23"/>
  <c r="L47" i="23"/>
  <c r="V47" i="23"/>
  <c r="AK47" i="23"/>
  <c r="AJ47" i="23"/>
  <c r="AG47" i="23"/>
  <c r="L46" i="23"/>
  <c r="V46" i="23"/>
  <c r="AK46" i="23"/>
  <c r="AJ46" i="23"/>
  <c r="AG46" i="23"/>
  <c r="L45" i="23"/>
  <c r="V45" i="23"/>
  <c r="AK45" i="23"/>
  <c r="AJ45" i="23"/>
  <c r="AG45" i="23"/>
  <c r="L44" i="23"/>
  <c r="V44" i="23"/>
  <c r="AK44" i="23"/>
  <c r="AJ44" i="23"/>
  <c r="AG44" i="23"/>
  <c r="L43" i="23"/>
  <c r="V43" i="23"/>
  <c r="AK43" i="23"/>
  <c r="AJ43" i="23"/>
  <c r="AG43" i="23"/>
  <c r="L42" i="23"/>
  <c r="V42" i="23"/>
  <c r="AK42" i="23"/>
  <c r="AJ42" i="23"/>
  <c r="AG42" i="23"/>
  <c r="L41" i="23"/>
  <c r="V41" i="23"/>
  <c r="AK41" i="23"/>
  <c r="AJ41" i="23"/>
  <c r="AG41" i="23"/>
  <c r="L40" i="23"/>
  <c r="V40" i="23"/>
  <c r="AK40" i="23"/>
  <c r="AJ40" i="23"/>
  <c r="AG40" i="23"/>
  <c r="L39" i="23"/>
  <c r="V39" i="23"/>
  <c r="AK39" i="23"/>
  <c r="AJ39" i="23"/>
  <c r="AG39" i="23"/>
  <c r="L38" i="23"/>
  <c r="V38" i="23"/>
  <c r="AK38" i="23"/>
  <c r="AJ38" i="23"/>
  <c r="AG38" i="23"/>
  <c r="L37" i="23"/>
  <c r="V37" i="23"/>
  <c r="AK37" i="23"/>
  <c r="AJ37" i="23"/>
  <c r="AG37" i="23"/>
  <c r="L36" i="23"/>
  <c r="V36" i="23"/>
  <c r="AK36" i="23"/>
  <c r="AJ36" i="23"/>
  <c r="AG36" i="23"/>
  <c r="L35" i="23"/>
  <c r="V35" i="23"/>
  <c r="AK35" i="23"/>
  <c r="AJ35" i="23"/>
  <c r="AG35" i="23"/>
  <c r="L34" i="23"/>
  <c r="V34" i="23"/>
  <c r="AK34" i="23"/>
  <c r="AJ34" i="23"/>
  <c r="AG34" i="23"/>
  <c r="L33" i="23"/>
  <c r="V33" i="23"/>
  <c r="AK33" i="23"/>
  <c r="AJ33" i="23"/>
  <c r="AG33" i="23"/>
  <c r="L32" i="23"/>
  <c r="V32" i="23"/>
  <c r="AK32" i="23"/>
  <c r="AJ32" i="23"/>
  <c r="AG32" i="23"/>
  <c r="L31" i="23"/>
  <c r="V31" i="23"/>
  <c r="AK31" i="23"/>
  <c r="AJ31" i="23"/>
  <c r="AG31" i="23"/>
  <c r="L30" i="23"/>
  <c r="V30" i="23"/>
  <c r="AK30" i="23"/>
  <c r="AJ30" i="23"/>
  <c r="AG30" i="23"/>
  <c r="L29" i="23"/>
  <c r="V29" i="23"/>
  <c r="AK29" i="23"/>
  <c r="AJ29" i="23"/>
  <c r="AG29" i="23"/>
  <c r="L28" i="23"/>
  <c r="V28" i="23"/>
  <c r="AK28" i="23"/>
  <c r="AJ28" i="23"/>
  <c r="AG28" i="23"/>
  <c r="L27" i="23"/>
  <c r="V27" i="23"/>
  <c r="AK27" i="23"/>
  <c r="AJ27" i="23"/>
  <c r="AG27" i="23"/>
  <c r="L26" i="23"/>
  <c r="V26" i="23"/>
  <c r="AK26" i="23"/>
  <c r="AJ26" i="23"/>
  <c r="AG26" i="23"/>
  <c r="L25" i="23"/>
  <c r="V25" i="23"/>
  <c r="AK25" i="23"/>
  <c r="AJ25" i="23"/>
  <c r="AG25" i="23"/>
  <c r="L24" i="23"/>
  <c r="V24" i="23"/>
  <c r="AK24" i="23"/>
  <c r="AJ24" i="23"/>
  <c r="AG24" i="23"/>
  <c r="L23" i="23"/>
  <c r="V23" i="23"/>
  <c r="AK23" i="23"/>
  <c r="AJ23" i="23"/>
  <c r="AG23" i="23"/>
  <c r="L22" i="23"/>
  <c r="V22" i="23"/>
  <c r="AK22" i="23"/>
  <c r="AJ22" i="23"/>
  <c r="AG22" i="23"/>
  <c r="L21" i="23"/>
  <c r="V21" i="23"/>
  <c r="AK21" i="23"/>
  <c r="AJ21" i="23"/>
  <c r="AG21" i="23"/>
  <c r="L20" i="23"/>
  <c r="V20" i="23"/>
  <c r="AK20" i="23"/>
  <c r="AJ20" i="23"/>
  <c r="AG20" i="23"/>
  <c r="L19" i="23"/>
  <c r="V19" i="23"/>
  <c r="AK19" i="23"/>
  <c r="AJ19" i="23"/>
  <c r="AG19" i="23"/>
  <c r="L18" i="23"/>
  <c r="V18" i="23"/>
  <c r="AK18" i="23"/>
  <c r="AJ18" i="23"/>
  <c r="AG18" i="23"/>
  <c r="L17" i="23"/>
  <c r="V17" i="23"/>
  <c r="AK17" i="23"/>
  <c r="AJ17" i="23"/>
  <c r="AG17" i="23"/>
  <c r="L16" i="23"/>
  <c r="V16" i="23"/>
  <c r="AK16" i="23"/>
  <c r="AJ16" i="23"/>
  <c r="AG16" i="23"/>
  <c r="L15" i="23"/>
  <c r="V15" i="23"/>
  <c r="AK15" i="23"/>
  <c r="AJ15" i="23"/>
  <c r="AG15" i="23"/>
  <c r="L14" i="23"/>
  <c r="V14" i="23"/>
  <c r="AK14" i="23"/>
  <c r="AJ14" i="23"/>
  <c r="AG14" i="23"/>
  <c r="L13" i="23"/>
  <c r="V13" i="23"/>
  <c r="AK13" i="23"/>
  <c r="AJ13" i="23"/>
  <c r="AG13" i="23"/>
  <c r="L12" i="23"/>
  <c r="V12" i="23"/>
  <c r="AK12" i="23"/>
  <c r="AJ12" i="23"/>
  <c r="AG12" i="23"/>
  <c r="L11" i="23"/>
  <c r="V11" i="23"/>
  <c r="AK11" i="23"/>
  <c r="AJ11" i="23"/>
  <c r="AG11" i="23"/>
  <c r="L10" i="23"/>
  <c r="V10" i="23"/>
  <c r="AK10" i="23"/>
  <c r="AJ10" i="23"/>
  <c r="AG10" i="23"/>
  <c r="L9" i="23"/>
  <c r="V9" i="23"/>
  <c r="AK9" i="23"/>
  <c r="AJ9" i="23"/>
  <c r="AG9" i="23"/>
  <c r="L8" i="23"/>
  <c r="V8" i="23"/>
  <c r="AK8" i="23"/>
  <c r="AJ8" i="23"/>
  <c r="AG8" i="23"/>
  <c r="L7" i="23"/>
  <c r="V7" i="23"/>
  <c r="AK7" i="23"/>
  <c r="AJ7" i="23"/>
  <c r="AG7" i="23"/>
  <c r="L6" i="23"/>
  <c r="V6" i="23"/>
  <c r="AK6" i="23"/>
  <c r="AJ6" i="23"/>
  <c r="AG6" i="23"/>
  <c r="AK293" i="22"/>
  <c r="AJ293" i="22"/>
  <c r="AI293" i="22"/>
  <c r="AG293" i="22"/>
  <c r="V293" i="22"/>
  <c r="P293" i="22"/>
  <c r="L293" i="22"/>
  <c r="AK292" i="22"/>
  <c r="AJ292" i="22"/>
  <c r="AI292" i="22"/>
  <c r="AG292" i="22"/>
  <c r="V292" i="22"/>
  <c r="P292" i="22"/>
  <c r="L292" i="22"/>
  <c r="AK291" i="22"/>
  <c r="AJ291" i="22"/>
  <c r="AI291" i="22"/>
  <c r="AG291" i="22"/>
  <c r="V291" i="22"/>
  <c r="P291" i="22"/>
  <c r="L291" i="22"/>
  <c r="AK290" i="22"/>
  <c r="AJ290" i="22"/>
  <c r="AI290" i="22"/>
  <c r="AG290" i="22"/>
  <c r="V290" i="22"/>
  <c r="P290" i="22"/>
  <c r="L290" i="22"/>
  <c r="AK289" i="22"/>
  <c r="AJ289" i="22"/>
  <c r="AI289" i="22"/>
  <c r="AG289" i="22"/>
  <c r="V289" i="22"/>
  <c r="P289" i="22"/>
  <c r="L289" i="22"/>
  <c r="AK288" i="22"/>
  <c r="AJ288" i="22"/>
  <c r="AI288" i="22"/>
  <c r="AG288" i="22"/>
  <c r="V288" i="22"/>
  <c r="P288" i="22"/>
  <c r="L288" i="22"/>
  <c r="AK287" i="22"/>
  <c r="AJ287" i="22"/>
  <c r="AI287" i="22"/>
  <c r="AG287" i="22"/>
  <c r="V287" i="22"/>
  <c r="P287" i="22"/>
  <c r="L287" i="22"/>
  <c r="AK286" i="22"/>
  <c r="AJ286" i="22"/>
  <c r="AI286" i="22"/>
  <c r="AG286" i="22"/>
  <c r="V286" i="22"/>
  <c r="P286" i="22"/>
  <c r="L286" i="22"/>
  <c r="AK285" i="22"/>
  <c r="AJ285" i="22"/>
  <c r="AI285" i="22"/>
  <c r="AG285" i="22"/>
  <c r="V285" i="22"/>
  <c r="P285" i="22"/>
  <c r="L285" i="22"/>
  <c r="AK284" i="22"/>
  <c r="AJ284" i="22"/>
  <c r="AI284" i="22"/>
  <c r="AG284" i="22"/>
  <c r="V284" i="22"/>
  <c r="P284" i="22"/>
  <c r="L284" i="22"/>
  <c r="AK283" i="22"/>
  <c r="AJ283" i="22"/>
  <c r="AI283" i="22"/>
  <c r="AG283" i="22"/>
  <c r="V283" i="22"/>
  <c r="P283" i="22"/>
  <c r="L283" i="22"/>
  <c r="AK282" i="22"/>
  <c r="AJ282" i="22"/>
  <c r="AI282" i="22"/>
  <c r="AG282" i="22"/>
  <c r="V282" i="22"/>
  <c r="P282" i="22"/>
  <c r="L282" i="22"/>
  <c r="AK281" i="22"/>
  <c r="AJ281" i="22"/>
  <c r="AI281" i="22"/>
  <c r="AG281" i="22"/>
  <c r="V281" i="22"/>
  <c r="P281" i="22"/>
  <c r="L281" i="22"/>
  <c r="AK280" i="22"/>
  <c r="AJ280" i="22"/>
  <c r="AI280" i="22"/>
  <c r="AG280" i="22"/>
  <c r="V280" i="22"/>
  <c r="P280" i="22"/>
  <c r="L280" i="22"/>
  <c r="AK279" i="22"/>
  <c r="AJ279" i="22"/>
  <c r="AI279" i="22"/>
  <c r="AG279" i="22"/>
  <c r="V279" i="22"/>
  <c r="P279" i="22"/>
  <c r="L279" i="22"/>
  <c r="AK278" i="22"/>
  <c r="AJ278" i="22"/>
  <c r="AI278" i="22"/>
  <c r="AG278" i="22"/>
  <c r="V278" i="22"/>
  <c r="P278" i="22"/>
  <c r="L278" i="22"/>
  <c r="AK277" i="22"/>
  <c r="AJ277" i="22"/>
  <c r="AI277" i="22"/>
  <c r="AG277" i="22"/>
  <c r="V277" i="22"/>
  <c r="P277" i="22"/>
  <c r="L277" i="22"/>
  <c r="AK276" i="22"/>
  <c r="AJ276" i="22"/>
  <c r="AI276" i="22"/>
  <c r="AG276" i="22"/>
  <c r="V276" i="22"/>
  <c r="P276" i="22"/>
  <c r="L276" i="22"/>
  <c r="AK275" i="22"/>
  <c r="AJ275" i="22"/>
  <c r="AI275" i="22"/>
  <c r="AG275" i="22"/>
  <c r="V275" i="22"/>
  <c r="P275" i="22"/>
  <c r="L275" i="22"/>
  <c r="AK274" i="22"/>
  <c r="AJ274" i="22"/>
  <c r="AI274" i="22"/>
  <c r="AG274" i="22"/>
  <c r="V274" i="22"/>
  <c r="P274" i="22"/>
  <c r="L274" i="22"/>
  <c r="AK273" i="22"/>
  <c r="AJ273" i="22"/>
  <c r="AI273" i="22"/>
  <c r="AG273" i="22"/>
  <c r="V273" i="22"/>
  <c r="P273" i="22"/>
  <c r="L273" i="22"/>
  <c r="AK272" i="22"/>
  <c r="AJ272" i="22"/>
  <c r="AI272" i="22"/>
  <c r="AG272" i="22"/>
  <c r="V272" i="22"/>
  <c r="P272" i="22"/>
  <c r="L272" i="22"/>
  <c r="AK271" i="22"/>
  <c r="AJ271" i="22"/>
  <c r="AI271" i="22"/>
  <c r="AG271" i="22"/>
  <c r="V271" i="22"/>
  <c r="P271" i="22"/>
  <c r="L271" i="22"/>
  <c r="AK270" i="22"/>
  <c r="AJ270" i="22"/>
  <c r="AI270" i="22"/>
  <c r="AG270" i="22"/>
  <c r="V270" i="22"/>
  <c r="P270" i="22"/>
  <c r="L270" i="22"/>
  <c r="AK269" i="22"/>
  <c r="AJ269" i="22"/>
  <c r="AI269" i="22"/>
  <c r="AG269" i="22"/>
  <c r="V269" i="22"/>
  <c r="P269" i="22"/>
  <c r="L269" i="22"/>
  <c r="AK268" i="22"/>
  <c r="AJ268" i="22"/>
  <c r="AI268" i="22"/>
  <c r="AG268" i="22"/>
  <c r="V268" i="22"/>
  <c r="P268" i="22"/>
  <c r="L268" i="22"/>
  <c r="AK267" i="22"/>
  <c r="AJ267" i="22"/>
  <c r="AI267" i="22"/>
  <c r="AG267" i="22"/>
  <c r="V267" i="22"/>
  <c r="P267" i="22"/>
  <c r="L267" i="22"/>
  <c r="AK266" i="22"/>
  <c r="AJ266" i="22"/>
  <c r="AI266" i="22"/>
  <c r="AG266" i="22"/>
  <c r="V266" i="22"/>
  <c r="P266" i="22"/>
  <c r="L266" i="22"/>
  <c r="AK265" i="22"/>
  <c r="AJ265" i="22"/>
  <c r="AI265" i="22"/>
  <c r="AG265" i="22"/>
  <c r="V265" i="22"/>
  <c r="P265" i="22"/>
  <c r="L265" i="22"/>
  <c r="AK264" i="22"/>
  <c r="AJ264" i="22"/>
  <c r="AI264" i="22"/>
  <c r="AG264" i="22"/>
  <c r="V264" i="22"/>
  <c r="P264" i="22"/>
  <c r="L264" i="22"/>
  <c r="AK263" i="22"/>
  <c r="AJ263" i="22"/>
  <c r="AI263" i="22"/>
  <c r="AG263" i="22"/>
  <c r="V263" i="22"/>
  <c r="P263" i="22"/>
  <c r="L263" i="22"/>
  <c r="AK262" i="22"/>
  <c r="AJ262" i="22"/>
  <c r="AI262" i="22"/>
  <c r="AG262" i="22"/>
  <c r="V262" i="22"/>
  <c r="P262" i="22"/>
  <c r="L262" i="22"/>
  <c r="AK261" i="22"/>
  <c r="AJ261" i="22"/>
  <c r="AI261" i="22"/>
  <c r="AG261" i="22"/>
  <c r="V261" i="22"/>
  <c r="P261" i="22"/>
  <c r="L261" i="22"/>
  <c r="AK260" i="22"/>
  <c r="AJ260" i="22"/>
  <c r="AI260" i="22"/>
  <c r="AG260" i="22"/>
  <c r="V260" i="22"/>
  <c r="P260" i="22"/>
  <c r="L260" i="22"/>
  <c r="AK259" i="22"/>
  <c r="AJ259" i="22"/>
  <c r="AI259" i="22"/>
  <c r="AG259" i="22"/>
  <c r="V259" i="22"/>
  <c r="P259" i="22"/>
  <c r="L259" i="22"/>
  <c r="AK258" i="22"/>
  <c r="AJ258" i="22"/>
  <c r="AI258" i="22"/>
  <c r="AG258" i="22"/>
  <c r="V258" i="22"/>
  <c r="P258" i="22"/>
  <c r="L258" i="22"/>
  <c r="AK257" i="22"/>
  <c r="AJ257" i="22"/>
  <c r="AI257" i="22"/>
  <c r="AG257" i="22"/>
  <c r="V257" i="22"/>
  <c r="P257" i="22"/>
  <c r="L257" i="22"/>
  <c r="AK256" i="22"/>
  <c r="AJ256" i="22"/>
  <c r="AI256" i="22"/>
  <c r="AG256" i="22"/>
  <c r="V256" i="22"/>
  <c r="P256" i="22"/>
  <c r="L256" i="22"/>
  <c r="AK255" i="22"/>
  <c r="AJ255" i="22"/>
  <c r="AI255" i="22"/>
  <c r="AG255" i="22"/>
  <c r="V255" i="22"/>
  <c r="P255" i="22"/>
  <c r="L255" i="22"/>
  <c r="AK254" i="22"/>
  <c r="AJ254" i="22"/>
  <c r="AI254" i="22"/>
  <c r="AG254" i="22"/>
  <c r="V254" i="22"/>
  <c r="P254" i="22"/>
  <c r="L254" i="22"/>
  <c r="AK253" i="22"/>
  <c r="AJ253" i="22"/>
  <c r="AI253" i="22"/>
  <c r="AG253" i="22"/>
  <c r="V253" i="22"/>
  <c r="P253" i="22"/>
  <c r="L253" i="22"/>
  <c r="AK252" i="22"/>
  <c r="AJ252" i="22"/>
  <c r="AI252" i="22"/>
  <c r="AG252" i="22"/>
  <c r="V252" i="22"/>
  <c r="P252" i="22"/>
  <c r="L252" i="22"/>
  <c r="AK251" i="22"/>
  <c r="AJ251" i="22"/>
  <c r="AI251" i="22"/>
  <c r="AG251" i="22"/>
  <c r="V251" i="22"/>
  <c r="P251" i="22"/>
  <c r="L251" i="22"/>
  <c r="AK250" i="22"/>
  <c r="AJ250" i="22"/>
  <c r="AI250" i="22"/>
  <c r="AG250" i="22"/>
  <c r="V250" i="22"/>
  <c r="P250" i="22"/>
  <c r="L250" i="22"/>
  <c r="AK249" i="22"/>
  <c r="AJ249" i="22"/>
  <c r="AI249" i="22"/>
  <c r="AG249" i="22"/>
  <c r="V249" i="22"/>
  <c r="P249" i="22"/>
  <c r="L249" i="22"/>
  <c r="AK248" i="22"/>
  <c r="AJ248" i="22"/>
  <c r="AI248" i="22"/>
  <c r="AG248" i="22"/>
  <c r="V248" i="22"/>
  <c r="P248" i="22"/>
  <c r="L248" i="22"/>
  <c r="AK247" i="22"/>
  <c r="AJ247" i="22"/>
  <c r="AI247" i="22"/>
  <c r="AG247" i="22"/>
  <c r="V247" i="22"/>
  <c r="P247" i="22"/>
  <c r="L247" i="22"/>
  <c r="AK246" i="22"/>
  <c r="AJ246" i="22"/>
  <c r="AI246" i="22"/>
  <c r="AG246" i="22"/>
  <c r="V246" i="22"/>
  <c r="P246" i="22"/>
  <c r="L246" i="22"/>
  <c r="AK245" i="22"/>
  <c r="AJ245" i="22"/>
  <c r="AI245" i="22"/>
  <c r="AG245" i="22"/>
  <c r="V245" i="22"/>
  <c r="P245" i="22"/>
  <c r="L245" i="22"/>
  <c r="AK244" i="22"/>
  <c r="AJ244" i="22"/>
  <c r="AI244" i="22"/>
  <c r="AG244" i="22"/>
  <c r="V244" i="22"/>
  <c r="P244" i="22"/>
  <c r="L244" i="22"/>
  <c r="AK243" i="22"/>
  <c r="AJ243" i="22"/>
  <c r="AI243" i="22"/>
  <c r="AG243" i="22"/>
  <c r="V243" i="22"/>
  <c r="P243" i="22"/>
  <c r="L243" i="22"/>
  <c r="AK242" i="22"/>
  <c r="AJ242" i="22"/>
  <c r="AI242" i="22"/>
  <c r="AG242" i="22"/>
  <c r="V242" i="22"/>
  <c r="P242" i="22"/>
  <c r="L242" i="22"/>
  <c r="AK241" i="22"/>
  <c r="AJ241" i="22"/>
  <c r="AI241" i="22"/>
  <c r="AG241" i="22"/>
  <c r="V241" i="22"/>
  <c r="P241" i="22"/>
  <c r="L241" i="22"/>
  <c r="AK240" i="22"/>
  <c r="AJ240" i="22"/>
  <c r="AI240" i="22"/>
  <c r="AG240" i="22"/>
  <c r="V240" i="22"/>
  <c r="P240" i="22"/>
  <c r="L240" i="22"/>
  <c r="AK239" i="22"/>
  <c r="AJ239" i="22"/>
  <c r="AI239" i="22"/>
  <c r="AG239" i="22"/>
  <c r="V239" i="22"/>
  <c r="P239" i="22"/>
  <c r="L239" i="22"/>
  <c r="AK238" i="22"/>
  <c r="AJ238" i="22"/>
  <c r="AI238" i="22"/>
  <c r="AG238" i="22"/>
  <c r="V238" i="22"/>
  <c r="P238" i="22"/>
  <c r="L238" i="22"/>
  <c r="AK237" i="22"/>
  <c r="AJ237" i="22"/>
  <c r="AI237" i="22"/>
  <c r="AG237" i="22"/>
  <c r="V237" i="22"/>
  <c r="P237" i="22"/>
  <c r="L237" i="22"/>
  <c r="AK236" i="22"/>
  <c r="AJ236" i="22"/>
  <c r="AI236" i="22"/>
  <c r="AG236" i="22"/>
  <c r="V236" i="22"/>
  <c r="P236" i="22"/>
  <c r="L236" i="22"/>
  <c r="AK235" i="22"/>
  <c r="AJ235" i="22"/>
  <c r="AI235" i="22"/>
  <c r="AG235" i="22"/>
  <c r="V235" i="22"/>
  <c r="P235" i="22"/>
  <c r="L235" i="22"/>
  <c r="AK234" i="22"/>
  <c r="AJ234" i="22"/>
  <c r="AI234" i="22"/>
  <c r="AG234" i="22"/>
  <c r="V234" i="22"/>
  <c r="P234" i="22"/>
  <c r="L234" i="22"/>
  <c r="AK233" i="22"/>
  <c r="AJ233" i="22"/>
  <c r="AI233" i="22"/>
  <c r="AG233" i="22"/>
  <c r="V233" i="22"/>
  <c r="P233" i="22"/>
  <c r="L233" i="22"/>
  <c r="AK232" i="22"/>
  <c r="AJ232" i="22"/>
  <c r="AI232" i="22"/>
  <c r="AG232" i="22"/>
  <c r="V232" i="22"/>
  <c r="P232" i="22"/>
  <c r="L232" i="22"/>
  <c r="AK231" i="22"/>
  <c r="AJ231" i="22"/>
  <c r="AI231" i="22"/>
  <c r="AG231" i="22"/>
  <c r="V231" i="22"/>
  <c r="P231" i="22"/>
  <c r="L231" i="22"/>
  <c r="AK230" i="22"/>
  <c r="AJ230" i="22"/>
  <c r="AI230" i="22"/>
  <c r="AG230" i="22"/>
  <c r="V230" i="22"/>
  <c r="P230" i="22"/>
  <c r="L230" i="22"/>
  <c r="AK229" i="22"/>
  <c r="AJ229" i="22"/>
  <c r="AI229" i="22"/>
  <c r="AG229" i="22"/>
  <c r="V229" i="22"/>
  <c r="P229" i="22"/>
  <c r="L229" i="22"/>
  <c r="AK228" i="22"/>
  <c r="AJ228" i="22"/>
  <c r="AI228" i="22"/>
  <c r="AG228" i="22"/>
  <c r="V228" i="22"/>
  <c r="P228" i="22"/>
  <c r="L228" i="22"/>
  <c r="AK227" i="22"/>
  <c r="AJ227" i="22"/>
  <c r="AI227" i="22"/>
  <c r="AG227" i="22"/>
  <c r="V227" i="22"/>
  <c r="P227" i="22"/>
  <c r="L227" i="22"/>
  <c r="AK226" i="22"/>
  <c r="AJ226" i="22"/>
  <c r="AI226" i="22"/>
  <c r="AG226" i="22"/>
  <c r="V226" i="22"/>
  <c r="P226" i="22"/>
  <c r="L226" i="22"/>
  <c r="AK225" i="22"/>
  <c r="AJ225" i="22"/>
  <c r="AI225" i="22"/>
  <c r="AG225" i="22"/>
  <c r="V225" i="22"/>
  <c r="P225" i="22"/>
  <c r="L225" i="22"/>
  <c r="AK224" i="22"/>
  <c r="AJ224" i="22"/>
  <c r="AI224" i="22"/>
  <c r="AG224" i="22"/>
  <c r="V224" i="22"/>
  <c r="P224" i="22"/>
  <c r="L224" i="22"/>
  <c r="AK223" i="22"/>
  <c r="AJ223" i="22"/>
  <c r="AI223" i="22"/>
  <c r="AG223" i="22"/>
  <c r="V223" i="22"/>
  <c r="P223" i="22"/>
  <c r="L223" i="22"/>
  <c r="AK222" i="22"/>
  <c r="AJ222" i="22"/>
  <c r="AI222" i="22"/>
  <c r="AG222" i="22"/>
  <c r="V222" i="22"/>
  <c r="P222" i="22"/>
  <c r="L222" i="22"/>
  <c r="AK221" i="22"/>
  <c r="AJ221" i="22"/>
  <c r="AI221" i="22"/>
  <c r="AG221" i="22"/>
  <c r="V221" i="22"/>
  <c r="P221" i="22"/>
  <c r="L221" i="22"/>
  <c r="AK220" i="22"/>
  <c r="AJ220" i="22"/>
  <c r="AI220" i="22"/>
  <c r="AG220" i="22"/>
  <c r="V220" i="22"/>
  <c r="P220" i="22"/>
  <c r="L220" i="22"/>
  <c r="AK219" i="22"/>
  <c r="AJ219" i="22"/>
  <c r="AI219" i="22"/>
  <c r="AG219" i="22"/>
  <c r="V219" i="22"/>
  <c r="P219" i="22"/>
  <c r="L219" i="22"/>
  <c r="AK218" i="22"/>
  <c r="AJ218" i="22"/>
  <c r="AI218" i="22"/>
  <c r="AG218" i="22"/>
  <c r="V218" i="22"/>
  <c r="P218" i="22"/>
  <c r="L218" i="22"/>
  <c r="AK217" i="22"/>
  <c r="AJ217" i="22"/>
  <c r="AI217" i="22"/>
  <c r="AG217" i="22"/>
  <c r="V217" i="22"/>
  <c r="P217" i="22"/>
  <c r="L217" i="22"/>
  <c r="AK216" i="22"/>
  <c r="AJ216" i="22"/>
  <c r="AI216" i="22"/>
  <c r="AG216" i="22"/>
  <c r="V216" i="22"/>
  <c r="P216" i="22"/>
  <c r="L216" i="22"/>
  <c r="AK215" i="22"/>
  <c r="AJ215" i="22"/>
  <c r="AI215" i="22"/>
  <c r="AG215" i="22"/>
  <c r="V215" i="22"/>
  <c r="P215" i="22"/>
  <c r="L215" i="22"/>
  <c r="AK214" i="22"/>
  <c r="AJ214" i="22"/>
  <c r="AI214" i="22"/>
  <c r="AG214" i="22"/>
  <c r="V214" i="22"/>
  <c r="P214" i="22"/>
  <c r="L214" i="22"/>
  <c r="AK213" i="22"/>
  <c r="AJ213" i="22"/>
  <c r="AI213" i="22"/>
  <c r="AG213" i="22"/>
  <c r="V213" i="22"/>
  <c r="P213" i="22"/>
  <c r="L213" i="22"/>
  <c r="AK212" i="22"/>
  <c r="AJ212" i="22"/>
  <c r="AI212" i="22"/>
  <c r="AG212" i="22"/>
  <c r="V212" i="22"/>
  <c r="P212" i="22"/>
  <c r="L212" i="22"/>
  <c r="AK211" i="22"/>
  <c r="AJ211" i="22"/>
  <c r="AI211" i="22"/>
  <c r="AG211" i="22"/>
  <c r="V211" i="22"/>
  <c r="P211" i="22"/>
  <c r="L211" i="22"/>
  <c r="AK210" i="22"/>
  <c r="AJ210" i="22"/>
  <c r="AI210" i="22"/>
  <c r="AG210" i="22"/>
  <c r="V210" i="22"/>
  <c r="P210" i="22"/>
  <c r="L210" i="22"/>
  <c r="AK209" i="22"/>
  <c r="AJ209" i="22"/>
  <c r="AI209" i="22"/>
  <c r="AG209" i="22"/>
  <c r="V209" i="22"/>
  <c r="P209" i="22"/>
  <c r="L209" i="22"/>
  <c r="AK208" i="22"/>
  <c r="AJ208" i="22"/>
  <c r="AI208" i="22"/>
  <c r="AG208" i="22"/>
  <c r="V208" i="22"/>
  <c r="P208" i="22"/>
  <c r="L208" i="22"/>
  <c r="AK207" i="22"/>
  <c r="AJ207" i="22"/>
  <c r="AI207" i="22"/>
  <c r="AG207" i="22"/>
  <c r="V207" i="22"/>
  <c r="P207" i="22"/>
  <c r="L207" i="22"/>
  <c r="AK206" i="22"/>
  <c r="AJ206" i="22"/>
  <c r="AI206" i="22"/>
  <c r="AG206" i="22"/>
  <c r="V206" i="22"/>
  <c r="P206" i="22"/>
  <c r="L206" i="22"/>
  <c r="AK205" i="22"/>
  <c r="AJ205" i="22"/>
  <c r="AI205" i="22"/>
  <c r="AG205" i="22"/>
  <c r="V205" i="22"/>
  <c r="P205" i="22"/>
  <c r="L205" i="22"/>
  <c r="AK204" i="22"/>
  <c r="AJ204" i="22"/>
  <c r="AI204" i="22"/>
  <c r="AG204" i="22"/>
  <c r="V204" i="22"/>
  <c r="P204" i="22"/>
  <c r="L204" i="22"/>
  <c r="AK203" i="22"/>
  <c r="AJ203" i="22"/>
  <c r="AI203" i="22"/>
  <c r="AG203" i="22"/>
  <c r="V203" i="22"/>
  <c r="P203" i="22"/>
  <c r="L203" i="22"/>
  <c r="AK202" i="22"/>
  <c r="AJ202" i="22"/>
  <c r="AI202" i="22"/>
  <c r="AG202" i="22"/>
  <c r="V202" i="22"/>
  <c r="P202" i="22"/>
  <c r="L202" i="22"/>
  <c r="AK201" i="22"/>
  <c r="AJ201" i="22"/>
  <c r="AI201" i="22"/>
  <c r="AG201" i="22"/>
  <c r="V201" i="22"/>
  <c r="P201" i="22"/>
  <c r="L201" i="22"/>
  <c r="AK200" i="22"/>
  <c r="AJ200" i="22"/>
  <c r="AI200" i="22"/>
  <c r="AG200" i="22"/>
  <c r="V200" i="22"/>
  <c r="P200" i="22"/>
  <c r="L200" i="22"/>
  <c r="AK199" i="22"/>
  <c r="AJ199" i="22"/>
  <c r="AI199" i="22"/>
  <c r="AG199" i="22"/>
  <c r="V199" i="22"/>
  <c r="P199" i="22"/>
  <c r="L199" i="22"/>
  <c r="AK198" i="22"/>
  <c r="AJ198" i="22"/>
  <c r="AI198" i="22"/>
  <c r="AG198" i="22"/>
  <c r="V198" i="22"/>
  <c r="P198" i="22"/>
  <c r="L198" i="22"/>
  <c r="AK197" i="22"/>
  <c r="AJ197" i="22"/>
  <c r="AI197" i="22"/>
  <c r="AG197" i="22"/>
  <c r="V197" i="22"/>
  <c r="P197" i="22"/>
  <c r="L197" i="22"/>
  <c r="AK196" i="22"/>
  <c r="AJ196" i="22"/>
  <c r="AI196" i="22"/>
  <c r="AG196" i="22"/>
  <c r="V196" i="22"/>
  <c r="P196" i="22"/>
  <c r="L196" i="22"/>
  <c r="AK195" i="22"/>
  <c r="AJ195" i="22"/>
  <c r="AI195" i="22"/>
  <c r="AG195" i="22"/>
  <c r="V195" i="22"/>
  <c r="P195" i="22"/>
  <c r="L195" i="22"/>
  <c r="AK194" i="22"/>
  <c r="AJ194" i="22"/>
  <c r="AI194" i="22"/>
  <c r="AG194" i="22"/>
  <c r="V194" i="22"/>
  <c r="P194" i="22"/>
  <c r="L194" i="22"/>
  <c r="AK193" i="22"/>
  <c r="AJ193" i="22"/>
  <c r="AI193" i="22"/>
  <c r="AG193" i="22"/>
  <c r="V193" i="22"/>
  <c r="P193" i="22"/>
  <c r="L193" i="22"/>
  <c r="AK192" i="22"/>
  <c r="AJ192" i="22"/>
  <c r="AI192" i="22"/>
  <c r="AG192" i="22"/>
  <c r="V192" i="22"/>
  <c r="P192" i="22"/>
  <c r="L192" i="22"/>
  <c r="AK191" i="22"/>
  <c r="AJ191" i="22"/>
  <c r="AI191" i="22"/>
  <c r="AG191" i="22"/>
  <c r="V191" i="22"/>
  <c r="P191" i="22"/>
  <c r="L191" i="22"/>
  <c r="AK190" i="22"/>
  <c r="AJ190" i="22"/>
  <c r="AI190" i="22"/>
  <c r="AG190" i="22"/>
  <c r="V190" i="22"/>
  <c r="P190" i="22"/>
  <c r="L190" i="22"/>
  <c r="AK189" i="22"/>
  <c r="AJ189" i="22"/>
  <c r="AI189" i="22"/>
  <c r="AG189" i="22"/>
  <c r="V189" i="22"/>
  <c r="P189" i="22"/>
  <c r="L189" i="22"/>
  <c r="AK188" i="22"/>
  <c r="AJ188" i="22"/>
  <c r="AI188" i="22"/>
  <c r="AG188" i="22"/>
  <c r="V188" i="22"/>
  <c r="P188" i="22"/>
  <c r="L188" i="22"/>
  <c r="AK187" i="22"/>
  <c r="AJ187" i="22"/>
  <c r="AI187" i="22"/>
  <c r="AG187" i="22"/>
  <c r="V187" i="22"/>
  <c r="P187" i="22"/>
  <c r="L187" i="22"/>
  <c r="AK186" i="22"/>
  <c r="AJ186" i="22"/>
  <c r="AI186" i="22"/>
  <c r="AG186" i="22"/>
  <c r="V186" i="22"/>
  <c r="P186" i="22"/>
  <c r="L186" i="22"/>
  <c r="AK185" i="22"/>
  <c r="AJ185" i="22"/>
  <c r="AI185" i="22"/>
  <c r="AG185" i="22"/>
  <c r="V185" i="22"/>
  <c r="P185" i="22"/>
  <c r="L185" i="22"/>
  <c r="AK184" i="22"/>
  <c r="AJ184" i="22"/>
  <c r="AI184" i="22"/>
  <c r="AG184" i="22"/>
  <c r="V184" i="22"/>
  <c r="P184" i="22"/>
  <c r="L184" i="22"/>
  <c r="AK183" i="22"/>
  <c r="AJ183" i="22"/>
  <c r="AI183" i="22"/>
  <c r="AG183" i="22"/>
  <c r="V183" i="22"/>
  <c r="P183" i="22"/>
  <c r="L183" i="22"/>
  <c r="AK182" i="22"/>
  <c r="AJ182" i="22"/>
  <c r="AI182" i="22"/>
  <c r="AG182" i="22"/>
  <c r="V182" i="22"/>
  <c r="P182" i="22"/>
  <c r="L182" i="22"/>
  <c r="AK181" i="22"/>
  <c r="AJ181" i="22"/>
  <c r="AI181" i="22"/>
  <c r="AG181" i="22"/>
  <c r="V181" i="22"/>
  <c r="P181" i="22"/>
  <c r="L181" i="22"/>
  <c r="AK180" i="22"/>
  <c r="AJ180" i="22"/>
  <c r="AI180" i="22"/>
  <c r="AG180" i="22"/>
  <c r="V180" i="22"/>
  <c r="P180" i="22"/>
  <c r="L180" i="22"/>
  <c r="AK179" i="22"/>
  <c r="AJ179" i="22"/>
  <c r="AI179" i="22"/>
  <c r="AG179" i="22"/>
  <c r="V179" i="22"/>
  <c r="P179" i="22"/>
  <c r="L179" i="22"/>
  <c r="AK178" i="22"/>
  <c r="AJ178" i="22"/>
  <c r="AI178" i="22"/>
  <c r="AG178" i="22"/>
  <c r="V178" i="22"/>
  <c r="P178" i="22"/>
  <c r="L178" i="22"/>
  <c r="AK177" i="22"/>
  <c r="AJ177" i="22"/>
  <c r="AI177" i="22"/>
  <c r="AG177" i="22"/>
  <c r="V177" i="22"/>
  <c r="P177" i="22"/>
  <c r="L177" i="22"/>
  <c r="AK176" i="22"/>
  <c r="AJ176" i="22"/>
  <c r="AI176" i="22"/>
  <c r="AG176" i="22"/>
  <c r="V176" i="22"/>
  <c r="P176" i="22"/>
  <c r="L176" i="22"/>
  <c r="AK175" i="22"/>
  <c r="AJ175" i="22"/>
  <c r="AI175" i="22"/>
  <c r="AG175" i="22"/>
  <c r="V175" i="22"/>
  <c r="P175" i="22"/>
  <c r="L175" i="22"/>
  <c r="AK174" i="22"/>
  <c r="AJ174" i="22"/>
  <c r="AI174" i="22"/>
  <c r="AG174" i="22"/>
  <c r="V174" i="22"/>
  <c r="P174" i="22"/>
  <c r="L174" i="22"/>
  <c r="AK173" i="22"/>
  <c r="AJ173" i="22"/>
  <c r="AI173" i="22"/>
  <c r="AG173" i="22"/>
  <c r="V173" i="22"/>
  <c r="P173" i="22"/>
  <c r="L173" i="22"/>
  <c r="AK172" i="22"/>
  <c r="AJ172" i="22"/>
  <c r="AI172" i="22"/>
  <c r="AG172" i="22"/>
  <c r="V172" i="22"/>
  <c r="P172" i="22"/>
  <c r="L172" i="22"/>
  <c r="AK171" i="22"/>
  <c r="AJ171" i="22"/>
  <c r="AI171" i="22"/>
  <c r="AG171" i="22"/>
  <c r="V171" i="22"/>
  <c r="P171" i="22"/>
  <c r="L171" i="22"/>
  <c r="AK170" i="22"/>
  <c r="AJ170" i="22"/>
  <c r="AI170" i="22"/>
  <c r="AG170" i="22"/>
  <c r="V170" i="22"/>
  <c r="P170" i="22"/>
  <c r="L170" i="22"/>
  <c r="AK169" i="22"/>
  <c r="AJ169" i="22"/>
  <c r="AI169" i="22"/>
  <c r="AG169" i="22"/>
  <c r="V169" i="22"/>
  <c r="P169" i="22"/>
  <c r="L169" i="22"/>
  <c r="AK168" i="22"/>
  <c r="AJ168" i="22"/>
  <c r="AI168" i="22"/>
  <c r="AG168" i="22"/>
  <c r="V168" i="22"/>
  <c r="P168" i="22"/>
  <c r="L168" i="22"/>
  <c r="AK167" i="22"/>
  <c r="AJ167" i="22"/>
  <c r="AI167" i="22"/>
  <c r="AG167" i="22"/>
  <c r="V167" i="22"/>
  <c r="P167" i="22"/>
  <c r="L167" i="22"/>
  <c r="AK166" i="22"/>
  <c r="AJ166" i="22"/>
  <c r="AI166" i="22"/>
  <c r="AG166" i="22"/>
  <c r="V166" i="22"/>
  <c r="P166" i="22"/>
  <c r="L166" i="22"/>
  <c r="AK165" i="22"/>
  <c r="AJ165" i="22"/>
  <c r="AI165" i="22"/>
  <c r="AG165" i="22"/>
  <c r="V165" i="22"/>
  <c r="P165" i="22"/>
  <c r="L165" i="22"/>
  <c r="AK164" i="22"/>
  <c r="AJ164" i="22"/>
  <c r="AI164" i="22"/>
  <c r="AG164" i="22"/>
  <c r="V164" i="22"/>
  <c r="P164" i="22"/>
  <c r="L164" i="22"/>
  <c r="AK163" i="22"/>
  <c r="AJ163" i="22"/>
  <c r="AI163" i="22"/>
  <c r="AG163" i="22"/>
  <c r="V163" i="22"/>
  <c r="P163" i="22"/>
  <c r="L163" i="22"/>
  <c r="AK162" i="22"/>
  <c r="AJ162" i="22"/>
  <c r="AI162" i="22"/>
  <c r="AG162" i="22"/>
  <c r="V162" i="22"/>
  <c r="P162" i="22"/>
  <c r="L162" i="22"/>
  <c r="AK161" i="22"/>
  <c r="AJ161" i="22"/>
  <c r="AI161" i="22"/>
  <c r="AG161" i="22"/>
  <c r="V161" i="22"/>
  <c r="P161" i="22"/>
  <c r="L161" i="22"/>
  <c r="AK160" i="22"/>
  <c r="AJ160" i="22"/>
  <c r="AI160" i="22"/>
  <c r="AG160" i="22"/>
  <c r="V160" i="22"/>
  <c r="P160" i="22"/>
  <c r="L160" i="22"/>
  <c r="AK159" i="22"/>
  <c r="AJ159" i="22"/>
  <c r="AI159" i="22"/>
  <c r="AG159" i="22"/>
  <c r="V159" i="22"/>
  <c r="P159" i="22"/>
  <c r="L159" i="22"/>
  <c r="AK158" i="22"/>
  <c r="AJ158" i="22"/>
  <c r="AI158" i="22"/>
  <c r="AG158" i="22"/>
  <c r="V158" i="22"/>
  <c r="P158" i="22"/>
  <c r="L158" i="22"/>
  <c r="AK157" i="22"/>
  <c r="AJ157" i="22"/>
  <c r="AI157" i="22"/>
  <c r="AG157" i="22"/>
  <c r="V157" i="22"/>
  <c r="P157" i="22"/>
  <c r="L157" i="22"/>
  <c r="AK156" i="22"/>
  <c r="AJ156" i="22"/>
  <c r="AI156" i="22"/>
  <c r="AG156" i="22"/>
  <c r="V156" i="22"/>
  <c r="P156" i="22"/>
  <c r="L156" i="22"/>
  <c r="AK155" i="22"/>
  <c r="AJ155" i="22"/>
  <c r="AI155" i="22"/>
  <c r="AG155" i="22"/>
  <c r="V155" i="22"/>
  <c r="P155" i="22"/>
  <c r="L155" i="22"/>
  <c r="AK154" i="22"/>
  <c r="AJ154" i="22"/>
  <c r="AI154" i="22"/>
  <c r="AG154" i="22"/>
  <c r="V154" i="22"/>
  <c r="P154" i="22"/>
  <c r="L154" i="22"/>
  <c r="AK153" i="22"/>
  <c r="AJ153" i="22"/>
  <c r="AI153" i="22"/>
  <c r="AG153" i="22"/>
  <c r="V153" i="22"/>
  <c r="P153" i="22"/>
  <c r="L153" i="22"/>
  <c r="AK152" i="22"/>
  <c r="AJ152" i="22"/>
  <c r="AI152" i="22"/>
  <c r="AG152" i="22"/>
  <c r="V152" i="22"/>
  <c r="P152" i="22"/>
  <c r="L152" i="22"/>
  <c r="AK151" i="22"/>
  <c r="AJ151" i="22"/>
  <c r="AI151" i="22"/>
  <c r="AG151" i="22"/>
  <c r="V151" i="22"/>
  <c r="P151" i="22"/>
  <c r="L151" i="22"/>
  <c r="AK150" i="22"/>
  <c r="AJ150" i="22"/>
  <c r="AI150" i="22"/>
  <c r="AG150" i="22"/>
  <c r="V150" i="22"/>
  <c r="P150" i="22"/>
  <c r="L150" i="22"/>
  <c r="AK149" i="22"/>
  <c r="AJ149" i="22"/>
  <c r="AI149" i="22"/>
  <c r="AG149" i="22"/>
  <c r="V149" i="22"/>
  <c r="P149" i="22"/>
  <c r="L149" i="22"/>
  <c r="AK148" i="22"/>
  <c r="AJ148" i="22"/>
  <c r="AI148" i="22"/>
  <c r="AG148" i="22"/>
  <c r="V148" i="22"/>
  <c r="P148" i="22"/>
  <c r="L148" i="22"/>
  <c r="AK147" i="22"/>
  <c r="AJ147" i="22"/>
  <c r="AI147" i="22"/>
  <c r="AG147" i="22"/>
  <c r="V147" i="22"/>
  <c r="P147" i="22"/>
  <c r="L147" i="22"/>
  <c r="AK146" i="22"/>
  <c r="AJ146" i="22"/>
  <c r="AI146" i="22"/>
  <c r="AG146" i="22"/>
  <c r="V146" i="22"/>
  <c r="P146" i="22"/>
  <c r="L146" i="22"/>
  <c r="AK145" i="22"/>
  <c r="AJ145" i="22"/>
  <c r="AI145" i="22"/>
  <c r="AG145" i="22"/>
  <c r="V145" i="22"/>
  <c r="P145" i="22"/>
  <c r="L145" i="22"/>
  <c r="AK144" i="22"/>
  <c r="AJ144" i="22"/>
  <c r="AI144" i="22"/>
  <c r="AG144" i="22"/>
  <c r="V144" i="22"/>
  <c r="P144" i="22"/>
  <c r="L144" i="22"/>
  <c r="AK143" i="22"/>
  <c r="AJ143" i="22"/>
  <c r="AI143" i="22"/>
  <c r="AG143" i="22"/>
  <c r="V143" i="22"/>
  <c r="P143" i="22"/>
  <c r="L143" i="22"/>
  <c r="AK142" i="22"/>
  <c r="AJ142" i="22"/>
  <c r="AI142" i="22"/>
  <c r="AG142" i="22"/>
  <c r="V142" i="22"/>
  <c r="P142" i="22"/>
  <c r="L142" i="22"/>
  <c r="AK141" i="22"/>
  <c r="AJ141" i="22"/>
  <c r="AI141" i="22"/>
  <c r="AG141" i="22"/>
  <c r="V141" i="22"/>
  <c r="P141" i="22"/>
  <c r="L141" i="22"/>
  <c r="AK140" i="22"/>
  <c r="AJ140" i="22"/>
  <c r="AI140" i="22"/>
  <c r="AG140" i="22"/>
  <c r="V140" i="22"/>
  <c r="P140" i="22"/>
  <c r="L140" i="22"/>
  <c r="AK139" i="22"/>
  <c r="AJ139" i="22"/>
  <c r="AI139" i="22"/>
  <c r="AG139" i="22"/>
  <c r="V139" i="22"/>
  <c r="P139" i="22"/>
  <c r="L139" i="22"/>
  <c r="AK138" i="22"/>
  <c r="AJ138" i="22"/>
  <c r="AI138" i="22"/>
  <c r="AG138" i="22"/>
  <c r="V138" i="22"/>
  <c r="P138" i="22"/>
  <c r="L138" i="22"/>
  <c r="AK137" i="22"/>
  <c r="AJ137" i="22"/>
  <c r="AI137" i="22"/>
  <c r="AG137" i="22"/>
  <c r="V137" i="22"/>
  <c r="P137" i="22"/>
  <c r="L137" i="22"/>
  <c r="AK136" i="22"/>
  <c r="AJ136" i="22"/>
  <c r="AI136" i="22"/>
  <c r="AG136" i="22"/>
  <c r="V136" i="22"/>
  <c r="P136" i="22"/>
  <c r="L136" i="22"/>
  <c r="AK135" i="22"/>
  <c r="AJ135" i="22"/>
  <c r="AI135" i="22"/>
  <c r="AG135" i="22"/>
  <c r="V135" i="22"/>
  <c r="P135" i="22"/>
  <c r="L135" i="22"/>
  <c r="AK134" i="22"/>
  <c r="AJ134" i="22"/>
  <c r="AI134" i="22"/>
  <c r="AG134" i="22"/>
  <c r="V134" i="22"/>
  <c r="P134" i="22"/>
  <c r="L134" i="22"/>
  <c r="AK133" i="22"/>
  <c r="AJ133" i="22"/>
  <c r="AI133" i="22"/>
  <c r="AG133" i="22"/>
  <c r="V133" i="22"/>
  <c r="P133" i="22"/>
  <c r="L133" i="22"/>
  <c r="AK132" i="22"/>
  <c r="AJ132" i="22"/>
  <c r="AI132" i="22"/>
  <c r="AG132" i="22"/>
  <c r="V132" i="22"/>
  <c r="P132" i="22"/>
  <c r="L132" i="22"/>
  <c r="AK131" i="22"/>
  <c r="AJ131" i="22"/>
  <c r="AI131" i="22"/>
  <c r="AG131" i="22"/>
  <c r="V131" i="22"/>
  <c r="P131" i="22"/>
  <c r="L131" i="22"/>
  <c r="AK130" i="22"/>
  <c r="AJ130" i="22"/>
  <c r="AI130" i="22"/>
  <c r="AG130" i="22"/>
  <c r="V130" i="22"/>
  <c r="P130" i="22"/>
  <c r="L130" i="22"/>
  <c r="AK129" i="22"/>
  <c r="AJ129" i="22"/>
  <c r="AI129" i="22"/>
  <c r="AG129" i="22"/>
  <c r="V129" i="22"/>
  <c r="P129" i="22"/>
  <c r="L129" i="22"/>
  <c r="AK128" i="22"/>
  <c r="AJ128" i="22"/>
  <c r="AI128" i="22"/>
  <c r="AG128" i="22"/>
  <c r="V128" i="22"/>
  <c r="P128" i="22"/>
  <c r="L128" i="22"/>
  <c r="AK127" i="22"/>
  <c r="AJ127" i="22"/>
  <c r="AI127" i="22"/>
  <c r="AG127" i="22"/>
  <c r="V127" i="22"/>
  <c r="P127" i="22"/>
  <c r="L127" i="22"/>
  <c r="AK126" i="22"/>
  <c r="AJ126" i="22"/>
  <c r="AI126" i="22"/>
  <c r="AG126" i="22"/>
  <c r="V126" i="22"/>
  <c r="P126" i="22"/>
  <c r="L126" i="22"/>
  <c r="AK125" i="22"/>
  <c r="AJ125" i="22"/>
  <c r="AI125" i="22"/>
  <c r="AG125" i="22"/>
  <c r="V125" i="22"/>
  <c r="P125" i="22"/>
  <c r="L125" i="22"/>
  <c r="AK124" i="22"/>
  <c r="AJ124" i="22"/>
  <c r="AI124" i="22"/>
  <c r="AG124" i="22"/>
  <c r="V124" i="22"/>
  <c r="P124" i="22"/>
  <c r="L124" i="22"/>
  <c r="AK123" i="22"/>
  <c r="AJ123" i="22"/>
  <c r="AI123" i="22"/>
  <c r="AG123" i="22"/>
  <c r="V123" i="22"/>
  <c r="P123" i="22"/>
  <c r="L123" i="22"/>
  <c r="AK122" i="22"/>
  <c r="AJ122" i="22"/>
  <c r="AI122" i="22"/>
  <c r="AG122" i="22"/>
  <c r="V122" i="22"/>
  <c r="P122" i="22"/>
  <c r="L122" i="22"/>
  <c r="AK121" i="22"/>
  <c r="AJ121" i="22"/>
  <c r="AI121" i="22"/>
  <c r="AG121" i="22"/>
  <c r="V121" i="22"/>
  <c r="P121" i="22"/>
  <c r="L121" i="22"/>
  <c r="AK120" i="22"/>
  <c r="AJ120" i="22"/>
  <c r="AI120" i="22"/>
  <c r="AG120" i="22"/>
  <c r="V120" i="22"/>
  <c r="P120" i="22"/>
  <c r="L120" i="22"/>
  <c r="AK119" i="22"/>
  <c r="AJ119" i="22"/>
  <c r="AI119" i="22"/>
  <c r="AG119" i="22"/>
  <c r="V119" i="22"/>
  <c r="P119" i="22"/>
  <c r="L119" i="22"/>
  <c r="AK118" i="22"/>
  <c r="AJ118" i="22"/>
  <c r="AI118" i="22"/>
  <c r="AG118" i="22"/>
  <c r="V118" i="22"/>
  <c r="P118" i="22"/>
  <c r="L118" i="22"/>
  <c r="AK117" i="22"/>
  <c r="AJ117" i="22"/>
  <c r="AI117" i="22"/>
  <c r="AG117" i="22"/>
  <c r="V117" i="22"/>
  <c r="P117" i="22"/>
  <c r="L117" i="22"/>
  <c r="AK116" i="22"/>
  <c r="AJ116" i="22"/>
  <c r="AI116" i="22"/>
  <c r="AG116" i="22"/>
  <c r="V116" i="22"/>
  <c r="P116" i="22"/>
  <c r="L116" i="22"/>
  <c r="AK115" i="22"/>
  <c r="AJ115" i="22"/>
  <c r="AI115" i="22"/>
  <c r="AG115" i="22"/>
  <c r="V115" i="22"/>
  <c r="P115" i="22"/>
  <c r="L115" i="22"/>
  <c r="AK114" i="22"/>
  <c r="AJ114" i="22"/>
  <c r="AI114" i="22"/>
  <c r="AG114" i="22"/>
  <c r="V114" i="22"/>
  <c r="P114" i="22"/>
  <c r="L114" i="22"/>
  <c r="AK113" i="22"/>
  <c r="AJ113" i="22"/>
  <c r="AI113" i="22"/>
  <c r="AG113" i="22"/>
  <c r="V113" i="22"/>
  <c r="P113" i="22"/>
  <c r="L113" i="22"/>
  <c r="AK112" i="22"/>
  <c r="AJ112" i="22"/>
  <c r="AI112" i="22"/>
  <c r="AG112" i="22"/>
  <c r="V112" i="22"/>
  <c r="P112" i="22"/>
  <c r="L112" i="22"/>
  <c r="AK111" i="22"/>
  <c r="AJ111" i="22"/>
  <c r="AI111" i="22"/>
  <c r="AG111" i="22"/>
  <c r="V111" i="22"/>
  <c r="P111" i="22"/>
  <c r="L111" i="22"/>
  <c r="AK110" i="22"/>
  <c r="AJ110" i="22"/>
  <c r="AI110" i="22"/>
  <c r="AG110" i="22"/>
  <c r="V110" i="22"/>
  <c r="P110" i="22"/>
  <c r="L110" i="22"/>
  <c r="AK109" i="22"/>
  <c r="AJ109" i="22"/>
  <c r="AI109" i="22"/>
  <c r="AG109" i="22"/>
  <c r="V109" i="22"/>
  <c r="P109" i="22"/>
  <c r="L109" i="22"/>
  <c r="AK108" i="22"/>
  <c r="AJ108" i="22"/>
  <c r="AI108" i="22"/>
  <c r="AG108" i="22"/>
  <c r="V108" i="22"/>
  <c r="P108" i="22"/>
  <c r="L108" i="22"/>
  <c r="AK107" i="22"/>
  <c r="AJ107" i="22"/>
  <c r="AI107" i="22"/>
  <c r="AG107" i="22"/>
  <c r="V107" i="22"/>
  <c r="P107" i="22"/>
  <c r="L107" i="22"/>
  <c r="AK106" i="22"/>
  <c r="AJ106" i="22"/>
  <c r="AI106" i="22"/>
  <c r="AG106" i="22"/>
  <c r="V106" i="22"/>
  <c r="P106" i="22"/>
  <c r="L106" i="22"/>
  <c r="AK105" i="22"/>
  <c r="AJ105" i="22"/>
  <c r="AI105" i="22"/>
  <c r="AG105" i="22"/>
  <c r="V105" i="22"/>
  <c r="P105" i="22"/>
  <c r="L105" i="22"/>
  <c r="AK104" i="22"/>
  <c r="AJ104" i="22"/>
  <c r="AI104" i="22"/>
  <c r="AG104" i="22"/>
  <c r="V104" i="22"/>
  <c r="P104" i="22"/>
  <c r="L104" i="22"/>
  <c r="AK103" i="22"/>
  <c r="AJ103" i="22"/>
  <c r="AI103" i="22"/>
  <c r="AG103" i="22"/>
  <c r="V103" i="22"/>
  <c r="P103" i="22"/>
  <c r="L103" i="22"/>
  <c r="AK102" i="22"/>
  <c r="AJ102" i="22"/>
  <c r="AI102" i="22"/>
  <c r="AG102" i="22"/>
  <c r="V102" i="22"/>
  <c r="P102" i="22"/>
  <c r="L102" i="22"/>
  <c r="AK101" i="22"/>
  <c r="AJ101" i="22"/>
  <c r="AI101" i="22"/>
  <c r="AG101" i="22"/>
  <c r="V101" i="22"/>
  <c r="P101" i="22"/>
  <c r="L101" i="22"/>
  <c r="AK100" i="22"/>
  <c r="AJ100" i="22"/>
  <c r="AI100" i="22"/>
  <c r="AG100" i="22"/>
  <c r="V100" i="22"/>
  <c r="P100" i="22"/>
  <c r="L100" i="22"/>
  <c r="AK99" i="22"/>
  <c r="AJ99" i="22"/>
  <c r="AI99" i="22"/>
  <c r="AG99" i="22"/>
  <c r="V99" i="22"/>
  <c r="P99" i="22"/>
  <c r="L99" i="22"/>
  <c r="AK98" i="22"/>
  <c r="AJ98" i="22"/>
  <c r="AI98" i="22"/>
  <c r="AG98" i="22"/>
  <c r="V98" i="22"/>
  <c r="P98" i="22"/>
  <c r="L98" i="22"/>
  <c r="AK97" i="22"/>
  <c r="AJ97" i="22"/>
  <c r="AI97" i="22"/>
  <c r="AG97" i="22"/>
  <c r="V97" i="22"/>
  <c r="P97" i="22"/>
  <c r="L97" i="22"/>
  <c r="AK96" i="22"/>
  <c r="AJ96" i="22"/>
  <c r="AI96" i="22"/>
  <c r="AG96" i="22"/>
  <c r="V96" i="22"/>
  <c r="P96" i="22"/>
  <c r="L96" i="22"/>
  <c r="AK95" i="22"/>
  <c r="AJ95" i="22"/>
  <c r="AI95" i="22"/>
  <c r="AG95" i="22"/>
  <c r="V95" i="22"/>
  <c r="P95" i="22"/>
  <c r="L95" i="22"/>
  <c r="AK94" i="22"/>
  <c r="AJ94" i="22"/>
  <c r="AI94" i="22"/>
  <c r="AG94" i="22"/>
  <c r="V94" i="22"/>
  <c r="P94" i="22"/>
  <c r="L94" i="22"/>
  <c r="AK93" i="22"/>
  <c r="AJ93" i="22"/>
  <c r="AI93" i="22"/>
  <c r="AG93" i="22"/>
  <c r="V93" i="22"/>
  <c r="P93" i="22"/>
  <c r="L93" i="22"/>
  <c r="AK92" i="22"/>
  <c r="AJ92" i="22"/>
  <c r="AI92" i="22"/>
  <c r="AG92" i="22"/>
  <c r="V92" i="22"/>
  <c r="P92" i="22"/>
  <c r="L92" i="22"/>
  <c r="AK91" i="22"/>
  <c r="AJ91" i="22"/>
  <c r="AI91" i="22"/>
  <c r="AG91" i="22"/>
  <c r="V91" i="22"/>
  <c r="P91" i="22"/>
  <c r="L91" i="22"/>
  <c r="AK90" i="22"/>
  <c r="AJ90" i="22"/>
  <c r="AI90" i="22"/>
  <c r="AG90" i="22"/>
  <c r="V90" i="22"/>
  <c r="P90" i="22"/>
  <c r="L90" i="22"/>
  <c r="AK89" i="22"/>
  <c r="AJ89" i="22"/>
  <c r="AI89" i="22"/>
  <c r="AG89" i="22"/>
  <c r="V89" i="22"/>
  <c r="P89" i="22"/>
  <c r="L89" i="22"/>
  <c r="AK88" i="22"/>
  <c r="AJ88" i="22"/>
  <c r="AI88" i="22"/>
  <c r="AG88" i="22"/>
  <c r="V88" i="22"/>
  <c r="P88" i="22"/>
  <c r="L88" i="22"/>
  <c r="AK87" i="22"/>
  <c r="AJ87" i="22"/>
  <c r="AI87" i="22"/>
  <c r="AG87" i="22"/>
  <c r="V87" i="22"/>
  <c r="P87" i="22"/>
  <c r="L87" i="22"/>
  <c r="AK86" i="22"/>
  <c r="AJ86" i="22"/>
  <c r="AI86" i="22"/>
  <c r="AG86" i="22"/>
  <c r="V86" i="22"/>
  <c r="P86" i="22"/>
  <c r="L86" i="22"/>
  <c r="AK85" i="22"/>
  <c r="AJ85" i="22"/>
  <c r="AI85" i="22"/>
  <c r="AG85" i="22"/>
  <c r="V85" i="22"/>
  <c r="P85" i="22"/>
  <c r="L85" i="22"/>
  <c r="AK84" i="22"/>
  <c r="AJ84" i="22"/>
  <c r="AI84" i="22"/>
  <c r="AG84" i="22"/>
  <c r="V84" i="22"/>
  <c r="P84" i="22"/>
  <c r="L84" i="22"/>
  <c r="AK83" i="22"/>
  <c r="AJ83" i="22"/>
  <c r="AI83" i="22"/>
  <c r="AG83" i="22"/>
  <c r="V83" i="22"/>
  <c r="P83" i="22"/>
  <c r="L83" i="22"/>
  <c r="AK82" i="22"/>
  <c r="AJ82" i="22"/>
  <c r="AI82" i="22"/>
  <c r="AG82" i="22"/>
  <c r="V82" i="22"/>
  <c r="P82" i="22"/>
  <c r="L82" i="22"/>
  <c r="AK81" i="22"/>
  <c r="AJ81" i="22"/>
  <c r="AI81" i="22"/>
  <c r="AG81" i="22"/>
  <c r="V81" i="22"/>
  <c r="P81" i="22"/>
  <c r="L81" i="22"/>
  <c r="AK80" i="22"/>
  <c r="AJ80" i="22"/>
  <c r="AI80" i="22"/>
  <c r="AG80" i="22"/>
  <c r="V80" i="22"/>
  <c r="P80" i="22"/>
  <c r="L80" i="22"/>
  <c r="AK79" i="22"/>
  <c r="AJ79" i="22"/>
  <c r="AI79" i="22"/>
  <c r="AG79" i="22"/>
  <c r="V79" i="22"/>
  <c r="P79" i="22"/>
  <c r="L79" i="22"/>
  <c r="AK78" i="22"/>
  <c r="AJ78" i="22"/>
  <c r="AI78" i="22"/>
  <c r="AG78" i="22"/>
  <c r="V78" i="22"/>
  <c r="P78" i="22"/>
  <c r="L78" i="22"/>
  <c r="AK77" i="22"/>
  <c r="AJ77" i="22"/>
  <c r="AI77" i="22"/>
  <c r="AG77" i="22"/>
  <c r="V77" i="22"/>
  <c r="P77" i="22"/>
  <c r="L77" i="22"/>
  <c r="AK76" i="22"/>
  <c r="AJ76" i="22"/>
  <c r="AI76" i="22"/>
  <c r="AG76" i="22"/>
  <c r="V76" i="22"/>
  <c r="P76" i="22"/>
  <c r="L76" i="22"/>
  <c r="AK75" i="22"/>
  <c r="AJ75" i="22"/>
  <c r="AI75" i="22"/>
  <c r="AG75" i="22"/>
  <c r="V75" i="22"/>
  <c r="P75" i="22"/>
  <c r="L75" i="22"/>
  <c r="AK74" i="22"/>
  <c r="AJ74" i="22"/>
  <c r="AI74" i="22"/>
  <c r="AG74" i="22"/>
  <c r="V74" i="22"/>
  <c r="P74" i="22"/>
  <c r="L74" i="22"/>
  <c r="AK73" i="22"/>
  <c r="AJ73" i="22"/>
  <c r="AI73" i="22"/>
  <c r="AG73" i="22"/>
  <c r="V73" i="22"/>
  <c r="P73" i="22"/>
  <c r="L73" i="22"/>
  <c r="AK72" i="22"/>
  <c r="AJ72" i="22"/>
  <c r="AI72" i="22"/>
  <c r="AG72" i="22"/>
  <c r="V72" i="22"/>
  <c r="P72" i="22"/>
  <c r="L72" i="22"/>
  <c r="AK71" i="22"/>
  <c r="AJ71" i="22"/>
  <c r="AI71" i="22"/>
  <c r="AG71" i="22"/>
  <c r="V71" i="22"/>
  <c r="P71" i="22"/>
  <c r="L71" i="22"/>
  <c r="AK70" i="22"/>
  <c r="AJ70" i="22"/>
  <c r="AI70" i="22"/>
  <c r="AG70" i="22"/>
  <c r="V70" i="22"/>
  <c r="P70" i="22"/>
  <c r="L70" i="22"/>
  <c r="AK69" i="22"/>
  <c r="AJ69" i="22"/>
  <c r="AI69" i="22"/>
  <c r="AG69" i="22"/>
  <c r="V69" i="22"/>
  <c r="P69" i="22"/>
  <c r="L69" i="22"/>
  <c r="AK68" i="22"/>
  <c r="AJ68" i="22"/>
  <c r="AI68" i="22"/>
  <c r="AG68" i="22"/>
  <c r="V68" i="22"/>
  <c r="P68" i="22"/>
  <c r="L68" i="22"/>
  <c r="AK67" i="22"/>
  <c r="AJ67" i="22"/>
  <c r="AI67" i="22"/>
  <c r="AG67" i="22"/>
  <c r="V67" i="22"/>
  <c r="P67" i="22"/>
  <c r="L67" i="22"/>
  <c r="AK66" i="22"/>
  <c r="AJ66" i="22"/>
  <c r="AI66" i="22"/>
  <c r="AG66" i="22"/>
  <c r="V66" i="22"/>
  <c r="P66" i="22"/>
  <c r="L66" i="22"/>
  <c r="AK65" i="22"/>
  <c r="AJ65" i="22"/>
  <c r="AI65" i="22"/>
  <c r="AG65" i="22"/>
  <c r="V65" i="22"/>
  <c r="P65" i="22"/>
  <c r="L65" i="22"/>
  <c r="AK64" i="22"/>
  <c r="AJ64" i="22"/>
  <c r="AI64" i="22"/>
  <c r="AG64" i="22"/>
  <c r="V64" i="22"/>
  <c r="P64" i="22"/>
  <c r="L64" i="22"/>
  <c r="AK63" i="22"/>
  <c r="AJ63" i="22"/>
  <c r="AI63" i="22"/>
  <c r="AG63" i="22"/>
  <c r="V63" i="22"/>
  <c r="P63" i="22"/>
  <c r="L63" i="22"/>
  <c r="AK62" i="22"/>
  <c r="AJ62" i="22"/>
  <c r="AI62" i="22"/>
  <c r="AG62" i="22"/>
  <c r="V62" i="22"/>
  <c r="P62" i="22"/>
  <c r="L62" i="22"/>
  <c r="AK61" i="22"/>
  <c r="AJ61" i="22"/>
  <c r="AI61" i="22"/>
  <c r="AG61" i="22"/>
  <c r="V61" i="22"/>
  <c r="P61" i="22"/>
  <c r="L61" i="22"/>
  <c r="AK60" i="22"/>
  <c r="AJ60" i="22"/>
  <c r="AI60" i="22"/>
  <c r="AG60" i="22"/>
  <c r="V60" i="22"/>
  <c r="P60" i="22"/>
  <c r="L60" i="22"/>
  <c r="AK59" i="22"/>
  <c r="AJ59" i="22"/>
  <c r="AI59" i="22"/>
  <c r="AG59" i="22"/>
  <c r="V59" i="22"/>
  <c r="P59" i="22"/>
  <c r="L59" i="22"/>
  <c r="AK58" i="22"/>
  <c r="AJ58" i="22"/>
  <c r="AI58" i="22"/>
  <c r="AG58" i="22"/>
  <c r="V58" i="22"/>
  <c r="P58" i="22"/>
  <c r="L58" i="22"/>
  <c r="AK57" i="22"/>
  <c r="AJ57" i="22"/>
  <c r="AI57" i="22"/>
  <c r="AG57" i="22"/>
  <c r="V57" i="22"/>
  <c r="P57" i="22"/>
  <c r="L57" i="22"/>
  <c r="AK56" i="22"/>
  <c r="AJ56" i="22"/>
  <c r="AI56" i="22"/>
  <c r="AG56" i="22"/>
  <c r="V56" i="22"/>
  <c r="P56" i="22"/>
  <c r="L56" i="22"/>
  <c r="AK55" i="22"/>
  <c r="AJ55" i="22"/>
  <c r="AI55" i="22"/>
  <c r="AG55" i="22"/>
  <c r="V55" i="22"/>
  <c r="P55" i="22"/>
  <c r="L55" i="22"/>
  <c r="AK54" i="22"/>
  <c r="AJ54" i="22"/>
  <c r="AI54" i="22"/>
  <c r="AG54" i="22"/>
  <c r="V54" i="22"/>
  <c r="P54" i="22"/>
  <c r="L54" i="22"/>
  <c r="AK53" i="22"/>
  <c r="AJ53" i="22"/>
  <c r="AI53" i="22"/>
  <c r="AG53" i="22"/>
  <c r="V53" i="22"/>
  <c r="P53" i="22"/>
  <c r="L53" i="22"/>
  <c r="AK52" i="22"/>
  <c r="AJ52" i="22"/>
  <c r="AI52" i="22"/>
  <c r="AG52" i="22"/>
  <c r="V52" i="22"/>
  <c r="P52" i="22"/>
  <c r="L52" i="22"/>
  <c r="AK51" i="22"/>
  <c r="AJ51" i="22"/>
  <c r="AI51" i="22"/>
  <c r="AG51" i="22"/>
  <c r="V51" i="22"/>
  <c r="P51" i="22"/>
  <c r="L51" i="22"/>
  <c r="AK50" i="22"/>
  <c r="AJ50" i="22"/>
  <c r="AI50" i="22"/>
  <c r="AG50" i="22"/>
  <c r="V50" i="22"/>
  <c r="P50" i="22"/>
  <c r="L50" i="22"/>
  <c r="AK49" i="22"/>
  <c r="AJ49" i="22"/>
  <c r="AI49" i="22"/>
  <c r="AG49" i="22"/>
  <c r="V49" i="22"/>
  <c r="P49" i="22"/>
  <c r="L49" i="22"/>
  <c r="AK48" i="22"/>
  <c r="AJ48" i="22"/>
  <c r="AI48" i="22"/>
  <c r="AG48" i="22"/>
  <c r="V48" i="22"/>
  <c r="P48" i="22"/>
  <c r="L48" i="22"/>
  <c r="AK47" i="22"/>
  <c r="AJ47" i="22"/>
  <c r="AI47" i="22"/>
  <c r="AG47" i="22"/>
  <c r="V47" i="22"/>
  <c r="P47" i="22"/>
  <c r="L47" i="22"/>
  <c r="AK46" i="22"/>
  <c r="AJ46" i="22"/>
  <c r="AI46" i="22"/>
  <c r="AG46" i="22"/>
  <c r="V46" i="22"/>
  <c r="P46" i="22"/>
  <c r="L46" i="22"/>
  <c r="AK45" i="22"/>
  <c r="AJ45" i="22"/>
  <c r="AI45" i="22"/>
  <c r="AG45" i="22"/>
  <c r="V45" i="22"/>
  <c r="P45" i="22"/>
  <c r="L45" i="22"/>
  <c r="AK44" i="22"/>
  <c r="AJ44" i="22"/>
  <c r="AI44" i="22"/>
  <c r="AG44" i="22"/>
  <c r="V44" i="22"/>
  <c r="P44" i="22"/>
  <c r="L44" i="22"/>
  <c r="AK43" i="22"/>
  <c r="AJ43" i="22"/>
  <c r="AI43" i="22"/>
  <c r="AG43" i="22"/>
  <c r="V43" i="22"/>
  <c r="P43" i="22"/>
  <c r="L43" i="22"/>
  <c r="AK42" i="22"/>
  <c r="AJ42" i="22"/>
  <c r="AI42" i="22"/>
  <c r="AG42" i="22"/>
  <c r="V42" i="22"/>
  <c r="P42" i="22"/>
  <c r="L42" i="22"/>
  <c r="AK41" i="22"/>
  <c r="AJ41" i="22"/>
  <c r="AI41" i="22"/>
  <c r="AG41" i="22"/>
  <c r="V41" i="22"/>
  <c r="P41" i="22"/>
  <c r="L41" i="22"/>
  <c r="AK40" i="22"/>
  <c r="AJ40" i="22"/>
  <c r="AI40" i="22"/>
  <c r="AG40" i="22"/>
  <c r="V40" i="22"/>
  <c r="P40" i="22"/>
  <c r="L40" i="22"/>
  <c r="AK39" i="22"/>
  <c r="AJ39" i="22"/>
  <c r="AI39" i="22"/>
  <c r="AG39" i="22"/>
  <c r="V39" i="22"/>
  <c r="P39" i="22"/>
  <c r="L39" i="22"/>
  <c r="AK38" i="22"/>
  <c r="AJ38" i="22"/>
  <c r="AI38" i="22"/>
  <c r="AG38" i="22"/>
  <c r="V38" i="22"/>
  <c r="P38" i="22"/>
  <c r="L38" i="22"/>
  <c r="AK37" i="22"/>
  <c r="AJ37" i="22"/>
  <c r="AI37" i="22"/>
  <c r="AG37" i="22"/>
  <c r="V37" i="22"/>
  <c r="P37" i="22"/>
  <c r="L37" i="22"/>
  <c r="AK36" i="22"/>
  <c r="AJ36" i="22"/>
  <c r="AI36" i="22"/>
  <c r="AG36" i="22"/>
  <c r="V36" i="22"/>
  <c r="P36" i="22"/>
  <c r="L36" i="22"/>
  <c r="AK35" i="22"/>
  <c r="AJ35" i="22"/>
  <c r="AI35" i="22"/>
  <c r="AG35" i="22"/>
  <c r="V35" i="22"/>
  <c r="P35" i="22"/>
  <c r="L35" i="22"/>
  <c r="AK34" i="22"/>
  <c r="AJ34" i="22"/>
  <c r="AI34" i="22"/>
  <c r="AG34" i="22"/>
  <c r="V34" i="22"/>
  <c r="P34" i="22"/>
  <c r="L34" i="22"/>
  <c r="AK33" i="22"/>
  <c r="AJ33" i="22"/>
  <c r="AI33" i="22"/>
  <c r="AG33" i="22"/>
  <c r="V33" i="22"/>
  <c r="P33" i="22"/>
  <c r="L33" i="22"/>
  <c r="AK32" i="22"/>
  <c r="AJ32" i="22"/>
  <c r="AI32" i="22"/>
  <c r="AG32" i="22"/>
  <c r="V32" i="22"/>
  <c r="P32" i="22"/>
  <c r="L32" i="22"/>
  <c r="AK31" i="22"/>
  <c r="AJ31" i="22"/>
  <c r="AI31" i="22"/>
  <c r="AG31" i="22"/>
  <c r="V31" i="22"/>
  <c r="P31" i="22"/>
  <c r="L31" i="22"/>
  <c r="AK30" i="22"/>
  <c r="AJ30" i="22"/>
  <c r="AI30" i="22"/>
  <c r="AG30" i="22"/>
  <c r="V30" i="22"/>
  <c r="P30" i="22"/>
  <c r="L30" i="22"/>
  <c r="AK29" i="22"/>
  <c r="AJ29" i="22"/>
  <c r="AI29" i="22"/>
  <c r="AG29" i="22"/>
  <c r="V29" i="22"/>
  <c r="P29" i="22"/>
  <c r="L29" i="22"/>
  <c r="AK28" i="22"/>
  <c r="AJ28" i="22"/>
  <c r="AI28" i="22"/>
  <c r="AG28" i="22"/>
  <c r="V28" i="22"/>
  <c r="P28" i="22"/>
  <c r="L28" i="22"/>
  <c r="AK27" i="22"/>
  <c r="AJ27" i="22"/>
  <c r="AI27" i="22"/>
  <c r="AG27" i="22"/>
  <c r="V27" i="22"/>
  <c r="P27" i="22"/>
  <c r="L27" i="22"/>
  <c r="AK26" i="22"/>
  <c r="AJ26" i="22"/>
  <c r="AI26" i="22"/>
  <c r="AG26" i="22"/>
  <c r="V26" i="22"/>
  <c r="P26" i="22"/>
  <c r="L26" i="22"/>
  <c r="AK25" i="22"/>
  <c r="AJ25" i="22"/>
  <c r="AI25" i="22"/>
  <c r="AG25" i="22"/>
  <c r="V25" i="22"/>
  <c r="P25" i="22"/>
  <c r="L25" i="22"/>
  <c r="AK24" i="22"/>
  <c r="AJ24" i="22"/>
  <c r="AI24" i="22"/>
  <c r="AG24" i="22"/>
  <c r="V24" i="22"/>
  <c r="P24" i="22"/>
  <c r="L24" i="22"/>
  <c r="AK23" i="22"/>
  <c r="AJ23" i="22"/>
  <c r="AI23" i="22"/>
  <c r="AG23" i="22"/>
  <c r="V23" i="22"/>
  <c r="P23" i="22"/>
  <c r="L23" i="22"/>
  <c r="AK22" i="22"/>
  <c r="AJ22" i="22"/>
  <c r="AI22" i="22"/>
  <c r="AG22" i="22"/>
  <c r="V22" i="22"/>
  <c r="P22" i="22"/>
  <c r="L22" i="22"/>
  <c r="AK21" i="22"/>
  <c r="AJ21" i="22"/>
  <c r="AI21" i="22"/>
  <c r="AG21" i="22"/>
  <c r="V21" i="22"/>
  <c r="P21" i="22"/>
  <c r="L21" i="22"/>
  <c r="AK20" i="22"/>
  <c r="AJ20" i="22"/>
  <c r="AI20" i="22"/>
  <c r="AG20" i="22"/>
  <c r="V20" i="22"/>
  <c r="P20" i="22"/>
  <c r="L20" i="22"/>
  <c r="AK19" i="22"/>
  <c r="AJ19" i="22"/>
  <c r="AI19" i="22"/>
  <c r="AG19" i="22"/>
  <c r="V19" i="22"/>
  <c r="P19" i="22"/>
  <c r="L19" i="22"/>
  <c r="AK18" i="22"/>
  <c r="AJ18" i="22"/>
  <c r="AI18" i="22"/>
  <c r="AG18" i="22"/>
  <c r="V18" i="22"/>
  <c r="P18" i="22"/>
  <c r="L18" i="22"/>
  <c r="AK17" i="22"/>
  <c r="AJ17" i="22"/>
  <c r="AI17" i="22"/>
  <c r="AG17" i="22"/>
  <c r="V17" i="22"/>
  <c r="P17" i="22"/>
  <c r="L17" i="22"/>
  <c r="AK16" i="22"/>
  <c r="AJ16" i="22"/>
  <c r="AI16" i="22"/>
  <c r="AG16" i="22"/>
  <c r="V16" i="22"/>
  <c r="P16" i="22"/>
  <c r="L16" i="22"/>
  <c r="AK15" i="22"/>
  <c r="AJ15" i="22"/>
  <c r="AI15" i="22"/>
  <c r="AG15" i="22"/>
  <c r="V15" i="22"/>
  <c r="P15" i="22"/>
  <c r="L15" i="22"/>
  <c r="AK14" i="22"/>
  <c r="AJ14" i="22"/>
  <c r="AI14" i="22"/>
  <c r="AG14" i="22"/>
  <c r="V14" i="22"/>
  <c r="P14" i="22"/>
  <c r="L14" i="22"/>
  <c r="AK13" i="22"/>
  <c r="AJ13" i="22"/>
  <c r="AI13" i="22"/>
  <c r="AG13" i="22"/>
  <c r="V13" i="22"/>
  <c r="P13" i="22"/>
  <c r="L13" i="22"/>
  <c r="AK12" i="22"/>
  <c r="AJ12" i="22"/>
  <c r="AI12" i="22"/>
  <c r="AG12" i="22"/>
  <c r="V12" i="22"/>
  <c r="P12" i="22"/>
  <c r="L12" i="22"/>
  <c r="AK11" i="22"/>
  <c r="AJ11" i="22"/>
  <c r="AI11" i="22"/>
  <c r="AG11" i="22"/>
  <c r="V11" i="22"/>
  <c r="P11" i="22"/>
  <c r="L11" i="22"/>
  <c r="AK10" i="22"/>
  <c r="AJ10" i="22"/>
  <c r="AI10" i="22"/>
  <c r="AG10" i="22"/>
  <c r="V10" i="22"/>
  <c r="P10" i="22"/>
  <c r="L10" i="22"/>
  <c r="AK9" i="22"/>
  <c r="AJ9" i="22"/>
  <c r="AI9" i="22"/>
  <c r="AG9" i="22"/>
  <c r="V9" i="22"/>
  <c r="P9" i="22"/>
  <c r="L9" i="22"/>
  <c r="AK8" i="22"/>
  <c r="AJ8" i="22"/>
  <c r="AI8" i="22"/>
  <c r="AG8" i="22"/>
  <c r="V8" i="22"/>
  <c r="P8" i="22"/>
  <c r="L8" i="22"/>
  <c r="AK7" i="22"/>
  <c r="AJ7" i="22"/>
  <c r="AI7" i="22"/>
  <c r="AG7" i="22"/>
  <c r="V7" i="22"/>
  <c r="P7" i="22"/>
  <c r="L7" i="22"/>
  <c r="AK6" i="22"/>
  <c r="AJ6" i="22"/>
  <c r="AI6" i="22"/>
  <c r="AG6" i="22"/>
  <c r="V6" i="22"/>
  <c r="P6" i="22"/>
  <c r="L6" i="22"/>
  <c r="P293" i="20"/>
  <c r="AI293" i="20"/>
  <c r="AJ293" i="20"/>
  <c r="AG293" i="20"/>
  <c r="P292" i="20"/>
  <c r="AI292" i="20"/>
  <c r="AJ292" i="20"/>
  <c r="AG292" i="20"/>
  <c r="P291" i="20"/>
  <c r="AI291" i="20"/>
  <c r="AJ291" i="20"/>
  <c r="AG291" i="20"/>
  <c r="P290" i="20"/>
  <c r="AI290" i="20"/>
  <c r="AJ290" i="20"/>
  <c r="AG290" i="20"/>
  <c r="P289" i="20"/>
  <c r="AI289" i="20"/>
  <c r="AJ289" i="20"/>
  <c r="AG289" i="20"/>
  <c r="P288" i="20"/>
  <c r="AI288" i="20"/>
  <c r="AJ288" i="20"/>
  <c r="AG288" i="20"/>
  <c r="P287" i="20"/>
  <c r="AI287" i="20"/>
  <c r="AJ287" i="20"/>
  <c r="AG287" i="20"/>
  <c r="P286" i="20"/>
  <c r="AI286" i="20"/>
  <c r="AJ286" i="20"/>
  <c r="AG286" i="20"/>
  <c r="P285" i="20"/>
  <c r="AI285" i="20"/>
  <c r="AJ285" i="20"/>
  <c r="AG285" i="20"/>
  <c r="P284" i="20"/>
  <c r="AI284" i="20"/>
  <c r="AJ284" i="20"/>
  <c r="AG284" i="20"/>
  <c r="P283" i="20"/>
  <c r="AI283" i="20"/>
  <c r="AJ283" i="20"/>
  <c r="AG283" i="20"/>
  <c r="P282" i="20"/>
  <c r="AI282" i="20"/>
  <c r="AJ282" i="20"/>
  <c r="AG282" i="20"/>
  <c r="P281" i="20"/>
  <c r="AI281" i="20"/>
  <c r="AJ281" i="20"/>
  <c r="AG281" i="20"/>
  <c r="P280" i="20"/>
  <c r="AI280" i="20"/>
  <c r="AJ280" i="20"/>
  <c r="AG280" i="20"/>
  <c r="P279" i="20"/>
  <c r="AI279" i="20"/>
  <c r="AJ279" i="20"/>
  <c r="AG279" i="20"/>
  <c r="P278" i="20"/>
  <c r="AI278" i="20"/>
  <c r="AJ278" i="20"/>
  <c r="AG278" i="20"/>
  <c r="P277" i="20"/>
  <c r="AI277" i="20"/>
  <c r="AJ277" i="20"/>
  <c r="AG277" i="20"/>
  <c r="P276" i="20"/>
  <c r="AI276" i="20"/>
  <c r="AJ276" i="20"/>
  <c r="AG276" i="20"/>
  <c r="P275" i="20"/>
  <c r="AI275" i="20"/>
  <c r="AJ275" i="20"/>
  <c r="AG275" i="20"/>
  <c r="P274" i="20"/>
  <c r="AI274" i="20"/>
  <c r="AJ274" i="20"/>
  <c r="AG274" i="20"/>
  <c r="P273" i="20"/>
  <c r="AI273" i="20"/>
  <c r="AJ273" i="20"/>
  <c r="AG273" i="20"/>
  <c r="P272" i="20"/>
  <c r="AI272" i="20"/>
  <c r="AJ272" i="20"/>
  <c r="AG272" i="20"/>
  <c r="P271" i="20"/>
  <c r="AI271" i="20"/>
  <c r="AJ271" i="20"/>
  <c r="AG271" i="20"/>
  <c r="P270" i="20"/>
  <c r="AI270" i="20"/>
  <c r="AJ270" i="20"/>
  <c r="AG270" i="20"/>
  <c r="P269" i="20"/>
  <c r="AI269" i="20"/>
  <c r="AJ269" i="20"/>
  <c r="AG269" i="20"/>
  <c r="P268" i="20"/>
  <c r="AI268" i="20"/>
  <c r="AJ268" i="20"/>
  <c r="AG268" i="20"/>
  <c r="P267" i="20"/>
  <c r="AI267" i="20"/>
  <c r="AJ267" i="20"/>
  <c r="AG267" i="20"/>
  <c r="P266" i="20"/>
  <c r="AI266" i="20"/>
  <c r="AJ266" i="20"/>
  <c r="AG266" i="20"/>
  <c r="P265" i="20"/>
  <c r="AI265" i="20"/>
  <c r="AJ265" i="20"/>
  <c r="AG265" i="20"/>
  <c r="P264" i="20"/>
  <c r="AI264" i="20"/>
  <c r="AJ264" i="20"/>
  <c r="AG264" i="20"/>
  <c r="P263" i="20"/>
  <c r="AI263" i="20"/>
  <c r="AJ263" i="20"/>
  <c r="AG263" i="20"/>
  <c r="P262" i="20"/>
  <c r="AI262" i="20"/>
  <c r="AJ262" i="20"/>
  <c r="AG262" i="20"/>
  <c r="P261" i="20"/>
  <c r="AI261" i="20"/>
  <c r="AJ261" i="20"/>
  <c r="AG261" i="20"/>
  <c r="P260" i="20"/>
  <c r="AI260" i="20"/>
  <c r="AJ260" i="20"/>
  <c r="AG260" i="20"/>
  <c r="P259" i="20"/>
  <c r="AI259" i="20"/>
  <c r="AJ259" i="20"/>
  <c r="AG259" i="20"/>
  <c r="P258" i="20"/>
  <c r="AI258" i="20"/>
  <c r="AJ258" i="20"/>
  <c r="AG258" i="20"/>
  <c r="P257" i="20"/>
  <c r="AI257" i="20"/>
  <c r="AJ257" i="20"/>
  <c r="AG257" i="20"/>
  <c r="P256" i="20"/>
  <c r="AI256" i="20"/>
  <c r="AJ256" i="20"/>
  <c r="AG256" i="20"/>
  <c r="P255" i="20"/>
  <c r="AI255" i="20"/>
  <c r="AJ255" i="20"/>
  <c r="AG255" i="20"/>
  <c r="P254" i="20"/>
  <c r="AI254" i="20"/>
  <c r="AJ254" i="20"/>
  <c r="AG254" i="20"/>
  <c r="P253" i="20"/>
  <c r="AI253" i="20"/>
  <c r="AJ253" i="20"/>
  <c r="AG253" i="20"/>
  <c r="P252" i="20"/>
  <c r="AI252" i="20"/>
  <c r="AJ252" i="20"/>
  <c r="AG252" i="20"/>
  <c r="P251" i="20"/>
  <c r="AI251" i="20"/>
  <c r="AJ251" i="20"/>
  <c r="AG251" i="20"/>
  <c r="P250" i="20"/>
  <c r="AI250" i="20"/>
  <c r="AJ250" i="20"/>
  <c r="AG250" i="20"/>
  <c r="P249" i="20"/>
  <c r="AI249" i="20"/>
  <c r="AJ249" i="20"/>
  <c r="AG249" i="20"/>
  <c r="P248" i="20"/>
  <c r="AI248" i="20"/>
  <c r="AJ248" i="20"/>
  <c r="AG248" i="20"/>
  <c r="P247" i="20"/>
  <c r="AI247" i="20"/>
  <c r="AJ247" i="20"/>
  <c r="AG247" i="20"/>
  <c r="P246" i="20"/>
  <c r="AI246" i="20"/>
  <c r="AJ246" i="20"/>
  <c r="AG246" i="20"/>
  <c r="P245" i="20"/>
  <c r="AI245" i="20"/>
  <c r="AJ245" i="20"/>
  <c r="AG245" i="20"/>
  <c r="P244" i="20"/>
  <c r="AI244" i="20"/>
  <c r="AJ244" i="20"/>
  <c r="AG244" i="20"/>
  <c r="P243" i="20"/>
  <c r="AI243" i="20"/>
  <c r="AJ243" i="20"/>
  <c r="AG243" i="20"/>
  <c r="P242" i="20"/>
  <c r="AI242" i="20"/>
  <c r="AJ242" i="20"/>
  <c r="AG242" i="20"/>
  <c r="P241" i="20"/>
  <c r="AI241" i="20"/>
  <c r="AJ241" i="20"/>
  <c r="AG241" i="20"/>
  <c r="P240" i="20"/>
  <c r="AI240" i="20"/>
  <c r="AJ240" i="20"/>
  <c r="AG240" i="20"/>
  <c r="P239" i="20"/>
  <c r="AI239" i="20"/>
  <c r="AJ239" i="20"/>
  <c r="AG239" i="20"/>
  <c r="P238" i="20"/>
  <c r="AI238" i="20"/>
  <c r="AJ238" i="20"/>
  <c r="AG238" i="20"/>
  <c r="P237" i="20"/>
  <c r="AI237" i="20"/>
  <c r="AJ237" i="20"/>
  <c r="AG237" i="20"/>
  <c r="P236" i="20"/>
  <c r="AI236" i="20"/>
  <c r="AJ236" i="20"/>
  <c r="AG236" i="20"/>
  <c r="P235" i="20"/>
  <c r="AI235" i="20"/>
  <c r="AJ235" i="20"/>
  <c r="AG235" i="20"/>
  <c r="P234" i="20"/>
  <c r="AI234" i="20"/>
  <c r="AJ234" i="20"/>
  <c r="AG234" i="20"/>
  <c r="P233" i="20"/>
  <c r="AI233" i="20"/>
  <c r="AJ233" i="20"/>
  <c r="AG233" i="20"/>
  <c r="P232" i="20"/>
  <c r="AI232" i="20"/>
  <c r="AJ232" i="20"/>
  <c r="AG232" i="20"/>
  <c r="P231" i="20"/>
  <c r="AI231" i="20"/>
  <c r="AJ231" i="20"/>
  <c r="AG231" i="20"/>
  <c r="P230" i="20"/>
  <c r="AI230" i="20"/>
  <c r="AJ230" i="20"/>
  <c r="AG230" i="20"/>
  <c r="P229" i="20"/>
  <c r="AI229" i="20"/>
  <c r="AJ229" i="20"/>
  <c r="AG229" i="20"/>
  <c r="P228" i="20"/>
  <c r="AI228" i="20"/>
  <c r="AJ228" i="20"/>
  <c r="AG228" i="20"/>
  <c r="P227" i="20"/>
  <c r="AI227" i="20"/>
  <c r="AJ227" i="20"/>
  <c r="AG227" i="20"/>
  <c r="P226" i="20"/>
  <c r="AI226" i="20"/>
  <c r="AJ226" i="20"/>
  <c r="AG226" i="20"/>
  <c r="P225" i="20"/>
  <c r="AI225" i="20"/>
  <c r="AJ225" i="20"/>
  <c r="AG225" i="20"/>
  <c r="P224" i="20"/>
  <c r="AI224" i="20"/>
  <c r="AJ224" i="20"/>
  <c r="AG224" i="20"/>
  <c r="P223" i="20"/>
  <c r="AI223" i="20"/>
  <c r="AJ223" i="20"/>
  <c r="AG223" i="20"/>
  <c r="P222" i="20"/>
  <c r="AI222" i="20"/>
  <c r="AJ222" i="20"/>
  <c r="AG222" i="20"/>
  <c r="P221" i="20"/>
  <c r="AI221" i="20"/>
  <c r="AJ221" i="20"/>
  <c r="AG221" i="20"/>
  <c r="P220" i="20"/>
  <c r="AI220" i="20"/>
  <c r="AJ220" i="20"/>
  <c r="AG220" i="20"/>
  <c r="P219" i="20"/>
  <c r="AI219" i="20"/>
  <c r="AJ219" i="20"/>
  <c r="AG219" i="20"/>
  <c r="P218" i="20"/>
  <c r="AI218" i="20"/>
  <c r="AJ218" i="20"/>
  <c r="AG218" i="20"/>
  <c r="P217" i="20"/>
  <c r="AI217" i="20"/>
  <c r="AJ217" i="20"/>
  <c r="AG217" i="20"/>
  <c r="P216" i="20"/>
  <c r="AI216" i="20"/>
  <c r="AJ216" i="20"/>
  <c r="AG216" i="20"/>
  <c r="P215" i="20"/>
  <c r="AI215" i="20"/>
  <c r="AJ215" i="20"/>
  <c r="AG215" i="20"/>
  <c r="P214" i="20"/>
  <c r="AI214" i="20"/>
  <c r="AJ214" i="20"/>
  <c r="AG214" i="20"/>
  <c r="P213" i="20"/>
  <c r="AI213" i="20"/>
  <c r="AJ213" i="20"/>
  <c r="AG213" i="20"/>
  <c r="P212" i="20"/>
  <c r="AI212" i="20"/>
  <c r="AJ212" i="20"/>
  <c r="AG212" i="20"/>
  <c r="P211" i="20"/>
  <c r="AI211" i="20"/>
  <c r="AJ211" i="20"/>
  <c r="AG211" i="20"/>
  <c r="P210" i="20"/>
  <c r="AI210" i="20"/>
  <c r="AJ210" i="20"/>
  <c r="AG210" i="20"/>
  <c r="P209" i="20"/>
  <c r="AI209" i="20"/>
  <c r="AJ209" i="20"/>
  <c r="AG209" i="20"/>
  <c r="P208" i="20"/>
  <c r="AI208" i="20"/>
  <c r="AJ208" i="20"/>
  <c r="AG208" i="20"/>
  <c r="P207" i="20"/>
  <c r="AI207" i="20"/>
  <c r="AJ207" i="20"/>
  <c r="AG207" i="20"/>
  <c r="P206" i="20"/>
  <c r="AI206" i="20"/>
  <c r="AJ206" i="20"/>
  <c r="AG206" i="20"/>
  <c r="P205" i="20"/>
  <c r="AI205" i="20"/>
  <c r="AJ205" i="20"/>
  <c r="AG205" i="20"/>
  <c r="P204" i="20"/>
  <c r="AI204" i="20"/>
  <c r="AJ204" i="20"/>
  <c r="AG204" i="20"/>
  <c r="P203" i="20"/>
  <c r="AI203" i="20"/>
  <c r="AJ203" i="20"/>
  <c r="AG203" i="20"/>
  <c r="P202" i="20"/>
  <c r="AI202" i="20"/>
  <c r="AJ202" i="20"/>
  <c r="AG202" i="20"/>
  <c r="P201" i="20"/>
  <c r="AI201" i="20"/>
  <c r="AJ201" i="20"/>
  <c r="AG201" i="20"/>
  <c r="P200" i="20"/>
  <c r="AI200" i="20"/>
  <c r="AJ200" i="20"/>
  <c r="AG200" i="20"/>
  <c r="P199" i="20"/>
  <c r="AI199" i="20"/>
  <c r="AJ199" i="20"/>
  <c r="AG199" i="20"/>
  <c r="P198" i="20"/>
  <c r="AI198" i="20"/>
  <c r="AJ198" i="20"/>
  <c r="AG198" i="20"/>
  <c r="AJ197" i="20"/>
  <c r="AG197" i="20"/>
  <c r="AJ196" i="20"/>
  <c r="AG196" i="20"/>
  <c r="AJ195" i="20"/>
  <c r="AG195" i="20"/>
  <c r="AJ194" i="20"/>
  <c r="AG194" i="20"/>
  <c r="AJ193" i="20"/>
  <c r="AG193" i="20"/>
  <c r="AJ192" i="20"/>
  <c r="AG192" i="20"/>
  <c r="AJ191" i="20"/>
  <c r="AG191" i="20"/>
  <c r="AJ190" i="20"/>
  <c r="AG190" i="20"/>
  <c r="AJ189" i="20"/>
  <c r="AG189" i="20"/>
  <c r="AJ188" i="20"/>
  <c r="AG188" i="20"/>
  <c r="AJ187" i="20"/>
  <c r="AG187" i="20"/>
  <c r="AJ186" i="20"/>
  <c r="AG186" i="20"/>
  <c r="AJ185" i="20"/>
  <c r="AG185" i="20"/>
  <c r="AJ184" i="20"/>
  <c r="AG184" i="20"/>
  <c r="AJ183" i="20"/>
  <c r="AG183" i="20"/>
  <c r="AJ182" i="20"/>
  <c r="AG182" i="20"/>
  <c r="AJ181" i="20"/>
  <c r="AG181" i="20"/>
  <c r="AJ180" i="20"/>
  <c r="AG180" i="20"/>
  <c r="AJ179" i="20"/>
  <c r="AG179" i="20"/>
  <c r="AJ178" i="20"/>
  <c r="AG178" i="20"/>
  <c r="AJ177" i="20"/>
  <c r="AG177" i="20"/>
  <c r="AJ176" i="20"/>
  <c r="AG176" i="20"/>
  <c r="AJ175" i="20"/>
  <c r="AG175" i="20"/>
  <c r="AJ174" i="20"/>
  <c r="AG174" i="20"/>
  <c r="AJ173" i="20"/>
  <c r="AG173" i="20"/>
  <c r="AJ172" i="20"/>
  <c r="AG172" i="20"/>
  <c r="AJ171" i="20"/>
  <c r="AG171" i="20"/>
  <c r="AJ170" i="20"/>
  <c r="AG170" i="20"/>
  <c r="AJ169" i="20"/>
  <c r="AG169" i="20"/>
  <c r="AJ168" i="20"/>
  <c r="AG168" i="20"/>
  <c r="AJ167" i="20"/>
  <c r="AG167" i="20"/>
  <c r="AJ166" i="20"/>
  <c r="AG166" i="20"/>
  <c r="AJ165" i="20"/>
  <c r="AG165" i="20"/>
  <c r="AJ164" i="20"/>
  <c r="AG164" i="20"/>
  <c r="AJ163" i="20"/>
  <c r="AG163" i="20"/>
  <c r="AJ162" i="20"/>
  <c r="AG162" i="20"/>
  <c r="AJ161" i="20"/>
  <c r="AG161" i="20"/>
  <c r="AJ160" i="20"/>
  <c r="AG160" i="20"/>
  <c r="AJ159" i="20"/>
  <c r="AG159" i="20"/>
  <c r="AJ158" i="20"/>
  <c r="AG158" i="20"/>
  <c r="AJ157" i="20"/>
  <c r="AG157" i="20"/>
  <c r="AJ156" i="20"/>
  <c r="AG156" i="20"/>
  <c r="AJ155" i="20"/>
  <c r="AG155" i="20"/>
  <c r="AJ154" i="20"/>
  <c r="AG154" i="20"/>
  <c r="AJ153" i="20"/>
  <c r="AG153" i="20"/>
  <c r="AJ152" i="20"/>
  <c r="AG152" i="20"/>
  <c r="AJ151" i="20"/>
  <c r="AG151" i="20"/>
  <c r="AJ150" i="20"/>
  <c r="AG150" i="20"/>
  <c r="AJ149" i="20"/>
  <c r="AG149" i="20"/>
  <c r="AJ148" i="20"/>
  <c r="AG148" i="20"/>
  <c r="AJ147" i="20"/>
  <c r="AG147" i="20"/>
  <c r="AJ146" i="20"/>
  <c r="AG146" i="20"/>
  <c r="AJ145" i="20"/>
  <c r="AG145" i="20"/>
  <c r="AJ144" i="20"/>
  <c r="AG144" i="20"/>
  <c r="AJ143" i="20"/>
  <c r="AG143" i="20"/>
  <c r="AJ142" i="20"/>
  <c r="AG142" i="20"/>
  <c r="AJ141" i="20"/>
  <c r="AG141" i="20"/>
  <c r="AJ140" i="20"/>
  <c r="AG140" i="20"/>
  <c r="AJ139" i="20"/>
  <c r="AG139" i="20"/>
  <c r="AJ138" i="20"/>
  <c r="AG138" i="20"/>
  <c r="AJ137" i="20"/>
  <c r="AG137" i="20"/>
  <c r="AJ136" i="20"/>
  <c r="AG136" i="20"/>
  <c r="AJ135" i="20"/>
  <c r="AG135" i="20"/>
  <c r="AJ134" i="20"/>
  <c r="AG134" i="20"/>
  <c r="AJ133" i="20"/>
  <c r="AG133" i="20"/>
  <c r="AJ132" i="20"/>
  <c r="AG132" i="20"/>
  <c r="AJ131" i="20"/>
  <c r="AG131" i="20"/>
  <c r="AJ130" i="20"/>
  <c r="AG130" i="20"/>
  <c r="AJ129" i="20"/>
  <c r="AG129" i="20"/>
  <c r="AJ128" i="20"/>
  <c r="AG128" i="20"/>
  <c r="AJ127" i="20"/>
  <c r="AG127" i="20"/>
  <c r="AJ126" i="20"/>
  <c r="AG126" i="20"/>
  <c r="AJ125" i="20"/>
  <c r="AG125" i="20"/>
  <c r="AJ124" i="20"/>
  <c r="AG124" i="20"/>
  <c r="AJ123" i="20"/>
  <c r="AG123" i="20"/>
  <c r="AJ122" i="20"/>
  <c r="AG122" i="20"/>
  <c r="AJ121" i="20"/>
  <c r="AG121" i="20"/>
  <c r="AJ120" i="20"/>
  <c r="AG120" i="20"/>
  <c r="AJ119" i="20"/>
  <c r="AG119" i="20"/>
  <c r="AJ118" i="20"/>
  <c r="AG118" i="20"/>
  <c r="AJ117" i="20"/>
  <c r="AG117" i="20"/>
  <c r="AJ116" i="20"/>
  <c r="AG116" i="20"/>
  <c r="AJ115" i="20"/>
  <c r="AG115" i="20"/>
  <c r="AJ114" i="20"/>
  <c r="AG114" i="20"/>
  <c r="AJ113" i="20"/>
  <c r="AG113" i="20"/>
  <c r="AJ112" i="20"/>
  <c r="AG112" i="20"/>
  <c r="AJ111" i="20"/>
  <c r="AG111" i="20"/>
  <c r="AJ110" i="20"/>
  <c r="AG110" i="20"/>
  <c r="AJ109" i="20"/>
  <c r="AG109" i="20"/>
  <c r="AJ108" i="20"/>
  <c r="AG108" i="20"/>
  <c r="AJ107" i="20"/>
  <c r="AG107" i="20"/>
  <c r="AJ106" i="20"/>
  <c r="AG106" i="20"/>
  <c r="AJ105" i="20"/>
  <c r="AG105" i="20"/>
  <c r="AJ104" i="20"/>
  <c r="AG104" i="20"/>
  <c r="AJ103" i="20"/>
  <c r="AG103" i="20"/>
  <c r="AJ102" i="20"/>
  <c r="AG102" i="20"/>
  <c r="AJ101" i="20"/>
  <c r="AG101" i="20"/>
  <c r="AJ100" i="20"/>
  <c r="AG100" i="20"/>
  <c r="AJ99" i="20"/>
  <c r="AG99" i="20"/>
  <c r="AJ98" i="20"/>
  <c r="AG98" i="20"/>
  <c r="AJ97" i="20"/>
  <c r="AG97" i="20"/>
  <c r="AJ96" i="20"/>
  <c r="AG96" i="20"/>
  <c r="AJ95" i="20"/>
  <c r="AG95" i="20"/>
  <c r="AJ94" i="20"/>
  <c r="AG94" i="20"/>
  <c r="AJ93" i="20"/>
  <c r="AG93" i="20"/>
  <c r="AJ92" i="20"/>
  <c r="AG92" i="20"/>
  <c r="AJ91" i="20"/>
  <c r="AG91" i="20"/>
  <c r="AJ90" i="20"/>
  <c r="AG90" i="20"/>
  <c r="AJ89" i="20"/>
  <c r="AG89" i="20"/>
  <c r="AJ88" i="20"/>
  <c r="AG88" i="20"/>
  <c r="AJ87" i="20"/>
  <c r="AG87" i="20"/>
  <c r="AJ86" i="20"/>
  <c r="AG86" i="20"/>
  <c r="AJ85" i="20"/>
  <c r="AG85" i="20"/>
  <c r="AJ84" i="20"/>
  <c r="AG84" i="20"/>
  <c r="AJ83" i="20"/>
  <c r="AG83" i="20"/>
  <c r="AJ82" i="20"/>
  <c r="AG82" i="20"/>
  <c r="AJ81" i="20"/>
  <c r="AG81" i="20"/>
  <c r="AJ80" i="20"/>
  <c r="AG80" i="20"/>
  <c r="AJ79" i="20"/>
  <c r="AG79" i="20"/>
  <c r="AJ78" i="20"/>
  <c r="AG78" i="20"/>
  <c r="AJ77" i="20"/>
  <c r="AG77" i="20"/>
  <c r="AJ76" i="20"/>
  <c r="AG76" i="20"/>
  <c r="AJ75" i="20"/>
  <c r="AG75" i="20"/>
  <c r="AJ74" i="20"/>
  <c r="AG74" i="20"/>
  <c r="AJ73" i="20"/>
  <c r="AG73" i="20"/>
  <c r="AJ72" i="20"/>
  <c r="AG72" i="20"/>
  <c r="AJ71" i="20"/>
  <c r="AG71" i="20"/>
  <c r="AJ70" i="20"/>
  <c r="AG70" i="20"/>
  <c r="AJ69" i="20"/>
  <c r="AG69" i="20"/>
  <c r="AJ68" i="20"/>
  <c r="AG68" i="20"/>
  <c r="AJ67" i="20"/>
  <c r="AG67" i="20"/>
  <c r="AJ66" i="20"/>
  <c r="AG66" i="20"/>
  <c r="AJ65" i="20"/>
  <c r="AG65" i="20"/>
  <c r="AJ64" i="20"/>
  <c r="AG64" i="20"/>
  <c r="AJ63" i="20"/>
  <c r="AG63" i="20"/>
  <c r="AJ62" i="20"/>
  <c r="AG62" i="20"/>
  <c r="AJ61" i="20"/>
  <c r="AG61" i="20"/>
  <c r="AJ60" i="20"/>
  <c r="AG60" i="20"/>
  <c r="AJ59" i="20"/>
  <c r="AG59" i="20"/>
  <c r="AJ58" i="20"/>
  <c r="AG58" i="20"/>
  <c r="AJ57" i="20"/>
  <c r="AG57" i="20"/>
  <c r="AJ56" i="20"/>
  <c r="AG56" i="20"/>
  <c r="AJ55" i="20"/>
  <c r="AG55" i="20"/>
  <c r="AJ54" i="20"/>
  <c r="AG54" i="20"/>
  <c r="AJ53" i="20"/>
  <c r="AG53" i="20"/>
  <c r="AJ52" i="20"/>
  <c r="AG52" i="20"/>
  <c r="AJ51" i="20"/>
  <c r="AG51" i="20"/>
  <c r="AJ50" i="20"/>
  <c r="AG50" i="20"/>
  <c r="AJ49" i="20"/>
  <c r="AG49" i="20"/>
  <c r="AJ48" i="20"/>
  <c r="AG48" i="20"/>
  <c r="AJ47" i="20"/>
  <c r="AG47" i="20"/>
  <c r="AJ46" i="20"/>
  <c r="AG46" i="20"/>
  <c r="AJ45" i="20"/>
  <c r="AG45" i="20"/>
  <c r="AJ44" i="20"/>
  <c r="AG44" i="20"/>
  <c r="AJ43" i="20"/>
  <c r="AG43" i="20"/>
  <c r="AJ42" i="20"/>
  <c r="AG42" i="20"/>
  <c r="AJ41" i="20"/>
  <c r="AG41" i="20"/>
  <c r="AJ40" i="20"/>
  <c r="AG40" i="20"/>
  <c r="AJ39" i="20"/>
  <c r="AG39" i="20"/>
  <c r="AJ38" i="20"/>
  <c r="AG38" i="20"/>
  <c r="AJ37" i="20"/>
  <c r="AG37" i="20"/>
  <c r="AJ36" i="20"/>
  <c r="AG36" i="20"/>
  <c r="AJ35" i="20"/>
  <c r="AG35" i="20"/>
  <c r="AJ34" i="20"/>
  <c r="AG34" i="20"/>
  <c r="AJ33" i="20"/>
  <c r="AG33" i="20"/>
  <c r="AJ32" i="20"/>
  <c r="AG32" i="20"/>
  <c r="AJ31" i="20"/>
  <c r="AG31" i="20"/>
  <c r="AJ30" i="20"/>
  <c r="AG30" i="20"/>
  <c r="AJ29" i="20"/>
  <c r="AG29" i="20"/>
  <c r="AJ28" i="20"/>
  <c r="AG28" i="20"/>
  <c r="AJ27" i="20"/>
  <c r="AG27" i="20"/>
  <c r="AJ26" i="20"/>
  <c r="AG26" i="20"/>
  <c r="AJ25" i="20"/>
  <c r="AG25" i="20"/>
  <c r="AJ24" i="20"/>
  <c r="AG24" i="20"/>
  <c r="AJ23" i="20"/>
  <c r="AG23" i="20"/>
  <c r="AJ22" i="20"/>
  <c r="AG22" i="20"/>
  <c r="AJ21" i="20"/>
  <c r="AG21" i="20"/>
  <c r="AJ20" i="20"/>
  <c r="AG20" i="20"/>
  <c r="AJ19" i="20"/>
  <c r="AG19" i="20"/>
  <c r="AJ18" i="20"/>
  <c r="AG18" i="20"/>
  <c r="AJ17" i="20"/>
  <c r="AG17" i="20"/>
  <c r="AJ16" i="20"/>
  <c r="AG16" i="20"/>
  <c r="AJ15" i="20"/>
  <c r="AG15" i="20"/>
  <c r="AJ14" i="20"/>
  <c r="AG14" i="20"/>
  <c r="AJ13" i="20"/>
  <c r="AG13" i="20"/>
  <c r="AJ12" i="20"/>
  <c r="AG12" i="20"/>
  <c r="AJ11" i="20"/>
  <c r="AG11" i="20"/>
  <c r="AJ10" i="20"/>
  <c r="AG10" i="20"/>
  <c r="AJ9" i="20"/>
  <c r="AG9" i="20"/>
  <c r="AJ8" i="20"/>
  <c r="AG8" i="20"/>
  <c r="AJ7" i="20"/>
  <c r="AG7" i="20"/>
  <c r="AJ6" i="20"/>
  <c r="AG6" i="20"/>
  <c r="AK293" i="27"/>
  <c r="AJ293" i="27"/>
  <c r="AI293" i="27"/>
  <c r="AG293" i="27"/>
  <c r="AA293" i="27"/>
  <c r="V293" i="27"/>
  <c r="P293" i="27"/>
  <c r="L293" i="27"/>
  <c r="AK292" i="27"/>
  <c r="AJ292" i="27"/>
  <c r="AI292" i="27"/>
  <c r="AG292" i="27"/>
  <c r="AA292" i="27"/>
  <c r="V292" i="27"/>
  <c r="P292" i="27"/>
  <c r="L292" i="27"/>
  <c r="AK291" i="27"/>
  <c r="AJ291" i="27"/>
  <c r="AI291" i="27"/>
  <c r="AG291" i="27"/>
  <c r="AA291" i="27"/>
  <c r="V291" i="27"/>
  <c r="P291" i="27"/>
  <c r="L291" i="27"/>
  <c r="AK290" i="27"/>
  <c r="AJ290" i="27"/>
  <c r="AI290" i="27"/>
  <c r="AG290" i="27"/>
  <c r="AA290" i="27"/>
  <c r="V290" i="27"/>
  <c r="P290" i="27"/>
  <c r="L290" i="27"/>
  <c r="AK289" i="27"/>
  <c r="AJ289" i="27"/>
  <c r="AI289" i="27"/>
  <c r="AG289" i="27"/>
  <c r="AA289" i="27"/>
  <c r="V289" i="27"/>
  <c r="P289" i="27"/>
  <c r="L289" i="27"/>
  <c r="AK288" i="27"/>
  <c r="AJ288" i="27"/>
  <c r="AI288" i="27"/>
  <c r="AG288" i="27"/>
  <c r="AA288" i="27"/>
  <c r="V288" i="27"/>
  <c r="P288" i="27"/>
  <c r="L288" i="27"/>
  <c r="AK287" i="27"/>
  <c r="AJ287" i="27"/>
  <c r="AI287" i="27"/>
  <c r="AG287" i="27"/>
  <c r="AA287" i="27"/>
  <c r="V287" i="27"/>
  <c r="P287" i="27"/>
  <c r="L287" i="27"/>
  <c r="AK286" i="27"/>
  <c r="AJ286" i="27"/>
  <c r="AI286" i="27"/>
  <c r="AG286" i="27"/>
  <c r="AA286" i="27"/>
  <c r="V286" i="27"/>
  <c r="P286" i="27"/>
  <c r="L286" i="27"/>
  <c r="AK285" i="27"/>
  <c r="AJ285" i="27"/>
  <c r="AI285" i="27"/>
  <c r="AG285" i="27"/>
  <c r="AA285" i="27"/>
  <c r="V285" i="27"/>
  <c r="P285" i="27"/>
  <c r="L285" i="27"/>
  <c r="AK284" i="27"/>
  <c r="AJ284" i="27"/>
  <c r="AI284" i="27"/>
  <c r="AG284" i="27"/>
  <c r="AA284" i="27"/>
  <c r="V284" i="27"/>
  <c r="P284" i="27"/>
  <c r="L284" i="27"/>
  <c r="AK283" i="27"/>
  <c r="AJ283" i="27"/>
  <c r="AI283" i="27"/>
  <c r="AG283" i="27"/>
  <c r="AA283" i="27"/>
  <c r="V283" i="27"/>
  <c r="P283" i="27"/>
  <c r="L283" i="27"/>
  <c r="AK282" i="27"/>
  <c r="AJ282" i="27"/>
  <c r="AI282" i="27"/>
  <c r="AG282" i="27"/>
  <c r="AA282" i="27"/>
  <c r="V282" i="27"/>
  <c r="P282" i="27"/>
  <c r="L282" i="27"/>
  <c r="AK281" i="27"/>
  <c r="AJ281" i="27"/>
  <c r="AI281" i="27"/>
  <c r="AG281" i="27"/>
  <c r="AA281" i="27"/>
  <c r="V281" i="27"/>
  <c r="P281" i="27"/>
  <c r="L281" i="27"/>
  <c r="AK280" i="27"/>
  <c r="AJ280" i="27"/>
  <c r="AI280" i="27"/>
  <c r="AG280" i="27"/>
  <c r="AA280" i="27"/>
  <c r="V280" i="27"/>
  <c r="P280" i="27"/>
  <c r="L280" i="27"/>
  <c r="AK279" i="27"/>
  <c r="AJ279" i="27"/>
  <c r="AI279" i="27"/>
  <c r="AG279" i="27"/>
  <c r="AA279" i="27"/>
  <c r="V279" i="27"/>
  <c r="P279" i="27"/>
  <c r="L279" i="27"/>
  <c r="AK278" i="27"/>
  <c r="AJ278" i="27"/>
  <c r="AI278" i="27"/>
  <c r="AG278" i="27"/>
  <c r="AA278" i="27"/>
  <c r="V278" i="27"/>
  <c r="P278" i="27"/>
  <c r="L278" i="27"/>
  <c r="AK277" i="27"/>
  <c r="AJ277" i="27"/>
  <c r="AI277" i="27"/>
  <c r="AG277" i="27"/>
  <c r="AA277" i="27"/>
  <c r="V277" i="27"/>
  <c r="P277" i="27"/>
  <c r="L277" i="27"/>
  <c r="AK276" i="27"/>
  <c r="AJ276" i="27"/>
  <c r="AI276" i="27"/>
  <c r="AG276" i="27"/>
  <c r="AA276" i="27"/>
  <c r="V276" i="27"/>
  <c r="P276" i="27"/>
  <c r="L276" i="27"/>
  <c r="AK275" i="27"/>
  <c r="AJ275" i="27"/>
  <c r="AI275" i="27"/>
  <c r="AG275" i="27"/>
  <c r="AA275" i="27"/>
  <c r="V275" i="27"/>
  <c r="P275" i="27"/>
  <c r="L275" i="27"/>
  <c r="AK274" i="27"/>
  <c r="AJ274" i="27"/>
  <c r="AI274" i="27"/>
  <c r="AG274" i="27"/>
  <c r="AA274" i="27"/>
  <c r="V274" i="27"/>
  <c r="P274" i="27"/>
  <c r="L274" i="27"/>
  <c r="AK273" i="27"/>
  <c r="AJ273" i="27"/>
  <c r="AI273" i="27"/>
  <c r="AG273" i="27"/>
  <c r="AA273" i="27"/>
  <c r="V273" i="27"/>
  <c r="P273" i="27"/>
  <c r="L273" i="27"/>
  <c r="AK272" i="27"/>
  <c r="AJ272" i="27"/>
  <c r="AI272" i="27"/>
  <c r="AG272" i="27"/>
  <c r="AA272" i="27"/>
  <c r="V272" i="27"/>
  <c r="P272" i="27"/>
  <c r="L272" i="27"/>
  <c r="AK271" i="27"/>
  <c r="AJ271" i="27"/>
  <c r="AI271" i="27"/>
  <c r="AG271" i="27"/>
  <c r="AA271" i="27"/>
  <c r="V271" i="27"/>
  <c r="P271" i="27"/>
  <c r="L271" i="27"/>
  <c r="AK270" i="27"/>
  <c r="AJ270" i="27"/>
  <c r="AI270" i="27"/>
  <c r="AG270" i="27"/>
  <c r="AA270" i="27"/>
  <c r="V270" i="27"/>
  <c r="P270" i="27"/>
  <c r="L270" i="27"/>
  <c r="AK269" i="27"/>
  <c r="AJ269" i="27"/>
  <c r="AI269" i="27"/>
  <c r="AG269" i="27"/>
  <c r="AA269" i="27"/>
  <c r="V269" i="27"/>
  <c r="P269" i="27"/>
  <c r="L269" i="27"/>
  <c r="AK268" i="27"/>
  <c r="AJ268" i="27"/>
  <c r="AI268" i="27"/>
  <c r="AG268" i="27"/>
  <c r="AA268" i="27"/>
  <c r="V268" i="27"/>
  <c r="P268" i="27"/>
  <c r="L268" i="27"/>
  <c r="AK267" i="27"/>
  <c r="AJ267" i="27"/>
  <c r="AI267" i="27"/>
  <c r="AG267" i="27"/>
  <c r="AA267" i="27"/>
  <c r="V267" i="27"/>
  <c r="P267" i="27"/>
  <c r="L267" i="27"/>
  <c r="AK266" i="27"/>
  <c r="AJ266" i="27"/>
  <c r="AI266" i="27"/>
  <c r="AG266" i="27"/>
  <c r="AA266" i="27"/>
  <c r="V266" i="27"/>
  <c r="P266" i="27"/>
  <c r="L266" i="27"/>
  <c r="AK265" i="27"/>
  <c r="AJ265" i="27"/>
  <c r="AI265" i="27"/>
  <c r="AG265" i="27"/>
  <c r="AA265" i="27"/>
  <c r="V265" i="27"/>
  <c r="P265" i="27"/>
  <c r="L265" i="27"/>
  <c r="AK264" i="27"/>
  <c r="AJ264" i="27"/>
  <c r="AI264" i="27"/>
  <c r="AG264" i="27"/>
  <c r="AA264" i="27"/>
  <c r="V264" i="27"/>
  <c r="P264" i="27"/>
  <c r="L264" i="27"/>
  <c r="AK263" i="27"/>
  <c r="AJ263" i="27"/>
  <c r="AI263" i="27"/>
  <c r="AG263" i="27"/>
  <c r="AA263" i="27"/>
  <c r="V263" i="27"/>
  <c r="P263" i="27"/>
  <c r="L263" i="27"/>
  <c r="AK262" i="27"/>
  <c r="AJ262" i="27"/>
  <c r="AI262" i="27"/>
  <c r="AG262" i="27"/>
  <c r="AA262" i="27"/>
  <c r="V262" i="27"/>
  <c r="P262" i="27"/>
  <c r="L262" i="27"/>
  <c r="AK261" i="27"/>
  <c r="AJ261" i="27"/>
  <c r="AI261" i="27"/>
  <c r="AG261" i="27"/>
  <c r="AA261" i="27"/>
  <c r="V261" i="27"/>
  <c r="P261" i="27"/>
  <c r="L261" i="27"/>
  <c r="AK260" i="27"/>
  <c r="AJ260" i="27"/>
  <c r="AI260" i="27"/>
  <c r="AG260" i="27"/>
  <c r="AA260" i="27"/>
  <c r="V260" i="27"/>
  <c r="P260" i="27"/>
  <c r="L260" i="27"/>
  <c r="AK259" i="27"/>
  <c r="AJ259" i="27"/>
  <c r="AI259" i="27"/>
  <c r="AG259" i="27"/>
  <c r="AA259" i="27"/>
  <c r="V259" i="27"/>
  <c r="P259" i="27"/>
  <c r="L259" i="27"/>
  <c r="AK258" i="27"/>
  <c r="AJ258" i="27"/>
  <c r="AI258" i="27"/>
  <c r="AG258" i="27"/>
  <c r="AA258" i="27"/>
  <c r="V258" i="27"/>
  <c r="P258" i="27"/>
  <c r="L258" i="27"/>
  <c r="AK257" i="27"/>
  <c r="AJ257" i="27"/>
  <c r="AI257" i="27"/>
  <c r="AG257" i="27"/>
  <c r="AA257" i="27"/>
  <c r="V257" i="27"/>
  <c r="P257" i="27"/>
  <c r="L257" i="27"/>
  <c r="AK256" i="27"/>
  <c r="AJ256" i="27"/>
  <c r="AI256" i="27"/>
  <c r="AG256" i="27"/>
  <c r="AA256" i="27"/>
  <c r="V256" i="27"/>
  <c r="P256" i="27"/>
  <c r="L256" i="27"/>
  <c r="AK255" i="27"/>
  <c r="AJ255" i="27"/>
  <c r="AI255" i="27"/>
  <c r="AG255" i="27"/>
  <c r="AA255" i="27"/>
  <c r="V255" i="27"/>
  <c r="P255" i="27"/>
  <c r="L255" i="27"/>
  <c r="AK254" i="27"/>
  <c r="AJ254" i="27"/>
  <c r="AI254" i="27"/>
  <c r="AG254" i="27"/>
  <c r="AA254" i="27"/>
  <c r="V254" i="27"/>
  <c r="P254" i="27"/>
  <c r="L254" i="27"/>
  <c r="AK253" i="27"/>
  <c r="AJ253" i="27"/>
  <c r="AI253" i="27"/>
  <c r="AG253" i="27"/>
  <c r="AA253" i="27"/>
  <c r="V253" i="27"/>
  <c r="P253" i="27"/>
  <c r="L253" i="27"/>
  <c r="AK252" i="27"/>
  <c r="AJ252" i="27"/>
  <c r="AI252" i="27"/>
  <c r="AG252" i="27"/>
  <c r="AA252" i="27"/>
  <c r="V252" i="27"/>
  <c r="P252" i="27"/>
  <c r="L252" i="27"/>
  <c r="AK251" i="27"/>
  <c r="AJ251" i="27"/>
  <c r="AI251" i="27"/>
  <c r="AG251" i="27"/>
  <c r="AA251" i="27"/>
  <c r="V251" i="27"/>
  <c r="P251" i="27"/>
  <c r="L251" i="27"/>
  <c r="AK250" i="27"/>
  <c r="AJ250" i="27"/>
  <c r="AI250" i="27"/>
  <c r="AG250" i="27"/>
  <c r="AA250" i="27"/>
  <c r="V250" i="27"/>
  <c r="P250" i="27"/>
  <c r="L250" i="27"/>
  <c r="AK249" i="27"/>
  <c r="AJ249" i="27"/>
  <c r="AI249" i="27"/>
  <c r="AG249" i="27"/>
  <c r="AA249" i="27"/>
  <c r="V249" i="27"/>
  <c r="P249" i="27"/>
  <c r="L249" i="27"/>
  <c r="AK248" i="27"/>
  <c r="AJ248" i="27"/>
  <c r="AI248" i="27"/>
  <c r="AG248" i="27"/>
  <c r="AA248" i="27"/>
  <c r="V248" i="27"/>
  <c r="P248" i="27"/>
  <c r="L248" i="27"/>
  <c r="AK247" i="27"/>
  <c r="AJ247" i="27"/>
  <c r="AI247" i="27"/>
  <c r="AG247" i="27"/>
  <c r="AA247" i="27"/>
  <c r="V247" i="27"/>
  <c r="P247" i="27"/>
  <c r="L247" i="27"/>
  <c r="AK246" i="27"/>
  <c r="AJ246" i="27"/>
  <c r="AI246" i="27"/>
  <c r="AG246" i="27"/>
  <c r="AA246" i="27"/>
  <c r="V246" i="27"/>
  <c r="P246" i="27"/>
  <c r="L246" i="27"/>
  <c r="AK245" i="27"/>
  <c r="AJ245" i="27"/>
  <c r="AI245" i="27"/>
  <c r="AG245" i="27"/>
  <c r="AA245" i="27"/>
  <c r="V245" i="27"/>
  <c r="P245" i="27"/>
  <c r="L245" i="27"/>
  <c r="AK244" i="27"/>
  <c r="AJ244" i="27"/>
  <c r="AI244" i="27"/>
  <c r="AG244" i="27"/>
  <c r="AA244" i="27"/>
  <c r="V244" i="27"/>
  <c r="P244" i="27"/>
  <c r="L244" i="27"/>
  <c r="AK243" i="27"/>
  <c r="AJ243" i="27"/>
  <c r="AI243" i="27"/>
  <c r="AG243" i="27"/>
  <c r="AA243" i="27"/>
  <c r="V243" i="27"/>
  <c r="P243" i="27"/>
  <c r="L243" i="27"/>
  <c r="AK242" i="27"/>
  <c r="AJ242" i="27"/>
  <c r="AI242" i="27"/>
  <c r="AG242" i="27"/>
  <c r="AA242" i="27"/>
  <c r="V242" i="27"/>
  <c r="P242" i="27"/>
  <c r="L242" i="27"/>
  <c r="AK241" i="27"/>
  <c r="AJ241" i="27"/>
  <c r="AI241" i="27"/>
  <c r="AG241" i="27"/>
  <c r="AA241" i="27"/>
  <c r="V241" i="27"/>
  <c r="P241" i="27"/>
  <c r="L241" i="27"/>
  <c r="AK240" i="27"/>
  <c r="AJ240" i="27"/>
  <c r="AI240" i="27"/>
  <c r="AG240" i="27"/>
  <c r="AA240" i="27"/>
  <c r="V240" i="27"/>
  <c r="P240" i="27"/>
  <c r="L240" i="27"/>
  <c r="AK239" i="27"/>
  <c r="AJ239" i="27"/>
  <c r="AI239" i="27"/>
  <c r="AG239" i="27"/>
  <c r="AA239" i="27"/>
  <c r="V239" i="27"/>
  <c r="P239" i="27"/>
  <c r="L239" i="27"/>
  <c r="AK238" i="27"/>
  <c r="AJ238" i="27"/>
  <c r="AI238" i="27"/>
  <c r="AG238" i="27"/>
  <c r="AA238" i="27"/>
  <c r="V238" i="27"/>
  <c r="P238" i="27"/>
  <c r="L238" i="27"/>
  <c r="AK237" i="27"/>
  <c r="AJ237" i="27"/>
  <c r="AI237" i="27"/>
  <c r="AG237" i="27"/>
  <c r="AA237" i="27"/>
  <c r="V237" i="27"/>
  <c r="P237" i="27"/>
  <c r="L237" i="27"/>
  <c r="AK236" i="27"/>
  <c r="AJ236" i="27"/>
  <c r="AI236" i="27"/>
  <c r="AG236" i="27"/>
  <c r="AA236" i="27"/>
  <c r="V236" i="27"/>
  <c r="P236" i="27"/>
  <c r="L236" i="27"/>
  <c r="AK235" i="27"/>
  <c r="AJ235" i="27"/>
  <c r="AI235" i="27"/>
  <c r="AG235" i="27"/>
  <c r="AA235" i="27"/>
  <c r="V235" i="27"/>
  <c r="P235" i="27"/>
  <c r="L235" i="27"/>
  <c r="AK234" i="27"/>
  <c r="AJ234" i="27"/>
  <c r="AI234" i="27"/>
  <c r="AG234" i="27"/>
  <c r="AA234" i="27"/>
  <c r="V234" i="27"/>
  <c r="P234" i="27"/>
  <c r="L234" i="27"/>
  <c r="AK233" i="27"/>
  <c r="AJ233" i="27"/>
  <c r="AI233" i="27"/>
  <c r="AG233" i="27"/>
  <c r="AA233" i="27"/>
  <c r="V233" i="27"/>
  <c r="P233" i="27"/>
  <c r="L233" i="27"/>
  <c r="AK232" i="27"/>
  <c r="AJ232" i="27"/>
  <c r="AI232" i="27"/>
  <c r="AG232" i="27"/>
  <c r="AA232" i="27"/>
  <c r="V232" i="27"/>
  <c r="P232" i="27"/>
  <c r="L232" i="27"/>
  <c r="AK231" i="27"/>
  <c r="AJ231" i="27"/>
  <c r="AI231" i="27"/>
  <c r="AG231" i="27"/>
  <c r="AA231" i="27"/>
  <c r="V231" i="27"/>
  <c r="P231" i="27"/>
  <c r="L231" i="27"/>
  <c r="AK230" i="27"/>
  <c r="AJ230" i="27"/>
  <c r="AI230" i="27"/>
  <c r="AG230" i="27"/>
  <c r="AA230" i="27"/>
  <c r="V230" i="27"/>
  <c r="P230" i="27"/>
  <c r="L230" i="27"/>
  <c r="AK229" i="27"/>
  <c r="AJ229" i="27"/>
  <c r="AI229" i="27"/>
  <c r="AG229" i="27"/>
  <c r="AA229" i="27"/>
  <c r="V229" i="27"/>
  <c r="P229" i="27"/>
  <c r="L229" i="27"/>
  <c r="AK228" i="27"/>
  <c r="AJ228" i="27"/>
  <c r="AI228" i="27"/>
  <c r="AG228" i="27"/>
  <c r="AA228" i="27"/>
  <c r="V228" i="27"/>
  <c r="P228" i="27"/>
  <c r="L228" i="27"/>
  <c r="AK227" i="27"/>
  <c r="AJ227" i="27"/>
  <c r="AI227" i="27"/>
  <c r="AG227" i="27"/>
  <c r="AA227" i="27"/>
  <c r="V227" i="27"/>
  <c r="P227" i="27"/>
  <c r="L227" i="27"/>
  <c r="AK226" i="27"/>
  <c r="AJ226" i="27"/>
  <c r="AI226" i="27"/>
  <c r="AG226" i="27"/>
  <c r="AA226" i="27"/>
  <c r="V226" i="27"/>
  <c r="P226" i="27"/>
  <c r="L226" i="27"/>
  <c r="AK225" i="27"/>
  <c r="AJ225" i="27"/>
  <c r="AI225" i="27"/>
  <c r="AG225" i="27"/>
  <c r="AA225" i="27"/>
  <c r="V225" i="27"/>
  <c r="P225" i="27"/>
  <c r="L225" i="27"/>
  <c r="AK224" i="27"/>
  <c r="AJ224" i="27"/>
  <c r="AI224" i="27"/>
  <c r="AG224" i="27"/>
  <c r="AA224" i="27"/>
  <c r="V224" i="27"/>
  <c r="P224" i="27"/>
  <c r="L224" i="27"/>
  <c r="AK223" i="27"/>
  <c r="AJ223" i="27"/>
  <c r="AI223" i="27"/>
  <c r="AG223" i="27"/>
  <c r="AA223" i="27"/>
  <c r="V223" i="27"/>
  <c r="P223" i="27"/>
  <c r="L223" i="27"/>
  <c r="AK222" i="27"/>
  <c r="AJ222" i="27"/>
  <c r="AI222" i="27"/>
  <c r="AG222" i="27"/>
  <c r="AA222" i="27"/>
  <c r="V222" i="27"/>
  <c r="P222" i="27"/>
  <c r="L222" i="27"/>
  <c r="AK221" i="27"/>
  <c r="AJ221" i="27"/>
  <c r="AI221" i="27"/>
  <c r="AG221" i="27"/>
  <c r="AA221" i="27"/>
  <c r="V221" i="27"/>
  <c r="P221" i="27"/>
  <c r="L221" i="27"/>
  <c r="AK220" i="27"/>
  <c r="AJ220" i="27"/>
  <c r="AI220" i="27"/>
  <c r="AG220" i="27"/>
  <c r="AA220" i="27"/>
  <c r="V220" i="27"/>
  <c r="P220" i="27"/>
  <c r="L220" i="27"/>
  <c r="AK219" i="27"/>
  <c r="AJ219" i="27"/>
  <c r="AI219" i="27"/>
  <c r="AG219" i="27"/>
  <c r="AA219" i="27"/>
  <c r="V219" i="27"/>
  <c r="P219" i="27"/>
  <c r="L219" i="27"/>
  <c r="AK218" i="27"/>
  <c r="AJ218" i="27"/>
  <c r="AI218" i="27"/>
  <c r="AG218" i="27"/>
  <c r="AA218" i="27"/>
  <c r="V218" i="27"/>
  <c r="P218" i="27"/>
  <c r="L218" i="27"/>
  <c r="AK217" i="27"/>
  <c r="AJ217" i="27"/>
  <c r="AI217" i="27"/>
  <c r="AG217" i="27"/>
  <c r="AA217" i="27"/>
  <c r="V217" i="27"/>
  <c r="P217" i="27"/>
  <c r="L217" i="27"/>
  <c r="AK216" i="27"/>
  <c r="AJ216" i="27"/>
  <c r="AI216" i="27"/>
  <c r="AG216" i="27"/>
  <c r="AA216" i="27"/>
  <c r="V216" i="27"/>
  <c r="P216" i="27"/>
  <c r="L216" i="27"/>
  <c r="AK215" i="27"/>
  <c r="AJ215" i="27"/>
  <c r="AI215" i="27"/>
  <c r="AG215" i="27"/>
  <c r="AA215" i="27"/>
  <c r="V215" i="27"/>
  <c r="P215" i="27"/>
  <c r="L215" i="27"/>
  <c r="AK214" i="27"/>
  <c r="AJ214" i="27"/>
  <c r="AI214" i="27"/>
  <c r="AG214" i="27"/>
  <c r="AA214" i="27"/>
  <c r="V214" i="27"/>
  <c r="P214" i="27"/>
  <c r="L214" i="27"/>
  <c r="AK213" i="27"/>
  <c r="AJ213" i="27"/>
  <c r="AI213" i="27"/>
  <c r="AG213" i="27"/>
  <c r="AA213" i="27"/>
  <c r="V213" i="27"/>
  <c r="P213" i="27"/>
  <c r="L213" i="27"/>
  <c r="AK212" i="27"/>
  <c r="AJ212" i="27"/>
  <c r="AI212" i="27"/>
  <c r="AG212" i="27"/>
  <c r="AA212" i="27"/>
  <c r="V212" i="27"/>
  <c r="P212" i="27"/>
  <c r="L212" i="27"/>
  <c r="AK211" i="27"/>
  <c r="AJ211" i="27"/>
  <c r="AI211" i="27"/>
  <c r="AG211" i="27"/>
  <c r="AA211" i="27"/>
  <c r="V211" i="27"/>
  <c r="P211" i="27"/>
  <c r="L211" i="27"/>
  <c r="AK210" i="27"/>
  <c r="AJ210" i="27"/>
  <c r="AI210" i="27"/>
  <c r="AG210" i="27"/>
  <c r="AA210" i="27"/>
  <c r="V210" i="27"/>
  <c r="P210" i="27"/>
  <c r="L210" i="27"/>
  <c r="AK209" i="27"/>
  <c r="AJ209" i="27"/>
  <c r="AI209" i="27"/>
  <c r="AG209" i="27"/>
  <c r="AA209" i="27"/>
  <c r="V209" i="27"/>
  <c r="P209" i="27"/>
  <c r="L209" i="27"/>
  <c r="AK208" i="27"/>
  <c r="AJ208" i="27"/>
  <c r="AI208" i="27"/>
  <c r="AG208" i="27"/>
  <c r="AA208" i="27"/>
  <c r="V208" i="27"/>
  <c r="P208" i="27"/>
  <c r="L208" i="27"/>
  <c r="AK207" i="27"/>
  <c r="AJ207" i="27"/>
  <c r="AI207" i="27"/>
  <c r="AG207" i="27"/>
  <c r="AA207" i="27"/>
  <c r="V207" i="27"/>
  <c r="P207" i="27"/>
  <c r="L207" i="27"/>
  <c r="AK206" i="27"/>
  <c r="AJ206" i="27"/>
  <c r="AI206" i="27"/>
  <c r="AG206" i="27"/>
  <c r="AA206" i="27"/>
  <c r="V206" i="27"/>
  <c r="P206" i="27"/>
  <c r="L206" i="27"/>
  <c r="AK205" i="27"/>
  <c r="AJ205" i="27"/>
  <c r="AI205" i="27"/>
  <c r="AG205" i="27"/>
  <c r="AA205" i="27"/>
  <c r="V205" i="27"/>
  <c r="P205" i="27"/>
  <c r="L205" i="27"/>
  <c r="AK204" i="27"/>
  <c r="AJ204" i="27"/>
  <c r="AI204" i="27"/>
  <c r="AG204" i="27"/>
  <c r="AA204" i="27"/>
  <c r="V204" i="27"/>
  <c r="P204" i="27"/>
  <c r="L204" i="27"/>
  <c r="AK203" i="27"/>
  <c r="AJ203" i="27"/>
  <c r="AI203" i="27"/>
  <c r="AG203" i="27"/>
  <c r="AA203" i="27"/>
  <c r="V203" i="27"/>
  <c r="P203" i="27"/>
  <c r="L203" i="27"/>
  <c r="AK202" i="27"/>
  <c r="AJ202" i="27"/>
  <c r="AI202" i="27"/>
  <c r="AG202" i="27"/>
  <c r="AA202" i="27"/>
  <c r="V202" i="27"/>
  <c r="P202" i="27"/>
  <c r="L202" i="27"/>
  <c r="AK201" i="27"/>
  <c r="AJ201" i="27"/>
  <c r="AI201" i="27"/>
  <c r="AG201" i="27"/>
  <c r="AA201" i="27"/>
  <c r="V201" i="27"/>
  <c r="P201" i="27"/>
  <c r="L201" i="27"/>
  <c r="AK200" i="27"/>
  <c r="AJ200" i="27"/>
  <c r="AI200" i="27"/>
  <c r="AG200" i="27"/>
  <c r="AA200" i="27"/>
  <c r="V200" i="27"/>
  <c r="P200" i="27"/>
  <c r="L200" i="27"/>
  <c r="AK199" i="27"/>
  <c r="AJ199" i="27"/>
  <c r="AI199" i="27"/>
  <c r="AG199" i="27"/>
  <c r="AA199" i="27"/>
  <c r="V199" i="27"/>
  <c r="P199" i="27"/>
  <c r="L199" i="27"/>
  <c r="AK198" i="27"/>
  <c r="AJ198" i="27"/>
  <c r="AI198" i="27"/>
  <c r="AG198" i="27"/>
  <c r="AA198" i="27"/>
  <c r="V198" i="27"/>
  <c r="P198" i="27"/>
  <c r="L198" i="27"/>
  <c r="AK197" i="27"/>
  <c r="AJ197" i="27"/>
  <c r="AI197" i="27"/>
  <c r="AG197" i="27"/>
  <c r="AA197" i="27"/>
  <c r="V197" i="27"/>
  <c r="P197" i="27"/>
  <c r="L197" i="27"/>
  <c r="AK196" i="27"/>
  <c r="AJ196" i="27"/>
  <c r="AI196" i="27"/>
  <c r="AG196" i="27"/>
  <c r="AA196" i="27"/>
  <c r="V196" i="27"/>
  <c r="P196" i="27"/>
  <c r="L196" i="27"/>
  <c r="AK195" i="27"/>
  <c r="AJ195" i="27"/>
  <c r="AI195" i="27"/>
  <c r="AG195" i="27"/>
  <c r="AA195" i="27"/>
  <c r="V195" i="27"/>
  <c r="P195" i="27"/>
  <c r="L195" i="27"/>
  <c r="AK194" i="27"/>
  <c r="AJ194" i="27"/>
  <c r="AI194" i="27"/>
  <c r="AG194" i="27"/>
  <c r="AA194" i="27"/>
  <c r="V194" i="27"/>
  <c r="P194" i="27"/>
  <c r="L194" i="27"/>
  <c r="AK193" i="27"/>
  <c r="AJ193" i="27"/>
  <c r="AI193" i="27"/>
  <c r="AG193" i="27"/>
  <c r="AA193" i="27"/>
  <c r="V193" i="27"/>
  <c r="P193" i="27"/>
  <c r="L193" i="27"/>
  <c r="AK192" i="27"/>
  <c r="AJ192" i="27"/>
  <c r="AI192" i="27"/>
  <c r="AG192" i="27"/>
  <c r="AA192" i="27"/>
  <c r="V192" i="27"/>
  <c r="P192" i="27"/>
  <c r="L192" i="27"/>
  <c r="AK191" i="27"/>
  <c r="AJ191" i="27"/>
  <c r="AI191" i="27"/>
  <c r="AG191" i="27"/>
  <c r="AA191" i="27"/>
  <c r="V191" i="27"/>
  <c r="P191" i="27"/>
  <c r="L191" i="27"/>
  <c r="AK190" i="27"/>
  <c r="AJ190" i="27"/>
  <c r="AI190" i="27"/>
  <c r="AG190" i="27"/>
  <c r="AA190" i="27"/>
  <c r="V190" i="27"/>
  <c r="P190" i="27"/>
  <c r="L190" i="27"/>
  <c r="AK189" i="27"/>
  <c r="AJ189" i="27"/>
  <c r="AI189" i="27"/>
  <c r="AG189" i="27"/>
  <c r="AA189" i="27"/>
  <c r="V189" i="27"/>
  <c r="P189" i="27"/>
  <c r="L189" i="27"/>
  <c r="AK188" i="27"/>
  <c r="AJ188" i="27"/>
  <c r="AI188" i="27"/>
  <c r="AG188" i="27"/>
  <c r="AA188" i="27"/>
  <c r="V188" i="27"/>
  <c r="P188" i="27"/>
  <c r="L188" i="27"/>
  <c r="AK187" i="27"/>
  <c r="AJ187" i="27"/>
  <c r="AI187" i="27"/>
  <c r="AG187" i="27"/>
  <c r="AA187" i="27"/>
  <c r="V187" i="27"/>
  <c r="P187" i="27"/>
  <c r="L187" i="27"/>
  <c r="AK186" i="27"/>
  <c r="AJ186" i="27"/>
  <c r="AI186" i="27"/>
  <c r="AG186" i="27"/>
  <c r="AA186" i="27"/>
  <c r="V186" i="27"/>
  <c r="P186" i="27"/>
  <c r="L186" i="27"/>
  <c r="AK185" i="27"/>
  <c r="AJ185" i="27"/>
  <c r="AI185" i="27"/>
  <c r="AG185" i="27"/>
  <c r="AA185" i="27"/>
  <c r="V185" i="27"/>
  <c r="P185" i="27"/>
  <c r="L185" i="27"/>
  <c r="AK184" i="27"/>
  <c r="AJ184" i="27"/>
  <c r="AI184" i="27"/>
  <c r="AG184" i="27"/>
  <c r="AA184" i="27"/>
  <c r="V184" i="27"/>
  <c r="P184" i="27"/>
  <c r="L184" i="27"/>
  <c r="AK183" i="27"/>
  <c r="AJ183" i="27"/>
  <c r="AI183" i="27"/>
  <c r="AG183" i="27"/>
  <c r="AA183" i="27"/>
  <c r="V183" i="27"/>
  <c r="P183" i="27"/>
  <c r="L183" i="27"/>
  <c r="AK182" i="27"/>
  <c r="AJ182" i="27"/>
  <c r="AI182" i="27"/>
  <c r="AG182" i="27"/>
  <c r="AA182" i="27"/>
  <c r="V182" i="27"/>
  <c r="P182" i="27"/>
  <c r="L182" i="27"/>
  <c r="AK181" i="27"/>
  <c r="AJ181" i="27"/>
  <c r="AI181" i="27"/>
  <c r="AG181" i="27"/>
  <c r="AA181" i="27"/>
  <c r="V181" i="27"/>
  <c r="P181" i="27"/>
  <c r="L181" i="27"/>
  <c r="AK180" i="27"/>
  <c r="AJ180" i="27"/>
  <c r="AI180" i="27"/>
  <c r="AG180" i="27"/>
  <c r="AA180" i="27"/>
  <c r="V180" i="27"/>
  <c r="P180" i="27"/>
  <c r="L180" i="27"/>
  <c r="AK179" i="27"/>
  <c r="AJ179" i="27"/>
  <c r="AI179" i="27"/>
  <c r="AG179" i="27"/>
  <c r="AA179" i="27"/>
  <c r="V179" i="27"/>
  <c r="P179" i="27"/>
  <c r="L179" i="27"/>
  <c r="AK178" i="27"/>
  <c r="AJ178" i="27"/>
  <c r="AI178" i="27"/>
  <c r="AG178" i="27"/>
  <c r="AA178" i="27"/>
  <c r="V178" i="27"/>
  <c r="P178" i="27"/>
  <c r="L178" i="27"/>
  <c r="AK177" i="27"/>
  <c r="AJ177" i="27"/>
  <c r="AI177" i="27"/>
  <c r="AG177" i="27"/>
  <c r="AA177" i="27"/>
  <c r="V177" i="27"/>
  <c r="P177" i="27"/>
  <c r="L177" i="27"/>
  <c r="AK176" i="27"/>
  <c r="AJ176" i="27"/>
  <c r="AI176" i="27"/>
  <c r="AG176" i="27"/>
  <c r="AA176" i="27"/>
  <c r="V176" i="27"/>
  <c r="P176" i="27"/>
  <c r="L176" i="27"/>
  <c r="AK175" i="27"/>
  <c r="AJ175" i="27"/>
  <c r="AI175" i="27"/>
  <c r="AG175" i="27"/>
  <c r="AA175" i="27"/>
  <c r="V175" i="27"/>
  <c r="P175" i="27"/>
  <c r="L175" i="27"/>
  <c r="AK174" i="27"/>
  <c r="AJ174" i="27"/>
  <c r="AI174" i="27"/>
  <c r="AG174" i="27"/>
  <c r="AA174" i="27"/>
  <c r="V174" i="27"/>
  <c r="P174" i="27"/>
  <c r="L174" i="27"/>
  <c r="AK173" i="27"/>
  <c r="AJ173" i="27"/>
  <c r="AI173" i="27"/>
  <c r="AG173" i="27"/>
  <c r="AA173" i="27"/>
  <c r="V173" i="27"/>
  <c r="P173" i="27"/>
  <c r="L173" i="27"/>
  <c r="AK172" i="27"/>
  <c r="AJ172" i="27"/>
  <c r="AI172" i="27"/>
  <c r="AG172" i="27"/>
  <c r="AA172" i="27"/>
  <c r="V172" i="27"/>
  <c r="P172" i="27"/>
  <c r="L172" i="27"/>
  <c r="AK171" i="27"/>
  <c r="AJ171" i="27"/>
  <c r="AI171" i="27"/>
  <c r="AG171" i="27"/>
  <c r="AA171" i="27"/>
  <c r="V171" i="27"/>
  <c r="P171" i="27"/>
  <c r="L171" i="27"/>
  <c r="AK170" i="27"/>
  <c r="AJ170" i="27"/>
  <c r="AI170" i="27"/>
  <c r="AG170" i="27"/>
  <c r="AA170" i="27"/>
  <c r="V170" i="27"/>
  <c r="P170" i="27"/>
  <c r="L170" i="27"/>
  <c r="AK169" i="27"/>
  <c r="AJ169" i="27"/>
  <c r="AI169" i="27"/>
  <c r="AG169" i="27"/>
  <c r="AA169" i="27"/>
  <c r="V169" i="27"/>
  <c r="P169" i="27"/>
  <c r="L169" i="27"/>
  <c r="AK168" i="27"/>
  <c r="AJ168" i="27"/>
  <c r="AI168" i="27"/>
  <c r="AG168" i="27"/>
  <c r="AA168" i="27"/>
  <c r="V168" i="27"/>
  <c r="P168" i="27"/>
  <c r="L168" i="27"/>
  <c r="AK167" i="27"/>
  <c r="AJ167" i="27"/>
  <c r="AI167" i="27"/>
  <c r="AG167" i="27"/>
  <c r="AA167" i="27"/>
  <c r="V167" i="27"/>
  <c r="P167" i="27"/>
  <c r="L167" i="27"/>
  <c r="AK166" i="27"/>
  <c r="AJ166" i="27"/>
  <c r="AI166" i="27"/>
  <c r="AG166" i="27"/>
  <c r="AA166" i="27"/>
  <c r="V166" i="27"/>
  <c r="P166" i="27"/>
  <c r="L166" i="27"/>
  <c r="AK165" i="27"/>
  <c r="AJ165" i="27"/>
  <c r="AI165" i="27"/>
  <c r="AG165" i="27"/>
  <c r="AA165" i="27"/>
  <c r="V165" i="27"/>
  <c r="P165" i="27"/>
  <c r="L165" i="27"/>
  <c r="AK164" i="27"/>
  <c r="AJ164" i="27"/>
  <c r="AI164" i="27"/>
  <c r="AG164" i="27"/>
  <c r="AA164" i="27"/>
  <c r="V164" i="27"/>
  <c r="P164" i="27"/>
  <c r="L164" i="27"/>
  <c r="AK163" i="27"/>
  <c r="AJ163" i="27"/>
  <c r="AI163" i="27"/>
  <c r="AG163" i="27"/>
  <c r="AA163" i="27"/>
  <c r="V163" i="27"/>
  <c r="P163" i="27"/>
  <c r="L163" i="27"/>
  <c r="AK162" i="27"/>
  <c r="AJ162" i="27"/>
  <c r="AI162" i="27"/>
  <c r="AG162" i="27"/>
  <c r="AA162" i="27"/>
  <c r="V162" i="27"/>
  <c r="P162" i="27"/>
  <c r="L162" i="27"/>
  <c r="AK161" i="27"/>
  <c r="AJ161" i="27"/>
  <c r="AI161" i="27"/>
  <c r="AG161" i="27"/>
  <c r="AA161" i="27"/>
  <c r="V161" i="27"/>
  <c r="P161" i="27"/>
  <c r="L161" i="27"/>
  <c r="AK160" i="27"/>
  <c r="AJ160" i="27"/>
  <c r="AI160" i="27"/>
  <c r="AG160" i="27"/>
  <c r="AA160" i="27"/>
  <c r="V160" i="27"/>
  <c r="P160" i="27"/>
  <c r="L160" i="27"/>
  <c r="AK159" i="27"/>
  <c r="AJ159" i="27"/>
  <c r="AI159" i="27"/>
  <c r="AG159" i="27"/>
  <c r="AA159" i="27"/>
  <c r="V159" i="27"/>
  <c r="P159" i="27"/>
  <c r="L159" i="27"/>
  <c r="AK158" i="27"/>
  <c r="AJ158" i="27"/>
  <c r="AI158" i="27"/>
  <c r="AG158" i="27"/>
  <c r="AA158" i="27"/>
  <c r="V158" i="27"/>
  <c r="P158" i="27"/>
  <c r="L158" i="27"/>
  <c r="AK157" i="27"/>
  <c r="AJ157" i="27"/>
  <c r="AI157" i="27"/>
  <c r="AG157" i="27"/>
  <c r="AA157" i="27"/>
  <c r="V157" i="27"/>
  <c r="P157" i="27"/>
  <c r="L157" i="27"/>
  <c r="AK156" i="27"/>
  <c r="AJ156" i="27"/>
  <c r="AI156" i="27"/>
  <c r="AG156" i="27"/>
  <c r="AA156" i="27"/>
  <c r="V156" i="27"/>
  <c r="P156" i="27"/>
  <c r="L156" i="27"/>
  <c r="AK155" i="27"/>
  <c r="AJ155" i="27"/>
  <c r="AI155" i="27"/>
  <c r="AG155" i="27"/>
  <c r="AA155" i="27"/>
  <c r="V155" i="27"/>
  <c r="P155" i="27"/>
  <c r="L155" i="27"/>
  <c r="AK154" i="27"/>
  <c r="AJ154" i="27"/>
  <c r="AI154" i="27"/>
  <c r="AG154" i="27"/>
  <c r="AA154" i="27"/>
  <c r="V154" i="27"/>
  <c r="P154" i="27"/>
  <c r="L154" i="27"/>
  <c r="AK153" i="27"/>
  <c r="AJ153" i="27"/>
  <c r="AI153" i="27"/>
  <c r="AG153" i="27"/>
  <c r="AA153" i="27"/>
  <c r="V153" i="27"/>
  <c r="P153" i="27"/>
  <c r="L153" i="27"/>
  <c r="AK152" i="27"/>
  <c r="AJ152" i="27"/>
  <c r="AI152" i="27"/>
  <c r="AG152" i="27"/>
  <c r="AA152" i="27"/>
  <c r="V152" i="27"/>
  <c r="P152" i="27"/>
  <c r="L152" i="27"/>
  <c r="AK151" i="27"/>
  <c r="AJ151" i="27"/>
  <c r="AI151" i="27"/>
  <c r="AG151" i="27"/>
  <c r="AA151" i="27"/>
  <c r="V151" i="27"/>
  <c r="P151" i="27"/>
  <c r="L151" i="27"/>
  <c r="AK150" i="27"/>
  <c r="AJ150" i="27"/>
  <c r="AI150" i="27"/>
  <c r="AG150" i="27"/>
  <c r="AA150" i="27"/>
  <c r="V150" i="27"/>
  <c r="P150" i="27"/>
  <c r="L150" i="27"/>
  <c r="AK149" i="27"/>
  <c r="AJ149" i="27"/>
  <c r="AI149" i="27"/>
  <c r="AG149" i="27"/>
  <c r="AA149" i="27"/>
  <c r="V149" i="27"/>
  <c r="P149" i="27"/>
  <c r="L149" i="27"/>
  <c r="AK148" i="27"/>
  <c r="AJ148" i="27"/>
  <c r="AI148" i="27"/>
  <c r="AG148" i="27"/>
  <c r="AA148" i="27"/>
  <c r="V148" i="27"/>
  <c r="P148" i="27"/>
  <c r="L148" i="27"/>
  <c r="AK147" i="27"/>
  <c r="AJ147" i="27"/>
  <c r="AI147" i="27"/>
  <c r="AG147" i="27"/>
  <c r="AA147" i="27"/>
  <c r="V147" i="27"/>
  <c r="P147" i="27"/>
  <c r="L147" i="27"/>
  <c r="AK146" i="27"/>
  <c r="AJ146" i="27"/>
  <c r="AI146" i="27"/>
  <c r="AG146" i="27"/>
  <c r="AA146" i="27"/>
  <c r="V146" i="27"/>
  <c r="P146" i="27"/>
  <c r="L146" i="27"/>
  <c r="AK145" i="27"/>
  <c r="AJ145" i="27"/>
  <c r="AI145" i="27"/>
  <c r="AG145" i="27"/>
  <c r="AA145" i="27"/>
  <c r="V145" i="27"/>
  <c r="P145" i="27"/>
  <c r="L145" i="27"/>
  <c r="AK144" i="27"/>
  <c r="AJ144" i="27"/>
  <c r="AI144" i="27"/>
  <c r="AG144" i="27"/>
  <c r="AA144" i="27"/>
  <c r="V144" i="27"/>
  <c r="P144" i="27"/>
  <c r="L144" i="27"/>
  <c r="AK143" i="27"/>
  <c r="AJ143" i="27"/>
  <c r="AI143" i="27"/>
  <c r="AG143" i="27"/>
  <c r="AA143" i="27"/>
  <c r="V143" i="27"/>
  <c r="P143" i="27"/>
  <c r="L143" i="27"/>
  <c r="AK142" i="27"/>
  <c r="AJ142" i="27"/>
  <c r="AI142" i="27"/>
  <c r="AG142" i="27"/>
  <c r="AA142" i="27"/>
  <c r="V142" i="27"/>
  <c r="P142" i="27"/>
  <c r="L142" i="27"/>
  <c r="AK141" i="27"/>
  <c r="AJ141" i="27"/>
  <c r="AI141" i="27"/>
  <c r="AG141" i="27"/>
  <c r="AA141" i="27"/>
  <c r="V141" i="27"/>
  <c r="P141" i="27"/>
  <c r="L141" i="27"/>
  <c r="AK140" i="27"/>
  <c r="AJ140" i="27"/>
  <c r="AI140" i="27"/>
  <c r="AG140" i="27"/>
  <c r="AA140" i="27"/>
  <c r="V140" i="27"/>
  <c r="P140" i="27"/>
  <c r="L140" i="27"/>
  <c r="AK139" i="27"/>
  <c r="AJ139" i="27"/>
  <c r="AI139" i="27"/>
  <c r="AG139" i="27"/>
  <c r="AA139" i="27"/>
  <c r="V139" i="27"/>
  <c r="P139" i="27"/>
  <c r="L139" i="27"/>
  <c r="AK138" i="27"/>
  <c r="AJ138" i="27"/>
  <c r="AI138" i="27"/>
  <c r="AG138" i="27"/>
  <c r="AA138" i="27"/>
  <c r="V138" i="27"/>
  <c r="P138" i="27"/>
  <c r="L138" i="27"/>
  <c r="AK137" i="27"/>
  <c r="AJ137" i="27"/>
  <c r="AI137" i="27"/>
  <c r="AG137" i="27"/>
  <c r="AA137" i="27"/>
  <c r="V137" i="27"/>
  <c r="P137" i="27"/>
  <c r="L137" i="27"/>
  <c r="AK136" i="27"/>
  <c r="AJ136" i="27"/>
  <c r="AI136" i="27"/>
  <c r="AG136" i="27"/>
  <c r="AA136" i="27"/>
  <c r="V136" i="27"/>
  <c r="P136" i="27"/>
  <c r="L136" i="27"/>
  <c r="AK135" i="27"/>
  <c r="AJ135" i="27"/>
  <c r="AI135" i="27"/>
  <c r="AG135" i="27"/>
  <c r="AA135" i="27"/>
  <c r="V135" i="27"/>
  <c r="P135" i="27"/>
  <c r="L135" i="27"/>
  <c r="AK134" i="27"/>
  <c r="AJ134" i="27"/>
  <c r="AI134" i="27"/>
  <c r="AG134" i="27"/>
  <c r="AA134" i="27"/>
  <c r="V134" i="27"/>
  <c r="P134" i="27"/>
  <c r="L134" i="27"/>
  <c r="AK133" i="27"/>
  <c r="AJ133" i="27"/>
  <c r="AI133" i="27"/>
  <c r="AG133" i="27"/>
  <c r="AA133" i="27"/>
  <c r="V133" i="27"/>
  <c r="P133" i="27"/>
  <c r="L133" i="27"/>
  <c r="AK132" i="27"/>
  <c r="AJ132" i="27"/>
  <c r="AI132" i="27"/>
  <c r="AG132" i="27"/>
  <c r="AA132" i="27"/>
  <c r="V132" i="27"/>
  <c r="P132" i="27"/>
  <c r="L132" i="27"/>
  <c r="AK131" i="27"/>
  <c r="AJ131" i="27"/>
  <c r="AI131" i="27"/>
  <c r="AG131" i="27"/>
  <c r="AA131" i="27"/>
  <c r="V131" i="27"/>
  <c r="P131" i="27"/>
  <c r="L131" i="27"/>
  <c r="AK130" i="27"/>
  <c r="AJ130" i="27"/>
  <c r="AI130" i="27"/>
  <c r="AG130" i="27"/>
  <c r="AA130" i="27"/>
  <c r="V130" i="27"/>
  <c r="P130" i="27"/>
  <c r="L130" i="27"/>
  <c r="AK129" i="27"/>
  <c r="AJ129" i="27"/>
  <c r="AI129" i="27"/>
  <c r="AG129" i="27"/>
  <c r="AA129" i="27"/>
  <c r="V129" i="27"/>
  <c r="P129" i="27"/>
  <c r="L129" i="27"/>
  <c r="AK128" i="27"/>
  <c r="AJ128" i="27"/>
  <c r="AI128" i="27"/>
  <c r="AG128" i="27"/>
  <c r="AA128" i="27"/>
  <c r="V128" i="27"/>
  <c r="P128" i="27"/>
  <c r="L128" i="27"/>
  <c r="AK127" i="27"/>
  <c r="AJ127" i="27"/>
  <c r="AI127" i="27"/>
  <c r="AG127" i="27"/>
  <c r="AA127" i="27"/>
  <c r="V127" i="27"/>
  <c r="P127" i="27"/>
  <c r="L127" i="27"/>
  <c r="AK126" i="27"/>
  <c r="AJ126" i="27"/>
  <c r="AI126" i="27"/>
  <c r="AG126" i="27"/>
  <c r="AA126" i="27"/>
  <c r="V126" i="27"/>
  <c r="P126" i="27"/>
  <c r="L126" i="27"/>
  <c r="AK125" i="27"/>
  <c r="AJ125" i="27"/>
  <c r="AI125" i="27"/>
  <c r="AG125" i="27"/>
  <c r="AA125" i="27"/>
  <c r="V125" i="27"/>
  <c r="P125" i="27"/>
  <c r="L125" i="27"/>
  <c r="AK124" i="27"/>
  <c r="AJ124" i="27"/>
  <c r="AI124" i="27"/>
  <c r="AG124" i="27"/>
  <c r="AA124" i="27"/>
  <c r="V124" i="27"/>
  <c r="P124" i="27"/>
  <c r="L124" i="27"/>
  <c r="AK123" i="27"/>
  <c r="AJ123" i="27"/>
  <c r="AI123" i="27"/>
  <c r="AG123" i="27"/>
  <c r="AA123" i="27"/>
  <c r="V123" i="27"/>
  <c r="P123" i="27"/>
  <c r="L123" i="27"/>
  <c r="AK122" i="27"/>
  <c r="AJ122" i="27"/>
  <c r="AI122" i="27"/>
  <c r="AG122" i="27"/>
  <c r="AA122" i="27"/>
  <c r="V122" i="27"/>
  <c r="P122" i="27"/>
  <c r="L122" i="27"/>
  <c r="AK121" i="27"/>
  <c r="AJ121" i="27"/>
  <c r="AI121" i="27"/>
  <c r="AG121" i="27"/>
  <c r="AA121" i="27"/>
  <c r="V121" i="27"/>
  <c r="P121" i="27"/>
  <c r="L121" i="27"/>
  <c r="AK120" i="27"/>
  <c r="AJ120" i="27"/>
  <c r="AI120" i="27"/>
  <c r="AG120" i="27"/>
  <c r="AA120" i="27"/>
  <c r="V120" i="27"/>
  <c r="P120" i="27"/>
  <c r="L120" i="27"/>
  <c r="AK119" i="27"/>
  <c r="AJ119" i="27"/>
  <c r="AI119" i="27"/>
  <c r="AG119" i="27"/>
  <c r="AA119" i="27"/>
  <c r="V119" i="27"/>
  <c r="P119" i="27"/>
  <c r="L119" i="27"/>
  <c r="AK118" i="27"/>
  <c r="AJ118" i="27"/>
  <c r="AI118" i="27"/>
  <c r="AG118" i="27"/>
  <c r="AA118" i="27"/>
  <c r="V118" i="27"/>
  <c r="P118" i="27"/>
  <c r="L118" i="27"/>
  <c r="AK117" i="27"/>
  <c r="AJ117" i="27"/>
  <c r="AI117" i="27"/>
  <c r="AG117" i="27"/>
  <c r="AA117" i="27"/>
  <c r="V117" i="27"/>
  <c r="P117" i="27"/>
  <c r="L117" i="27"/>
  <c r="AK116" i="27"/>
  <c r="AJ116" i="27"/>
  <c r="AI116" i="27"/>
  <c r="AG116" i="27"/>
  <c r="AA116" i="27"/>
  <c r="V116" i="27"/>
  <c r="P116" i="27"/>
  <c r="L116" i="27"/>
  <c r="AK115" i="27"/>
  <c r="AJ115" i="27"/>
  <c r="AI115" i="27"/>
  <c r="AG115" i="27"/>
  <c r="AA115" i="27"/>
  <c r="V115" i="27"/>
  <c r="P115" i="27"/>
  <c r="L115" i="27"/>
  <c r="AK114" i="27"/>
  <c r="AJ114" i="27"/>
  <c r="AI114" i="27"/>
  <c r="AG114" i="27"/>
  <c r="AA114" i="27"/>
  <c r="V114" i="27"/>
  <c r="P114" i="27"/>
  <c r="L114" i="27"/>
  <c r="AK113" i="27"/>
  <c r="AJ113" i="27"/>
  <c r="AI113" i="27"/>
  <c r="AG113" i="27"/>
  <c r="AA113" i="27"/>
  <c r="V113" i="27"/>
  <c r="P113" i="27"/>
  <c r="L113" i="27"/>
  <c r="AK112" i="27"/>
  <c r="AJ112" i="27"/>
  <c r="AI112" i="27"/>
  <c r="AG112" i="27"/>
  <c r="AA112" i="27"/>
  <c r="V112" i="27"/>
  <c r="P112" i="27"/>
  <c r="L112" i="27"/>
  <c r="AK111" i="27"/>
  <c r="AJ111" i="27"/>
  <c r="AI111" i="27"/>
  <c r="AG111" i="27"/>
  <c r="AA111" i="27"/>
  <c r="V111" i="27"/>
  <c r="P111" i="27"/>
  <c r="L111" i="27"/>
  <c r="AK110" i="27"/>
  <c r="AJ110" i="27"/>
  <c r="AI110" i="27"/>
  <c r="AG110" i="27"/>
  <c r="AA110" i="27"/>
  <c r="V110" i="27"/>
  <c r="P110" i="27"/>
  <c r="L110" i="27"/>
  <c r="AK109" i="27"/>
  <c r="AJ109" i="27"/>
  <c r="AI109" i="27"/>
  <c r="AG109" i="27"/>
  <c r="AA109" i="27"/>
  <c r="V109" i="27"/>
  <c r="P109" i="27"/>
  <c r="L109" i="27"/>
  <c r="AK108" i="27"/>
  <c r="AJ108" i="27"/>
  <c r="AI108" i="27"/>
  <c r="AG108" i="27"/>
  <c r="AA108" i="27"/>
  <c r="V108" i="27"/>
  <c r="P108" i="27"/>
  <c r="L108" i="27"/>
  <c r="AK107" i="27"/>
  <c r="AJ107" i="27"/>
  <c r="AI107" i="27"/>
  <c r="AG107" i="27"/>
  <c r="AA107" i="27"/>
  <c r="V107" i="27"/>
  <c r="P107" i="27"/>
  <c r="L107" i="27"/>
  <c r="AK106" i="27"/>
  <c r="AJ106" i="27"/>
  <c r="AI106" i="27"/>
  <c r="AG106" i="27"/>
  <c r="AA106" i="27"/>
  <c r="V106" i="27"/>
  <c r="P106" i="27"/>
  <c r="L106" i="27"/>
  <c r="AK105" i="27"/>
  <c r="AJ105" i="27"/>
  <c r="AI105" i="27"/>
  <c r="AG105" i="27"/>
  <c r="AA105" i="27"/>
  <c r="V105" i="27"/>
  <c r="P105" i="27"/>
  <c r="L105" i="27"/>
  <c r="AK104" i="27"/>
  <c r="AJ104" i="27"/>
  <c r="AI104" i="27"/>
  <c r="AG104" i="27"/>
  <c r="AA104" i="27"/>
  <c r="V104" i="27"/>
  <c r="P104" i="27"/>
  <c r="L104" i="27"/>
  <c r="AK103" i="27"/>
  <c r="AJ103" i="27"/>
  <c r="AI103" i="27"/>
  <c r="AG103" i="27"/>
  <c r="AA103" i="27"/>
  <c r="V103" i="27"/>
  <c r="P103" i="27"/>
  <c r="L103" i="27"/>
  <c r="AK102" i="27"/>
  <c r="AJ102" i="27"/>
  <c r="AI102" i="27"/>
  <c r="AG102" i="27"/>
  <c r="AA102" i="27"/>
  <c r="V102" i="27"/>
  <c r="P102" i="27"/>
  <c r="L102" i="27"/>
  <c r="AK101" i="27"/>
  <c r="AJ101" i="27"/>
  <c r="AI101" i="27"/>
  <c r="AG101" i="27"/>
  <c r="AA101" i="27"/>
  <c r="V101" i="27"/>
  <c r="P101" i="27"/>
  <c r="L101" i="27"/>
  <c r="AK100" i="27"/>
  <c r="AJ100" i="27"/>
  <c r="AI100" i="27"/>
  <c r="AG100" i="27"/>
  <c r="AA100" i="27"/>
  <c r="V100" i="27"/>
  <c r="P100" i="27"/>
  <c r="L100" i="27"/>
  <c r="AK99" i="27"/>
  <c r="AJ99" i="27"/>
  <c r="AI99" i="27"/>
  <c r="AG99" i="27"/>
  <c r="AA99" i="27"/>
  <c r="V99" i="27"/>
  <c r="P99" i="27"/>
  <c r="L99" i="27"/>
  <c r="AK98" i="27"/>
  <c r="AJ98" i="27"/>
  <c r="AI98" i="27"/>
  <c r="AG98" i="27"/>
  <c r="AA98" i="27"/>
  <c r="V98" i="27"/>
  <c r="P98" i="27"/>
  <c r="L98" i="27"/>
  <c r="AK97" i="27"/>
  <c r="AJ97" i="27"/>
  <c r="AI97" i="27"/>
  <c r="AG97" i="27"/>
  <c r="AA97" i="27"/>
  <c r="V97" i="27"/>
  <c r="P97" i="27"/>
  <c r="L97" i="27"/>
  <c r="AK96" i="27"/>
  <c r="AJ96" i="27"/>
  <c r="AI96" i="27"/>
  <c r="AG96" i="27"/>
  <c r="AA96" i="27"/>
  <c r="V96" i="27"/>
  <c r="P96" i="27"/>
  <c r="L96" i="27"/>
  <c r="AK95" i="27"/>
  <c r="AJ95" i="27"/>
  <c r="AI95" i="27"/>
  <c r="AG95" i="27"/>
  <c r="AA95" i="27"/>
  <c r="V95" i="27"/>
  <c r="P95" i="27"/>
  <c r="L95" i="27"/>
  <c r="AK94" i="27"/>
  <c r="AJ94" i="27"/>
  <c r="AI94" i="27"/>
  <c r="AG94" i="27"/>
  <c r="AA94" i="27"/>
  <c r="V94" i="27"/>
  <c r="P94" i="27"/>
  <c r="L94" i="27"/>
  <c r="AK93" i="27"/>
  <c r="AJ93" i="27"/>
  <c r="AI93" i="27"/>
  <c r="AG93" i="27"/>
  <c r="AA93" i="27"/>
  <c r="V93" i="27"/>
  <c r="P93" i="27"/>
  <c r="L93" i="27"/>
  <c r="AK92" i="27"/>
  <c r="AJ92" i="27"/>
  <c r="AI92" i="27"/>
  <c r="AG92" i="27"/>
  <c r="AA92" i="27"/>
  <c r="V92" i="27"/>
  <c r="P92" i="27"/>
  <c r="L92" i="27"/>
  <c r="AK91" i="27"/>
  <c r="AJ91" i="27"/>
  <c r="AI91" i="27"/>
  <c r="AG91" i="27"/>
  <c r="AA91" i="27"/>
  <c r="V91" i="27"/>
  <c r="P91" i="27"/>
  <c r="L91" i="27"/>
  <c r="AK90" i="27"/>
  <c r="AJ90" i="27"/>
  <c r="AI90" i="27"/>
  <c r="AG90" i="27"/>
  <c r="AA90" i="27"/>
  <c r="V90" i="27"/>
  <c r="P90" i="27"/>
  <c r="L90" i="27"/>
  <c r="AK89" i="27"/>
  <c r="AJ89" i="27"/>
  <c r="AI89" i="27"/>
  <c r="AG89" i="27"/>
  <c r="AA89" i="27"/>
  <c r="V89" i="27"/>
  <c r="P89" i="27"/>
  <c r="L89" i="27"/>
  <c r="AK88" i="27"/>
  <c r="AJ88" i="27"/>
  <c r="AI88" i="27"/>
  <c r="AG88" i="27"/>
  <c r="AA88" i="27"/>
  <c r="V88" i="27"/>
  <c r="P88" i="27"/>
  <c r="L88" i="27"/>
  <c r="AK87" i="27"/>
  <c r="AJ87" i="27"/>
  <c r="AI87" i="27"/>
  <c r="AG87" i="27"/>
  <c r="AA87" i="27"/>
  <c r="V87" i="27"/>
  <c r="P87" i="27"/>
  <c r="L87" i="27"/>
  <c r="AK86" i="27"/>
  <c r="AJ86" i="27"/>
  <c r="AI86" i="27"/>
  <c r="AG86" i="27"/>
  <c r="AA86" i="27"/>
  <c r="V86" i="27"/>
  <c r="P86" i="27"/>
  <c r="L86" i="27"/>
  <c r="AK85" i="27"/>
  <c r="AJ85" i="27"/>
  <c r="AI85" i="27"/>
  <c r="AG85" i="27"/>
  <c r="AA85" i="27"/>
  <c r="V85" i="27"/>
  <c r="P85" i="27"/>
  <c r="L85" i="27"/>
  <c r="AK84" i="27"/>
  <c r="AJ84" i="27"/>
  <c r="AI84" i="27"/>
  <c r="AG84" i="27"/>
  <c r="AA84" i="27"/>
  <c r="V84" i="27"/>
  <c r="P84" i="27"/>
  <c r="L84" i="27"/>
  <c r="AK83" i="27"/>
  <c r="AJ83" i="27"/>
  <c r="AI83" i="27"/>
  <c r="AG83" i="27"/>
  <c r="AA83" i="27"/>
  <c r="V83" i="27"/>
  <c r="P83" i="27"/>
  <c r="L83" i="27"/>
  <c r="AK82" i="27"/>
  <c r="AJ82" i="27"/>
  <c r="AI82" i="27"/>
  <c r="AG82" i="27"/>
  <c r="AA82" i="27"/>
  <c r="V82" i="27"/>
  <c r="P82" i="27"/>
  <c r="L82" i="27"/>
  <c r="AK81" i="27"/>
  <c r="AJ81" i="27"/>
  <c r="AI81" i="27"/>
  <c r="AG81" i="27"/>
  <c r="AA81" i="27"/>
  <c r="V81" i="27"/>
  <c r="P81" i="27"/>
  <c r="L81" i="27"/>
  <c r="AK80" i="27"/>
  <c r="AJ80" i="27"/>
  <c r="AI80" i="27"/>
  <c r="AG80" i="27"/>
  <c r="AA80" i="27"/>
  <c r="V80" i="27"/>
  <c r="P80" i="27"/>
  <c r="L80" i="27"/>
  <c r="AK79" i="27"/>
  <c r="AJ79" i="27"/>
  <c r="AI79" i="27"/>
  <c r="AG79" i="27"/>
  <c r="AA79" i="27"/>
  <c r="V79" i="27"/>
  <c r="P79" i="27"/>
  <c r="L79" i="27"/>
  <c r="AK78" i="27"/>
  <c r="AJ78" i="27"/>
  <c r="AI78" i="27"/>
  <c r="AG78" i="27"/>
  <c r="AA78" i="27"/>
  <c r="V78" i="27"/>
  <c r="P78" i="27"/>
  <c r="L78" i="27"/>
  <c r="AK77" i="27"/>
  <c r="AJ77" i="27"/>
  <c r="AI77" i="27"/>
  <c r="AG77" i="27"/>
  <c r="AA77" i="27"/>
  <c r="V77" i="27"/>
  <c r="P77" i="27"/>
  <c r="L77" i="27"/>
  <c r="AK76" i="27"/>
  <c r="AJ76" i="27"/>
  <c r="AI76" i="27"/>
  <c r="AG76" i="27"/>
  <c r="AA76" i="27"/>
  <c r="V76" i="27"/>
  <c r="P76" i="27"/>
  <c r="L76" i="27"/>
  <c r="AK75" i="27"/>
  <c r="AJ75" i="27"/>
  <c r="AI75" i="27"/>
  <c r="AG75" i="27"/>
  <c r="AA75" i="27"/>
  <c r="V75" i="27"/>
  <c r="P75" i="27"/>
  <c r="L75" i="27"/>
  <c r="AK74" i="27"/>
  <c r="AJ74" i="27"/>
  <c r="AI74" i="27"/>
  <c r="AG74" i="27"/>
  <c r="AA74" i="27"/>
  <c r="V74" i="27"/>
  <c r="P74" i="27"/>
  <c r="L74" i="27"/>
  <c r="AK73" i="27"/>
  <c r="AJ73" i="27"/>
  <c r="AI73" i="27"/>
  <c r="AG73" i="27"/>
  <c r="AA73" i="27"/>
  <c r="V73" i="27"/>
  <c r="P73" i="27"/>
  <c r="L73" i="27"/>
  <c r="AK72" i="27"/>
  <c r="AJ72" i="27"/>
  <c r="AI72" i="27"/>
  <c r="AG72" i="27"/>
  <c r="AA72" i="27"/>
  <c r="V72" i="27"/>
  <c r="P72" i="27"/>
  <c r="L72" i="27"/>
  <c r="AK71" i="27"/>
  <c r="AJ71" i="27"/>
  <c r="AI71" i="27"/>
  <c r="AG71" i="27"/>
  <c r="AA71" i="27"/>
  <c r="V71" i="27"/>
  <c r="P71" i="27"/>
  <c r="L71" i="27"/>
  <c r="AK70" i="27"/>
  <c r="AJ70" i="27"/>
  <c r="AI70" i="27"/>
  <c r="AG70" i="27"/>
  <c r="AA70" i="27"/>
  <c r="V70" i="27"/>
  <c r="P70" i="27"/>
  <c r="L70" i="27"/>
  <c r="AK69" i="27"/>
  <c r="AJ69" i="27"/>
  <c r="AI69" i="27"/>
  <c r="AG69" i="27"/>
  <c r="AA69" i="27"/>
  <c r="V69" i="27"/>
  <c r="P69" i="27"/>
  <c r="L69" i="27"/>
  <c r="AK68" i="27"/>
  <c r="AJ68" i="27"/>
  <c r="AI68" i="27"/>
  <c r="AG68" i="27"/>
  <c r="AA68" i="27"/>
  <c r="V68" i="27"/>
  <c r="P68" i="27"/>
  <c r="L68" i="27"/>
  <c r="AK67" i="27"/>
  <c r="AJ67" i="27"/>
  <c r="AI67" i="27"/>
  <c r="AG67" i="27"/>
  <c r="AA67" i="27"/>
  <c r="V67" i="27"/>
  <c r="P67" i="27"/>
  <c r="L67" i="27"/>
  <c r="AK66" i="27"/>
  <c r="AJ66" i="27"/>
  <c r="AI66" i="27"/>
  <c r="AG66" i="27"/>
  <c r="AA66" i="27"/>
  <c r="V66" i="27"/>
  <c r="P66" i="27"/>
  <c r="L66" i="27"/>
  <c r="AK65" i="27"/>
  <c r="AJ65" i="27"/>
  <c r="AI65" i="27"/>
  <c r="AG65" i="27"/>
  <c r="AA65" i="27"/>
  <c r="V65" i="27"/>
  <c r="P65" i="27"/>
  <c r="L65" i="27"/>
  <c r="AK64" i="27"/>
  <c r="AJ64" i="27"/>
  <c r="AI64" i="27"/>
  <c r="AG64" i="27"/>
  <c r="AA64" i="27"/>
  <c r="V64" i="27"/>
  <c r="P64" i="27"/>
  <c r="L64" i="27"/>
  <c r="AK63" i="27"/>
  <c r="AJ63" i="27"/>
  <c r="AI63" i="27"/>
  <c r="AG63" i="27"/>
  <c r="AA63" i="27"/>
  <c r="V63" i="27"/>
  <c r="P63" i="27"/>
  <c r="L63" i="27"/>
  <c r="AK62" i="27"/>
  <c r="AJ62" i="27"/>
  <c r="AI62" i="27"/>
  <c r="AG62" i="27"/>
  <c r="AA62" i="27"/>
  <c r="V62" i="27"/>
  <c r="P62" i="27"/>
  <c r="L62" i="27"/>
  <c r="AK61" i="27"/>
  <c r="AJ61" i="27"/>
  <c r="AI61" i="27"/>
  <c r="AG61" i="27"/>
  <c r="AA61" i="27"/>
  <c r="V61" i="27"/>
  <c r="P61" i="27"/>
  <c r="L61" i="27"/>
  <c r="AK60" i="27"/>
  <c r="AJ60" i="27"/>
  <c r="AI60" i="27"/>
  <c r="AG60" i="27"/>
  <c r="AA60" i="27"/>
  <c r="V60" i="27"/>
  <c r="P60" i="27"/>
  <c r="L60" i="27"/>
  <c r="AK59" i="27"/>
  <c r="AJ59" i="27"/>
  <c r="AI59" i="27"/>
  <c r="AG59" i="27"/>
  <c r="AA59" i="27"/>
  <c r="V59" i="27"/>
  <c r="P59" i="27"/>
  <c r="L59" i="27"/>
  <c r="AK58" i="27"/>
  <c r="AJ58" i="27"/>
  <c r="AI58" i="27"/>
  <c r="AG58" i="27"/>
  <c r="AA58" i="27"/>
  <c r="V58" i="27"/>
  <c r="P58" i="27"/>
  <c r="L58" i="27"/>
  <c r="AK57" i="27"/>
  <c r="AJ57" i="27"/>
  <c r="AI57" i="27"/>
  <c r="AG57" i="27"/>
  <c r="AA57" i="27"/>
  <c r="V57" i="27"/>
  <c r="P57" i="27"/>
  <c r="L57" i="27"/>
  <c r="AK56" i="27"/>
  <c r="AJ56" i="27"/>
  <c r="AI56" i="27"/>
  <c r="AG56" i="27"/>
  <c r="AA56" i="27"/>
  <c r="V56" i="27"/>
  <c r="P56" i="27"/>
  <c r="L56" i="27"/>
  <c r="AK55" i="27"/>
  <c r="AJ55" i="27"/>
  <c r="AI55" i="27"/>
  <c r="AG55" i="27"/>
  <c r="AA55" i="27"/>
  <c r="V55" i="27"/>
  <c r="P55" i="27"/>
  <c r="L55" i="27"/>
  <c r="AK54" i="27"/>
  <c r="AJ54" i="27"/>
  <c r="AI54" i="27"/>
  <c r="AG54" i="27"/>
  <c r="AA54" i="27"/>
  <c r="V54" i="27"/>
  <c r="P54" i="27"/>
  <c r="L54" i="27"/>
  <c r="AK53" i="27"/>
  <c r="AJ53" i="27"/>
  <c r="AI53" i="27"/>
  <c r="AG53" i="27"/>
  <c r="AA53" i="27"/>
  <c r="V53" i="27"/>
  <c r="P53" i="27"/>
  <c r="L53" i="27"/>
  <c r="AK52" i="27"/>
  <c r="AJ52" i="27"/>
  <c r="AI52" i="27"/>
  <c r="AG52" i="27"/>
  <c r="AA52" i="27"/>
  <c r="V52" i="27"/>
  <c r="P52" i="27"/>
  <c r="L52" i="27"/>
  <c r="AK51" i="27"/>
  <c r="AJ51" i="27"/>
  <c r="AI51" i="27"/>
  <c r="AG51" i="27"/>
  <c r="AA51" i="27"/>
  <c r="V51" i="27"/>
  <c r="P51" i="27"/>
  <c r="L51" i="27"/>
  <c r="AK50" i="27"/>
  <c r="AJ50" i="27"/>
  <c r="AI50" i="27"/>
  <c r="AG50" i="27"/>
  <c r="AA50" i="27"/>
  <c r="V50" i="27"/>
  <c r="P50" i="27"/>
  <c r="L50" i="27"/>
  <c r="AK49" i="27"/>
  <c r="AJ49" i="27"/>
  <c r="AI49" i="27"/>
  <c r="AG49" i="27"/>
  <c r="AA49" i="27"/>
  <c r="V49" i="27"/>
  <c r="P49" i="27"/>
  <c r="L49" i="27"/>
  <c r="AK48" i="27"/>
  <c r="AJ48" i="27"/>
  <c r="AI48" i="27"/>
  <c r="AG48" i="27"/>
  <c r="AA48" i="27"/>
  <c r="V48" i="27"/>
  <c r="P48" i="27"/>
  <c r="L48" i="27"/>
  <c r="AK47" i="27"/>
  <c r="AJ47" i="27"/>
  <c r="AI47" i="27"/>
  <c r="AG47" i="27"/>
  <c r="AA47" i="27"/>
  <c r="V47" i="27"/>
  <c r="P47" i="27"/>
  <c r="L47" i="27"/>
  <c r="AK46" i="27"/>
  <c r="AJ46" i="27"/>
  <c r="AI46" i="27"/>
  <c r="AG46" i="27"/>
  <c r="AA46" i="27"/>
  <c r="V46" i="27"/>
  <c r="P46" i="27"/>
  <c r="L46" i="27"/>
  <c r="AK45" i="27"/>
  <c r="AJ45" i="27"/>
  <c r="AI45" i="27"/>
  <c r="AG45" i="27"/>
  <c r="AA45" i="27"/>
  <c r="V45" i="27"/>
  <c r="P45" i="27"/>
  <c r="L45" i="27"/>
  <c r="AK44" i="27"/>
  <c r="AJ44" i="27"/>
  <c r="AI44" i="27"/>
  <c r="AG44" i="27"/>
  <c r="AA44" i="27"/>
  <c r="V44" i="27"/>
  <c r="P44" i="27"/>
  <c r="L44" i="27"/>
  <c r="AK43" i="27"/>
  <c r="AJ43" i="27"/>
  <c r="AI43" i="27"/>
  <c r="AG43" i="27"/>
  <c r="AA43" i="27"/>
  <c r="V43" i="27"/>
  <c r="P43" i="27"/>
  <c r="L43" i="27"/>
  <c r="AK42" i="27"/>
  <c r="AJ42" i="27"/>
  <c r="AI42" i="27"/>
  <c r="AG42" i="27"/>
  <c r="AA42" i="27"/>
  <c r="V42" i="27"/>
  <c r="P42" i="27"/>
  <c r="L42" i="27"/>
  <c r="AK41" i="27"/>
  <c r="AJ41" i="27"/>
  <c r="AI41" i="27"/>
  <c r="AG41" i="27"/>
  <c r="AA41" i="27"/>
  <c r="V41" i="27"/>
  <c r="P41" i="27"/>
  <c r="L41" i="27"/>
  <c r="AK40" i="27"/>
  <c r="AJ40" i="27"/>
  <c r="AI40" i="27"/>
  <c r="AG40" i="27"/>
  <c r="AA40" i="27"/>
  <c r="V40" i="27"/>
  <c r="P40" i="27"/>
  <c r="L40" i="27"/>
  <c r="AK39" i="27"/>
  <c r="AJ39" i="27"/>
  <c r="AI39" i="27"/>
  <c r="AG39" i="27"/>
  <c r="AA39" i="27"/>
  <c r="V39" i="27"/>
  <c r="P39" i="27"/>
  <c r="L39" i="27"/>
  <c r="AK38" i="27"/>
  <c r="AJ38" i="27"/>
  <c r="AI38" i="27"/>
  <c r="AG38" i="27"/>
  <c r="AA38" i="27"/>
  <c r="V38" i="27"/>
  <c r="P38" i="27"/>
  <c r="L38" i="27"/>
  <c r="AK37" i="27"/>
  <c r="AJ37" i="27"/>
  <c r="AI37" i="27"/>
  <c r="AG37" i="27"/>
  <c r="AA37" i="27"/>
  <c r="V37" i="27"/>
  <c r="P37" i="27"/>
  <c r="L37" i="27"/>
  <c r="AK36" i="27"/>
  <c r="AJ36" i="27"/>
  <c r="AI36" i="27"/>
  <c r="AG36" i="27"/>
  <c r="AA36" i="27"/>
  <c r="V36" i="27"/>
  <c r="P36" i="27"/>
  <c r="L36" i="27"/>
  <c r="AK35" i="27"/>
  <c r="AJ35" i="27"/>
  <c r="AI35" i="27"/>
  <c r="AG35" i="27"/>
  <c r="AA35" i="27"/>
  <c r="V35" i="27"/>
  <c r="P35" i="27"/>
  <c r="L35" i="27"/>
  <c r="AK34" i="27"/>
  <c r="AJ34" i="27"/>
  <c r="AI34" i="27"/>
  <c r="AG34" i="27"/>
  <c r="AA34" i="27"/>
  <c r="V34" i="27"/>
  <c r="P34" i="27"/>
  <c r="L34" i="27"/>
  <c r="AK33" i="27"/>
  <c r="AJ33" i="27"/>
  <c r="AI33" i="27"/>
  <c r="AG33" i="27"/>
  <c r="AA33" i="27"/>
  <c r="V33" i="27"/>
  <c r="P33" i="27"/>
  <c r="L33" i="27"/>
  <c r="AK32" i="27"/>
  <c r="AJ32" i="27"/>
  <c r="AI32" i="27"/>
  <c r="AG32" i="27"/>
  <c r="AA32" i="27"/>
  <c r="V32" i="27"/>
  <c r="P32" i="27"/>
  <c r="L32" i="27"/>
  <c r="AK31" i="27"/>
  <c r="AJ31" i="27"/>
  <c r="AI31" i="27"/>
  <c r="AG31" i="27"/>
  <c r="AA31" i="27"/>
  <c r="V31" i="27"/>
  <c r="P31" i="27"/>
  <c r="L31" i="27"/>
  <c r="AK30" i="27"/>
  <c r="AJ30" i="27"/>
  <c r="AI30" i="27"/>
  <c r="AG30" i="27"/>
  <c r="AA30" i="27"/>
  <c r="V30" i="27"/>
  <c r="P30" i="27"/>
  <c r="L30" i="27"/>
  <c r="AK29" i="27"/>
  <c r="AJ29" i="27"/>
  <c r="AI29" i="27"/>
  <c r="AG29" i="27"/>
  <c r="AA29" i="27"/>
  <c r="V29" i="27"/>
  <c r="P29" i="27"/>
  <c r="L29" i="27"/>
  <c r="AK28" i="27"/>
  <c r="AJ28" i="27"/>
  <c r="AI28" i="27"/>
  <c r="AG28" i="27"/>
  <c r="AA28" i="27"/>
  <c r="V28" i="27"/>
  <c r="P28" i="27"/>
  <c r="L28" i="27"/>
  <c r="AK27" i="27"/>
  <c r="AJ27" i="27"/>
  <c r="AI27" i="27"/>
  <c r="AG27" i="27"/>
  <c r="AA27" i="27"/>
  <c r="V27" i="27"/>
  <c r="P27" i="27"/>
  <c r="L27" i="27"/>
  <c r="AK26" i="27"/>
  <c r="AJ26" i="27"/>
  <c r="AI26" i="27"/>
  <c r="AG26" i="27"/>
  <c r="AA26" i="27"/>
  <c r="V26" i="27"/>
  <c r="P26" i="27"/>
  <c r="L26" i="27"/>
  <c r="AK25" i="27"/>
  <c r="AJ25" i="27"/>
  <c r="AI25" i="27"/>
  <c r="AG25" i="27"/>
  <c r="AA25" i="27"/>
  <c r="V25" i="27"/>
  <c r="P25" i="27"/>
  <c r="L25" i="27"/>
  <c r="AK24" i="27"/>
  <c r="AJ24" i="27"/>
  <c r="AI24" i="27"/>
  <c r="AG24" i="27"/>
  <c r="AA24" i="27"/>
  <c r="V24" i="27"/>
  <c r="P24" i="27"/>
  <c r="L24" i="27"/>
  <c r="AK23" i="27"/>
  <c r="AJ23" i="27"/>
  <c r="AI23" i="27"/>
  <c r="AG23" i="27"/>
  <c r="AA23" i="27"/>
  <c r="V23" i="27"/>
  <c r="P23" i="27"/>
  <c r="L23" i="27"/>
  <c r="AK22" i="27"/>
  <c r="AJ22" i="27"/>
  <c r="AI22" i="27"/>
  <c r="AG22" i="27"/>
  <c r="AA22" i="27"/>
  <c r="V22" i="27"/>
  <c r="P22" i="27"/>
  <c r="L22" i="27"/>
  <c r="AK21" i="27"/>
  <c r="AJ21" i="27"/>
  <c r="AI21" i="27"/>
  <c r="AG21" i="27"/>
  <c r="AA21" i="27"/>
  <c r="V21" i="27"/>
  <c r="P21" i="27"/>
  <c r="L21" i="27"/>
  <c r="AK20" i="27"/>
  <c r="AJ20" i="27"/>
  <c r="AI20" i="27"/>
  <c r="AG20" i="27"/>
  <c r="AA20" i="27"/>
  <c r="V20" i="27"/>
  <c r="P20" i="27"/>
  <c r="L20" i="27"/>
  <c r="AK19" i="27"/>
  <c r="AJ19" i="27"/>
  <c r="AI19" i="27"/>
  <c r="AG19" i="27"/>
  <c r="AA19" i="27"/>
  <c r="V19" i="27"/>
  <c r="P19" i="27"/>
  <c r="L19" i="27"/>
  <c r="AK18" i="27"/>
  <c r="AJ18" i="27"/>
  <c r="AI18" i="27"/>
  <c r="AG18" i="27"/>
  <c r="AA18" i="27"/>
  <c r="V18" i="27"/>
  <c r="P18" i="27"/>
  <c r="L18" i="27"/>
  <c r="AK17" i="27"/>
  <c r="AJ17" i="27"/>
  <c r="AI17" i="27"/>
  <c r="AG17" i="27"/>
  <c r="AA17" i="27"/>
  <c r="V17" i="27"/>
  <c r="P17" i="27"/>
  <c r="L17" i="27"/>
  <c r="AK16" i="27"/>
  <c r="AJ16" i="27"/>
  <c r="AI16" i="27"/>
  <c r="AG16" i="27"/>
  <c r="AA16" i="27"/>
  <c r="V16" i="27"/>
  <c r="P16" i="27"/>
  <c r="L16" i="27"/>
  <c r="AK15" i="27"/>
  <c r="AJ15" i="27"/>
  <c r="AI15" i="27"/>
  <c r="AG15" i="27"/>
  <c r="AA15" i="27"/>
  <c r="V15" i="27"/>
  <c r="P15" i="27"/>
  <c r="L15" i="27"/>
  <c r="AK14" i="27"/>
  <c r="AJ14" i="27"/>
  <c r="AI14" i="27"/>
  <c r="AG14" i="27"/>
  <c r="AA14" i="27"/>
  <c r="V14" i="27"/>
  <c r="P14" i="27"/>
  <c r="L14" i="27"/>
  <c r="AK13" i="27"/>
  <c r="AJ13" i="27"/>
  <c r="AI13" i="27"/>
  <c r="AG13" i="27"/>
  <c r="AA13" i="27"/>
  <c r="V13" i="27"/>
  <c r="P13" i="27"/>
  <c r="L13" i="27"/>
  <c r="AK12" i="27"/>
  <c r="AJ12" i="27"/>
  <c r="AI12" i="27"/>
  <c r="AG12" i="27"/>
  <c r="AA12" i="27"/>
  <c r="V12" i="27"/>
  <c r="P12" i="27"/>
  <c r="L12" i="27"/>
  <c r="AK11" i="27"/>
  <c r="AJ11" i="27"/>
  <c r="AI11" i="27"/>
  <c r="AG11" i="27"/>
  <c r="AA11" i="27"/>
  <c r="V11" i="27"/>
  <c r="P11" i="27"/>
  <c r="L11" i="27"/>
  <c r="AK10" i="27"/>
  <c r="AJ10" i="27"/>
  <c r="AI10" i="27"/>
  <c r="AG10" i="27"/>
  <c r="AA10" i="27"/>
  <c r="V10" i="27"/>
  <c r="P10" i="27"/>
  <c r="L10" i="27"/>
  <c r="AK9" i="27"/>
  <c r="AJ9" i="27"/>
  <c r="AI9" i="27"/>
  <c r="AG9" i="27"/>
  <c r="AA9" i="27"/>
  <c r="V9" i="27"/>
  <c r="P9" i="27"/>
  <c r="L9" i="27"/>
  <c r="AK8" i="27"/>
  <c r="AJ8" i="27"/>
  <c r="AI8" i="27"/>
  <c r="AG8" i="27"/>
  <c r="AA8" i="27"/>
  <c r="V8" i="27"/>
  <c r="P8" i="27"/>
  <c r="L8" i="27"/>
  <c r="AK7" i="27"/>
  <c r="AJ7" i="27"/>
  <c r="AI7" i="27"/>
  <c r="AG7" i="27"/>
  <c r="AA7" i="27"/>
  <c r="V7" i="27"/>
  <c r="P7" i="27"/>
  <c r="L7" i="27"/>
  <c r="AK6" i="27"/>
  <c r="AJ6" i="27"/>
  <c r="AI6" i="27"/>
  <c r="AG6" i="27"/>
  <c r="AA6" i="27"/>
  <c r="V6" i="27"/>
  <c r="P6" i="27"/>
  <c r="L6" i="27"/>
</calcChain>
</file>

<file path=xl/sharedStrings.xml><?xml version="1.0" encoding="utf-8"?>
<sst xmlns="http://schemas.openxmlformats.org/spreadsheetml/2006/main" count="5645" uniqueCount="966">
  <si>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</si>
  <si>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</si>
  <si>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</si>
  <si>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</si>
  <si>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</si>
  <si>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</si>
  <si>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</si>
  <si>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</si>
  <si>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</si>
  <si>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</si>
  <si>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</si>
  <si>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</si>
  <si>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</si>
  <si>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</si>
  <si>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</si>
  <si>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</si>
  <si>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</si>
  <si>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</si>
  <si>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</si>
  <si>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</si>
  <si>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</si>
  <si>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</si>
  <si>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</si>
  <si>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</si>
  <si>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</si>
  <si>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</si>
  <si>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</si>
  <si>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</si>
  <si>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</si>
  <si>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</si>
  <si>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</si>
  <si>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</si>
  <si>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</si>
  <si>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</si>
  <si>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</si>
  <si>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</si>
  <si>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</si>
  <si>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</si>
  <si>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</si>
  <si>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</si>
  <si>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</si>
  <si>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</si>
  <si>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</si>
  <si>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</si>
  <si>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</si>
  <si>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</si>
  <si>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</si>
  <si>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</si>
  <si>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</si>
  <si>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</si>
  <si>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</si>
  <si>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</si>
  <si>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</si>
  <si>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</si>
  <si>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</si>
  <si>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</si>
  <si>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</si>
  <si>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</si>
  <si>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</si>
  <si>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</si>
  <si>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</si>
  <si>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</si>
  <si>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</si>
  <si>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</si>
  <si>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</si>
  <si>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</si>
  <si>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</si>
  <si>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</si>
  <si>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</si>
  <si>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</si>
  <si>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</si>
  <si>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</si>
  <si>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</si>
  <si>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</si>
  <si>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</si>
  <si>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</si>
  <si>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</si>
  <si>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</si>
  <si>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</si>
  <si>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</si>
  <si>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</si>
  <si>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</si>
  <si>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</si>
  <si>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</si>
  <si>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</si>
  <si>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</si>
  <si>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</si>
  <si>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</si>
  <si>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</si>
  <si>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</si>
  <si>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</si>
  <si>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</si>
  <si>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</si>
  <si>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</si>
  <si>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</si>
  <si>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</si>
  <si>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</si>
  <si>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</si>
  <si>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</si>
  <si>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</si>
  <si>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</si>
  <si>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</si>
  <si>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</si>
  <si>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</si>
  <si>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</si>
  <si>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</si>
  <si>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</si>
  <si>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</si>
  <si>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</si>
  <si>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</si>
  <si>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</si>
  <si>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</si>
  <si>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</si>
  <si>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</si>
  <si>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</si>
  <si>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</si>
  <si>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</si>
  <si>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</si>
  <si>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</si>
  <si>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</si>
  <si>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</si>
  <si>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</si>
  <si>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</si>
  <si>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</si>
  <si>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</si>
  <si>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</si>
  <si>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</si>
  <si>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</si>
  <si>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</si>
  <si>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</si>
  <si>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</si>
  <si>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</si>
  <si>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</si>
  <si>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</si>
  <si>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</si>
  <si>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</si>
  <si>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</si>
  <si>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</si>
  <si>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</si>
  <si>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</si>
  <si>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</si>
  <si>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</si>
  <si>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</si>
  <si>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</si>
  <si>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</si>
  <si>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</si>
  <si>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</si>
  <si>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</si>
  <si>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</si>
  <si>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</si>
  <si>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</si>
  <si>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</si>
  <si>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</si>
  <si>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</si>
  <si>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</si>
  <si>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</si>
  <si>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</si>
  <si>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</si>
  <si>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</si>
  <si>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</si>
  <si>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</si>
  <si>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</si>
  <si>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</si>
  <si>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</si>
  <si>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</si>
  <si>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</si>
  <si>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</si>
  <si>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</si>
  <si>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</si>
  <si>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</si>
  <si>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</si>
  <si>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</si>
  <si>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</si>
  <si>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</si>
  <si>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</si>
  <si>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</si>
  <si>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</si>
  <si>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</si>
  <si>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</si>
  <si>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</si>
  <si>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</si>
  <si>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</si>
  <si>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</si>
  <si>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</si>
  <si>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</si>
  <si>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</si>
  <si>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</si>
  <si>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</si>
  <si>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</si>
  <si>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</si>
  <si>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</si>
  <si>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</si>
  <si>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</si>
  <si>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</si>
  <si>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</si>
  <si>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</si>
  <si>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</si>
  <si>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</si>
  <si>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</si>
  <si>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</si>
  <si>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</si>
  <si>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</si>
  <si>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</si>
  <si>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</si>
  <si>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</si>
  <si>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</si>
  <si>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</si>
  <si>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</si>
  <si>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</si>
  <si>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</si>
  <si>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</si>
  <si>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</si>
  <si>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</si>
  <si>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</si>
  <si>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</si>
  <si>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</si>
  <si>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</si>
  <si>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</si>
  <si>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</si>
  <si>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</si>
  <si>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</si>
  <si>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</si>
  <si>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</si>
  <si>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</si>
  <si>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</si>
  <si>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</si>
  <si>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</si>
  <si>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</si>
  <si>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</si>
  <si>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</si>
  <si>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</si>
  <si>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</si>
  <si>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</si>
  <si>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</si>
  <si>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</si>
  <si>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</si>
  <si>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</si>
  <si>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</si>
  <si>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</si>
  <si>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</si>
  <si>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</si>
  <si>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</si>
  <si>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</si>
  <si>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</si>
  <si>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</si>
  <si>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</si>
  <si>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</si>
  <si>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</si>
  <si>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</si>
  <si>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</si>
  <si>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</si>
  <si>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</si>
  <si>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</si>
  <si>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</si>
  <si>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</si>
  <si>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</si>
  <si>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</si>
  <si>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</si>
  <si>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</si>
  <si>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</si>
  <si>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</si>
  <si>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</si>
  <si>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</si>
  <si>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</si>
  <si>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</si>
  <si>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</si>
  <si>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</si>
  <si>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</si>
  <si>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</si>
  <si>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</si>
  <si>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</si>
  <si>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</si>
  <si>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</si>
  <si>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</si>
  <si>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</si>
  <si>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</si>
  <si>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</si>
  <si>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</si>
  <si>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</si>
  <si>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</si>
  <si>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</si>
  <si>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</si>
  <si>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</si>
  <si>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</si>
  <si>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</si>
  <si>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</si>
  <si>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</si>
  <si>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</si>
  <si>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</si>
  <si>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</si>
  <si>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</si>
  <si>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</si>
  <si>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</si>
  <si>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</si>
  <si>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</si>
  <si>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</si>
  <si>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</si>
  <si>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</si>
  <si>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</si>
  <si>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</si>
  <si>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</si>
  <si>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</si>
  <si>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</si>
  <si>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</si>
  <si>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</si>
  <si>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</si>
  <si>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</si>
  <si>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</si>
  <si>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</si>
  <si>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</si>
  <si>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</si>
  <si>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</si>
  <si>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</si>
  <si>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</si>
  <si>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</si>
  <si>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</si>
  <si>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</si>
  <si>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</si>
  <si>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</si>
  <si>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</si>
  <si>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</si>
  <si>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</si>
  <si>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</si>
  <si>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</si>
  <si>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</si>
  <si>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</si>
  <si>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</si>
  <si>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</si>
  <si>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</si>
  <si>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</si>
  <si>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</si>
  <si>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</si>
  <si>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</si>
  <si>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</si>
  <si>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</si>
  <si>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</si>
  <si>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</si>
  <si>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</si>
  <si>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</si>
  <si>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</si>
  <si>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</si>
  <si>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</si>
  <si>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</si>
  <si>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</si>
  <si>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</si>
  <si>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</si>
  <si>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</si>
  <si>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</si>
  <si>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</si>
  <si>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</si>
  <si>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</si>
  <si>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</si>
  <si>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</si>
  <si>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</si>
  <si>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</si>
  <si>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</si>
  <si>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</si>
  <si>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</si>
  <si>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</si>
  <si>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</si>
  <si>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</si>
  <si>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</si>
  <si>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</si>
  <si>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</si>
  <si>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</si>
  <si>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</si>
  <si>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</si>
  <si>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</si>
  <si>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</si>
  <si>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</si>
  <si>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</si>
  <si>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</si>
  <si>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</si>
  <si>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</si>
  <si>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</si>
  <si>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</si>
  <si>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</si>
  <si>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</si>
  <si>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</si>
  <si>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</si>
  <si>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</si>
  <si>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</si>
  <si>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</si>
  <si>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</si>
  <si>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</si>
  <si>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</si>
  <si>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</si>
  <si>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</si>
  <si>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</si>
  <si>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</si>
  <si>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</si>
  <si>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</si>
  <si>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</si>
  <si>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</si>
  <si>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</si>
  <si>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</si>
  <si>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</si>
  <si>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</si>
  <si>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</si>
  <si>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</si>
  <si>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</si>
  <si>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</si>
  <si>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</si>
  <si>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</si>
  <si>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</si>
  <si>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</si>
  <si>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</si>
  <si>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</si>
  <si>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</si>
  <si>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</si>
  <si>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</si>
  <si>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</si>
  <si>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</si>
  <si>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</si>
  <si>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</si>
  <si>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</si>
  <si>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</si>
  <si>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</si>
  <si>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</si>
  <si>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</si>
  <si>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</si>
  <si>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</si>
  <si>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</si>
  <si>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</si>
  <si>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</si>
  <si>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</si>
  <si>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</si>
  <si>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</si>
  <si>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</si>
  <si>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</si>
  <si>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</si>
  <si>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</si>
  <si>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</si>
  <si>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</si>
  <si>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</si>
  <si>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</si>
  <si>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</si>
  <si>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</si>
  <si>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</si>
  <si>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</si>
  <si>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</si>
  <si>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</si>
  <si>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</si>
  <si>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</si>
  <si>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</si>
  <si>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</si>
  <si>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</si>
  <si>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</si>
  <si>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</si>
  <si>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</si>
  <si>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</si>
  <si>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</si>
  <si>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</si>
  <si>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</si>
  <si>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</si>
  <si>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</si>
  <si>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</si>
  <si>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</si>
  <si>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</si>
  <si>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</si>
  <si>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</si>
  <si>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</si>
  <si>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</si>
  <si>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</si>
  <si>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</si>
  <si>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</si>
  <si>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</si>
  <si>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</si>
  <si>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</si>
  <si>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</si>
  <si>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</si>
  <si>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</si>
  <si>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</si>
  <si>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</si>
  <si>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</si>
  <si>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</si>
  <si>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</si>
  <si>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</si>
  <si>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</si>
  <si>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</si>
  <si>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</si>
  <si>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</si>
  <si>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</si>
  <si>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</si>
  <si>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</si>
  <si>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</si>
  <si>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</si>
  <si>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</si>
  <si>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</si>
  <si>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</si>
  <si>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</si>
  <si>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</si>
  <si>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</si>
  <si>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</si>
  <si>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</si>
  <si>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</si>
  <si>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</si>
  <si>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</si>
  <si>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</si>
  <si>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</si>
  <si>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</si>
  <si>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</si>
  <si>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</si>
  <si>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</si>
  <si>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</si>
  <si>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</si>
  <si>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</si>
  <si>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</si>
  <si>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</si>
  <si>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</si>
  <si>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</si>
  <si>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</si>
  <si>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</si>
  <si>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</si>
  <si>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</si>
  <si>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</si>
  <si>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</si>
  <si>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</si>
  <si>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</si>
  <si>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</si>
  <si>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</si>
  <si>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</si>
  <si>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</si>
  <si>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</si>
  <si>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</si>
  <si>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</si>
  <si>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</si>
  <si>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</si>
  <si>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</si>
  <si>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</si>
  <si>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</si>
  <si>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</si>
  <si>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</si>
  <si>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</si>
  <si>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</si>
  <si>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</si>
  <si>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</si>
  <si>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</si>
  <si>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</si>
  <si>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</si>
  <si>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</si>
  <si>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</si>
  <si>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</si>
  <si>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</si>
  <si>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</si>
  <si>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</si>
  <si>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</si>
  <si>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</si>
  <si>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</si>
  <si>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</si>
  <si>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</si>
  <si>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</si>
  <si>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</si>
  <si>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</si>
  <si>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</si>
  <si>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</si>
  <si>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</si>
  <si>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</si>
  <si>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</si>
  <si>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</si>
  <si>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</si>
  <si>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</si>
  <si>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</si>
  <si>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</si>
  <si>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</si>
  <si>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</si>
  <si>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</si>
  <si>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</si>
  <si>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</si>
  <si>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</si>
  <si>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</si>
  <si>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</si>
  <si>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</si>
  <si>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</si>
  <si>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</si>
  <si>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</si>
  <si>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</si>
  <si>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</si>
  <si>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</si>
  <si>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</si>
  <si>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</si>
  <si>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</si>
  <si>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</si>
  <si>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</si>
  <si>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</si>
  <si>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</si>
  <si>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</si>
  <si>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</si>
  <si>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</si>
  <si>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</si>
  <si>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</si>
  <si>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</si>
  <si>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</si>
  <si>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</si>
  <si>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</si>
  <si>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</si>
  <si>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</si>
  <si>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</si>
  <si>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</si>
  <si>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</si>
  <si>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</si>
  <si>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</si>
  <si>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</si>
  <si>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</si>
  <si>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</si>
  <si>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</si>
  <si>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</si>
  <si>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</si>
  <si>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</si>
  <si>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</si>
  <si>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</si>
  <si>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</si>
  <si>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</si>
  <si>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</si>
  <si>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</si>
  <si>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</si>
  <si>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</si>
  <si>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</si>
  <si>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</si>
  <si>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</si>
  <si>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</si>
  <si>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</si>
  <si>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</si>
  <si>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</si>
  <si>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S_2_690_M-1-I-1-1_20_GMNIA_N__1</t>
  </si>
  <si>
    <t>S_2_690_M-1-I-1-2_20_GMNIA_N__2</t>
  </si>
  <si>
    <t>S_2_690_M-1-I-1-3_20_GMNIA_N__3</t>
  </si>
  <si>
    <t>S_2_690_M-1-I-1-4_20_GMNIA_N__4</t>
  </si>
  <si>
    <t>S_2_690_M-1-I-1-5_20_GMNIA_N__5</t>
  </si>
  <si>
    <t>S_2_690_M-1-I-1-6_20_GMNIA_N__6</t>
  </si>
  <si>
    <t>S_2_690_M-1-I-1-7_20_GMNIA_N__7</t>
  </si>
  <si>
    <t>S_2_690_M-1-I-1-8_20_GMNIA_N__8</t>
  </si>
  <si>
    <t>S_2_690_M-1-I-2-1_20_GMNIA_N__9</t>
  </si>
  <si>
    <t>S_2_690_M-1-I-2-2_20_GMNIA_N__10</t>
  </si>
  <si>
    <t>S_2_690_M-1-I-2-3_20_GMNIA_N__11</t>
  </si>
  <si>
    <t>S_2_690_M-1-I-2-4_20_GMNIA_N__12</t>
  </si>
  <si>
    <t>S_2_690_M-1-I-2-5_20_GMNIA_N__13</t>
  </si>
  <si>
    <t>S_2_690_M-1-I-2-6_20_GMNIA_N__14</t>
  </si>
  <si>
    <t>S_2_690_M-1-I-2-7_20_GMNIA_N__15</t>
  </si>
  <si>
    <t>S_2_690_M-1-I-2-8_20_GMNIA_N__16</t>
  </si>
  <si>
    <t>S_2_690_M-1-I-3-1_20_GMNIA_N__17</t>
  </si>
  <si>
    <t>S_2_690_M-1-I-3-2_20_GMNIA_N__18</t>
  </si>
  <si>
    <t>S_2_690_M-1-I-3-3_20_GMNIA_N__19</t>
  </si>
  <si>
    <t>S_2_690_M-1-I-3-4_20_GMNIA_N__20</t>
  </si>
  <si>
    <t>S_2_690_M-1-I-3-5_20_GMNIA_N__21</t>
  </si>
  <si>
    <t>S_2_690_M-1-I-3-6_20_GMNIA_N__22</t>
  </si>
  <si>
    <t>S_2_690_M-1-I-3-7_20_GMNIA_N__23</t>
  </si>
  <si>
    <t>S_2_690_M-1-I-3-8_20_GMNIA_N__24</t>
  </si>
  <si>
    <t>S_2_690_M-1-I-4-1_20_GMNIA_N__25</t>
  </si>
  <si>
    <t>S_2_690_M-1-I-4-2_20_GMNIA_N__26</t>
  </si>
  <si>
    <t>S_2_690_M-1-I-4-3_20_GMNIA_N__27</t>
  </si>
  <si>
    <t>S_2_690_M-1-I-4-4_20_GMNIA_N__28</t>
  </si>
  <si>
    <t>S_2_690_M-1-I-4-5_20_GMNIA_N__29</t>
  </si>
  <si>
    <t>S_2_690_M-1-I-4-6_20_GMNIA_N__30</t>
  </si>
  <si>
    <t>S_2_690_M-1-I-4-7_20_GMNIA_N__31</t>
  </si>
  <si>
    <t>S_2_690_M-1-I-4-8_20_GMNIA_N__32</t>
  </si>
  <si>
    <t>S_2_690_M-1-I-5-1_20_GMNIA_N__33</t>
  </si>
  <si>
    <t>S_2_690_M-1-I-5-2_20_GMNIA_N__34</t>
  </si>
  <si>
    <t>S_2_690_M-1-I-5-3_20_GMNIA_N__35</t>
  </si>
  <si>
    <t>S_2_690_M-1-I-5-4_20_GMNIA_N__36</t>
  </si>
  <si>
    <t>S_2_690_M-1-I-5-5_20_GMNIA_N__37</t>
  </si>
  <si>
    <t>S_2_690_M-1-I-5-6_20_GMNIA_N__38</t>
  </si>
  <si>
    <t>S_2_690_M-1-I-5-7_20_GMNIA_N__39</t>
  </si>
  <si>
    <t>S_2_690_M-1-I-5-8_20_GMNIA_N__40</t>
  </si>
  <si>
    <t>S_2_690_M-1-I-6-1_20_GMNIA_N__41</t>
  </si>
  <si>
    <t>S_2_690_M-1-I-6-2_20_GMNIA_N__42</t>
  </si>
  <si>
    <t>S_2_690_M-1-I-6-3_20_GMNIA_N__43</t>
  </si>
  <si>
    <t>S_2_690_M-1-I-6-4_20_GMNIA_N__44</t>
  </si>
  <si>
    <t>S_2_690_M-1-I-6-5_20_GMNIA_N__45</t>
  </si>
  <si>
    <t>S_2_690_M-1-I-6-6_20_GMNIA_N__46</t>
  </si>
  <si>
    <t>S_2_690_M-1-I-6-7_20_GMNIA_N__47</t>
  </si>
  <si>
    <t>S_2_690_M-1-I-6-8_20_GMNIA_N__48</t>
  </si>
  <si>
    <t>S_2_690_M-1-H-1-1_20_GMNIA_N__49</t>
  </si>
  <si>
    <t>S_2_690_M-1-H-1-2_20_GMNIA_N__50</t>
  </si>
  <si>
    <t>S_2_690_M-1-H-1-3_20_GMNIA_N__51</t>
  </si>
  <si>
    <t>S_2_690_M-1-H-1-4_20_GMNIA_N__52</t>
  </si>
  <si>
    <t>S_2_690_M-1-H-1-5_20_GMNIA_N__53</t>
  </si>
  <si>
    <t>S_2_690_M-1-H-1-6_20_GMNIA_N__54</t>
  </si>
  <si>
    <t>S_2_690_M-1-H-1-7_20_GMNIA_N__55</t>
  </si>
  <si>
    <t>S_2_690_M-1-H-1-8_20_GMNIA_N__56</t>
  </si>
  <si>
    <t>S_2_690_M-1-H-2-1_20_GMNIA_N__57</t>
  </si>
  <si>
    <t>S_2_690_M-1-H-2-2_20_GMNIA_N__58</t>
  </si>
  <si>
    <t>S_2_690_M-1-H-2-3_20_GMNIA_N__59</t>
  </si>
  <si>
    <t>S_2_690_M-1-H-2-4_20_GMNIA_N__60</t>
  </si>
  <si>
    <t>S_2_690_M-1-H-2-5_20_GMNIA_N__61</t>
  </si>
  <si>
    <t>S_2_690_M-1-H-2-6_20_GMNIA_N__62</t>
  </si>
  <si>
    <t>S_2_690_M-1-H-2-7_20_GMNIA_N__63</t>
  </si>
  <si>
    <t>S_2_690_M-1-H-2-8_20_GMNIA_N__64</t>
  </si>
  <si>
    <t>S_2_690_M-1-H-3-1_20_GMNIA_N__65</t>
  </si>
  <si>
    <t>S_2_690_M-1-H-3-2_20_GMNIA_N__66</t>
  </si>
  <si>
    <t>S_2_690_M-1-H-3-3_20_GMNIA_N__67</t>
  </si>
  <si>
    <t>S_2_690_M-1-H-3-4_20_GMNIA_N__68</t>
  </si>
  <si>
    <t>S_2_690_M-1-H-3-5_20_GMNIA_N__69</t>
  </si>
  <si>
    <t>S_2_690_M-1-H-3-6_20_GMNIA_N__70</t>
  </si>
  <si>
    <t>S_2_690_M-1-H-3-7_20_GMNIA_N__71</t>
  </si>
  <si>
    <t>S_2_690_M-1-H-3-8_20_GMNIA_N__72</t>
  </si>
  <si>
    <t>S_2_690_M-1-H-4-1_20_GMNIA_N__73</t>
  </si>
  <si>
    <t>S_2_690_M-1-H-4-2_20_GMNIA_N__74</t>
  </si>
  <si>
    <t>S_2_690_M-1-H-4-3_20_GMNIA_N__75</t>
  </si>
  <si>
    <t>S_2_690_M-1-H-4-4_20_GMNIA_N__76</t>
  </si>
  <si>
    <t>S_2_690_M-1-H-4-5_20_GMNIA_N__77</t>
  </si>
  <si>
    <t>S_2_690_M-1-H-4-6_20_GMNIA_N__78</t>
  </si>
  <si>
    <t>S_2_690_M-1-H-4-7_20_GMNIA_N__79</t>
  </si>
  <si>
    <t>S_2_690_M-1-H-4-8_20_GMNIA_N__80</t>
  </si>
  <si>
    <t>S_2_690_M-1-H-5-1_20_GMNIA_N__81</t>
  </si>
  <si>
    <t>S_2_690_M-1-H-5-2_20_GMNIA_N__82</t>
  </si>
  <si>
    <t>S_2_690_M-1-H-5-3_20_GMNIA_N__83</t>
  </si>
  <si>
    <t>S_2_690_M-1-H-5-4_20_GMNIA_N__84</t>
  </si>
  <si>
    <t>S_2_690_M-1-H-5-5_20_GMNIA_N__85</t>
  </si>
  <si>
    <t>S_2_690_M-1-H-5-6_20_GMNIA_N__86</t>
  </si>
  <si>
    <t>S_2_690_M-1-H-5-7_20_GMNIA_N__87</t>
  </si>
  <si>
    <t>S_2_690_M-1-H-5-8_20_GMNIA_N__88</t>
  </si>
  <si>
    <t>S_2_690_M-1-H-6-1_20_GMNIA_N__89</t>
  </si>
  <si>
    <t>S_2_690_M-1-H-6-2_20_GMNIA_N__90</t>
  </si>
  <si>
    <t>S_2_690_M-1-H-6-3_20_GMNIA_N__91</t>
  </si>
  <si>
    <t>S_2_690_M-1-H-6-4_20_GMNIA_N__92</t>
  </si>
  <si>
    <t>S_2_690_M-1-H-6-5_20_GMNIA_N__93</t>
  </si>
  <si>
    <t>S_2_690_M-1-H-6-6_20_GMNIA_N__94</t>
  </si>
  <si>
    <t>S_2_690_M-1-H-6-7_20_GMNIA_N__95</t>
  </si>
  <si>
    <t>S_2_690_M-1-H-6-8_20_GMNIA_N__96</t>
  </si>
  <si>
    <t>S_2_460_M-2-I-1-1_20_GMNIA_N__97</t>
  </si>
  <si>
    <t>S_2_460_M-2-I-1-2_20_GMNIA_N__98</t>
  </si>
  <si>
    <t>S_2_460_M-2-I-1-3_20_GMNIA_N__99</t>
  </si>
  <si>
    <t>S_2_460_M-2-I-1-4_20_GMNIA_N__100</t>
  </si>
  <si>
    <t>S_2_460_M-2-I-1-5_20_GMNIA_N__101</t>
  </si>
  <si>
    <t>S_2_460_M-2-I-1-6_20_GMNIA_N__102</t>
  </si>
  <si>
    <t>S_2_460_M-2-I-1-7_20_GMNIA_N__103</t>
  </si>
  <si>
    <t>S_2_460_M-2-I-1-8_20_GMNIA_N__104</t>
  </si>
  <si>
    <t>S_2_460_M-2-I-2-1_20_GMNIA_N__105</t>
  </si>
  <si>
    <t>S_2_460_M-2-I-2-2_20_GMNIA_N__106</t>
  </si>
  <si>
    <t>S_2_460_M-2-I-2-3_20_GMNIA_N__107</t>
  </si>
  <si>
    <t>S_2_460_M-2-I-2-4_20_GMNIA_N__108</t>
  </si>
  <si>
    <t>S_2_460_M-2-I-2-5_20_GMNIA_N__109</t>
  </si>
  <si>
    <t>S_2_460_M-2-I-2-6_20_GMNIA_N__110</t>
  </si>
  <si>
    <t>S_2_460_M-2-I-2-7_20_GMNIA_N__111</t>
  </si>
  <si>
    <t>S_2_460_M-2-I-2-8_20_GMNIA_N__112</t>
  </si>
  <si>
    <t>S_2_460_M-2-I-3-1_20_GMNIA_N__113</t>
  </si>
  <si>
    <t>S_2_460_M-2-I-3-2_20_GMNIA_N__114</t>
  </si>
  <si>
    <t>S_2_460_M-2-I-3-3_20_GMNIA_N__115</t>
  </si>
  <si>
    <t>S_2_460_M-2-I-3-4_20_GMNIA_N__116</t>
  </si>
  <si>
    <t>S_2_460_M-2-I-3-5_20_GMNIA_N__117</t>
  </si>
  <si>
    <t>S_2_460_M-2-I-3-6_20_GMNIA_N__118</t>
  </si>
  <si>
    <t>S_2_460_M-2-I-3-7_20_GMNIA_N__119</t>
  </si>
  <si>
    <t>S_2_460_M-2-I-3-8_20_GMNIA_N__120</t>
  </si>
  <si>
    <t>S_2_460_M-2-I-4-1_20_GMNIA_N__121</t>
  </si>
  <si>
    <t>S_2_460_M-2-I-4-2_20_GMNIA_N__122</t>
  </si>
  <si>
    <t>S_2_460_M-2-I-4-3_20_GMNIA_N__123</t>
  </si>
  <si>
    <t>S_2_460_M-2-I-4-4_20_GMNIA_N__124</t>
  </si>
  <si>
    <t>S_2_460_M-2-I-4-5_20_GMNIA_N__125</t>
  </si>
  <si>
    <t>S_2_460_M-2-I-4-6_20_GMNIA_N__126</t>
  </si>
  <si>
    <t>S_2_460_M-2-I-4-7_20_GMNIA_N__127</t>
  </si>
  <si>
    <t>S_2_460_M-2-I-4-8_20_GMNIA_N__128</t>
  </si>
  <si>
    <t>S_2_460_M-2-I-5-1_20_GMNIA_N__129</t>
  </si>
  <si>
    <t>S_2_460_M-2-I-5-2_20_GMNIA_N__130</t>
  </si>
  <si>
    <t>S_2_460_M-2-I-5-3_20_GMNIA_N__131</t>
  </si>
  <si>
    <t>S_2_460_M-2-I-5-4_20_GMNIA_N__132</t>
  </si>
  <si>
    <t>S_2_460_M-2-I-5-5_20_GMNIA_N__133</t>
  </si>
  <si>
    <t>S_2_460_M-2-I-5-6_20_GMNIA_N__134</t>
  </si>
  <si>
    <t>S_2_460_M-2-I-5-7_20_GMNIA_N__135</t>
  </si>
  <si>
    <t>S_2_460_M-2-I-5-8_20_GMNIA_N__136</t>
  </si>
  <si>
    <t>S_2_460_M-2-I-6-1_20_GMNIA_N__137</t>
  </si>
  <si>
    <t>S_2_460_M-2-I-6-2_20_GMNIA_N__138</t>
  </si>
  <si>
    <t>S_2_460_M-2-I-6-3_20_GMNIA_N__139</t>
  </si>
  <si>
    <t>S_2_460_M-2-I-6-4_20_GMNIA_N__140</t>
  </si>
  <si>
    <t>S_2_460_M-2-I-6-5_20_GMNIA_N__141</t>
  </si>
  <si>
    <t>S_2_460_M-2-I-6-6_20_GMNIA_N__142</t>
  </si>
  <si>
    <t>S_2_460_M-2-I-6-7_20_GMNIA_N__143</t>
  </si>
  <si>
    <t>S_2_460_M-2-I-6-8_20_GMNIA_N__144</t>
  </si>
  <si>
    <t>S_2_460_M-2-H-1-1_20_GMNIA_N__145</t>
  </si>
  <si>
    <t>S_2_460_M-2-H-1-2_20_GMNIA_N__146</t>
  </si>
  <si>
    <t>S_2_460_M-2-H-1-3_20_GMNIA_N__147</t>
  </si>
  <si>
    <t>S_2_460_M-2-H-1-4_20_GMNIA_N__148</t>
  </si>
  <si>
    <t>S_2_460_M-2-H-1-5_20_GMNIA_N__149</t>
  </si>
  <si>
    <t>S_2_460_M-2-H-1-6_20_GMNIA_N__150</t>
  </si>
  <si>
    <t>S_2_460_M-2-H-1-7_20_GMNIA_N__151</t>
  </si>
  <si>
    <t>S_2_460_M-2-H-1-8_20_GMNIA_N__152</t>
  </si>
  <si>
    <t>S_2_460_M-2-H-2-1_20_GMNIA_N__153</t>
  </si>
  <si>
    <t>S_2_460_M-2-H-2-2_20_GMNIA_N__154</t>
  </si>
  <si>
    <t>S_2_460_M-2-H-2-3_20_GMNIA_N__155</t>
  </si>
  <si>
    <t>S_2_460_M-2-H-2-4_20_GMNIA_N__156</t>
  </si>
  <si>
    <t>S_2_460_M-2-H-2-5_20_GMNIA_N__157</t>
  </si>
  <si>
    <t>S_2_460_M-2-H-2-6_20_GMNIA_N__158</t>
  </si>
  <si>
    <t>S_2_460_M-2-H-2-7_20_GMNIA_N__159</t>
  </si>
  <si>
    <t>S_2_460_M-2-H-2-8_20_GMNIA_N__160</t>
  </si>
  <si>
    <t>S_2_460_M-2-H-3-1_20_GMNIA_N__161</t>
  </si>
  <si>
    <t>S_2_460_M-2-H-3-2_20_GMNIA_N__162</t>
  </si>
  <si>
    <t>S_2_460_M-2-H-3-3_20_GMNIA_N__163</t>
  </si>
  <si>
    <t>S_2_460_M-2-H-3-4_20_GMNIA_N__164</t>
  </si>
  <si>
    <t>S_2_460_M-2-H-3-5_20_GMNIA_N__165</t>
  </si>
  <si>
    <t>S_2_460_M-2-H-3-6_20_GMNIA_N__166</t>
  </si>
  <si>
    <t>S_2_460_M-2-H-3-7_20_GMNIA_N__167</t>
  </si>
  <si>
    <t>S_2_460_M-2-H-3-8_20_GMNIA_N__168</t>
  </si>
  <si>
    <t>S_2_460_M-2-H-4-1_20_GMNIA_N__169</t>
  </si>
  <si>
    <t>S_2_460_M-2-H-4-2_20_GMNIA_N__170</t>
  </si>
  <si>
    <t>S_2_460_M-2-H-4-3_20_GMNIA_N__171</t>
  </si>
  <si>
    <t>S_2_460_M-2-H-4-4_20_GMNIA_N__172</t>
  </si>
  <si>
    <t>S_2_460_M-2-H-4-5_20_GMNIA_N__173</t>
  </si>
  <si>
    <t>S_2_460_M-2-H-4-6_20_GMNIA_N__174</t>
  </si>
  <si>
    <t>S_2_460_M-2-H-4-7_20_GMNIA_N__175</t>
  </si>
  <si>
    <t>S_2_460_M-2-H-4-8_20_GMNIA_N__176</t>
  </si>
  <si>
    <t>S_2_460_M-2-H-5-1_20_GMNIA_N__177</t>
  </si>
  <si>
    <t>S_2_460_M-2-H-5-2_20_GMNIA_N__178</t>
  </si>
  <si>
    <t>S_2_460_M-2-H-5-3_20_GMNIA_N__179</t>
  </si>
  <si>
    <t>S_2_460_M-2-H-5-4_20_GMNIA_N__180</t>
  </si>
  <si>
    <t>S_2_460_M-2-H-5-5_20_GMNIA_N__181</t>
  </si>
  <si>
    <t>S_2_460_M-2-H-5-6_20_GMNIA_N__182</t>
  </si>
  <si>
    <t>S_2_460_M-2-H-5-7_20_GMNIA_N__183</t>
  </si>
  <si>
    <t>S_2_460_M-2-H-5-8_20_GMNIA_N__184</t>
  </si>
  <si>
    <t>S_2_460_M-2-H-6-1_20_GMNIA_N__185</t>
  </si>
  <si>
    <t>S_2_460_M-2-H-6-2_20_GMNIA_N__186</t>
  </si>
  <si>
    <t>S_2_460_M-2-H-6-3_20_GMNIA_N__187</t>
  </si>
  <si>
    <t>S_2_460_M-2-H-6-4_20_GMNIA_N__188</t>
  </si>
  <si>
    <t>S_2_460_M-2-H-6-5_20_GMNIA_N__189</t>
  </si>
  <si>
    <t>S_2_460_M-2-H-6-6_20_GMNIA_N__190</t>
  </si>
  <si>
    <t>S_2_460_M-2-H-6-7_20_GMNIA_N__191</t>
  </si>
  <si>
    <t>S_2_460_M-2-H-6-8_20_GMNIA_N__192</t>
  </si>
  <si>
    <t>C:\Kokou\Kokou_Case_study_1_Steel_Column\H_R_Validations_results\Parametric_study_HR_355</t>
  </si>
  <si>
    <t>S_2_355_M-3-I-1-1_20_GMNIA_N__193</t>
  </si>
  <si>
    <t>S_2_355_M-3-I-1-2_20_GMNIA_N__194</t>
  </si>
  <si>
    <t>S_2_355_M-3-I-1-3_20_GMNIA_N__195</t>
  </si>
  <si>
    <t>S_2_355_M-3-I-1-4_20_GMNIA_N__196</t>
  </si>
  <si>
    <t>S_2_355_M-3-I-1-5_20_GMNIA_N__197</t>
  </si>
  <si>
    <t>S_2_355_M-3-I-1-6_20_GMNIA_N__198</t>
  </si>
  <si>
    <t>S_2_355_M-3-I-1-7_20_GMNIA_N__199</t>
  </si>
  <si>
    <t>S_2_355_M-3-I-1-8_20_GMNIA_N__200</t>
  </si>
  <si>
    <t>S_2_355_M-3-I-2-1_20_GMNIA_N__201</t>
  </si>
  <si>
    <t>S_2_355_M-3-I-2-2_20_GMNIA_N__202</t>
  </si>
  <si>
    <t>S_2_355_M-3-I-2-3_20_GMNIA_N__203</t>
  </si>
  <si>
    <t>S_2_355_M-3-I-2-4_20_GMNIA_N__204</t>
  </si>
  <si>
    <t>S_2_355_M-3-I-2-5_20_GMNIA_N__205</t>
  </si>
  <si>
    <t>S_2_355_M-3-I-2-6_20_GMNIA_N__206</t>
  </si>
  <si>
    <t>S_2_355_M-3-I-2-7_20_GMNIA_N__207</t>
  </si>
  <si>
    <t>S_2_355_M-3-I-2-8_20_GMNIA_N__208</t>
  </si>
  <si>
    <t>S_2_355_M-3-I-3-1_20_GMNIA_N__209</t>
  </si>
  <si>
    <t>S_2_355_M-3-I-3-2_20_GMNIA_N__210</t>
  </si>
  <si>
    <t>S_2_355_M-3-I-3-3_20_GMNIA_N__211</t>
  </si>
  <si>
    <t>S_2_355_M-3-I-3-4_20_GMNIA_N__212</t>
  </si>
  <si>
    <t>S_2_355_M-3-I-3-5_20_GMNIA_N__213</t>
  </si>
  <si>
    <t>S_2_355_M-3-I-3-6_20_GMNIA_N__214</t>
  </si>
  <si>
    <t>S_2_355_M-3-I-3-7_20_GMNIA_N__215</t>
  </si>
  <si>
    <t>S_2_355_M-3-I-3-8_20_GMNIA_N__216</t>
  </si>
  <si>
    <t>S_2_355_M-3-I-4-1_20_GMNIA_N__217</t>
  </si>
  <si>
    <t>S_2_355_M-3-I-4-2_20_GMNIA_N__218</t>
  </si>
  <si>
    <t>S_2_355_M-3-I-4-3_20_GMNIA_N__219</t>
  </si>
  <si>
    <t>S_2_355_M-3-I-4-4_20_GMNIA_N__220</t>
  </si>
  <si>
    <t>S_2_355_M-3-I-4-5_20_GMNIA_N__221</t>
  </si>
  <si>
    <t>S_2_355_M-3-I-4-6_20_GMNIA_N__222</t>
  </si>
  <si>
    <t>S_2_355_M-3-I-4-7_20_GMNIA_N__223</t>
  </si>
  <si>
    <t>S_2_355_M-3-I-4-8_20_GMNIA_N__224</t>
  </si>
  <si>
    <t>S_2_355_M-3-I-5-1_20_GMNIA_N__225</t>
  </si>
  <si>
    <t>S_2_355_M-3-I-5-2_20_GMNIA_N__226</t>
  </si>
  <si>
    <t>S_2_355_M-3-I-5-3_20_GMNIA_N__227</t>
  </si>
  <si>
    <t>S_2_355_M-3-I-5-4_20_GMNIA_N__228</t>
  </si>
  <si>
    <t>S_2_355_M-3-I-5-5_20_GMNIA_N__229</t>
  </si>
  <si>
    <t>S_2_355_M-3-I-5-6_20_GMNIA_N__230</t>
  </si>
  <si>
    <t>S_2_355_M-3-I-5-7_20_GMNIA_N__231</t>
  </si>
  <si>
    <t>S_2_355_M-3-I-5-8_20_GMNIA_N__232</t>
  </si>
  <si>
    <t>S_2_355_M-3-I-6-1_20_GMNIA_N__233</t>
  </si>
  <si>
    <t>S_2_355_M-3-I-6-2_20_GMNIA_N__234</t>
  </si>
  <si>
    <t>S_2_355_M-3-I-6-3_20_GMNIA_N__235</t>
  </si>
  <si>
    <t>S_2_355_M-3-I-6-4_20_GMNIA_N__236</t>
  </si>
  <si>
    <t>S_2_355_M-3-I-6-5_20_GMNIA_N__237</t>
  </si>
  <si>
    <t>S_2_355_M-3-I-6-6_20_GMNIA_N__238</t>
  </si>
  <si>
    <t>S_2_355_M-3-I-6-7_20_GMNIA_N__239</t>
  </si>
  <si>
    <t>S_2_355_M-3-I-6-8_20_GMNIA_N__240</t>
  </si>
  <si>
    <t>S_2_355_M-3-H-1-1_20_GMNIA_N__241</t>
  </si>
  <si>
    <t>S_2_355_M-3-H-1-2_20_GMNIA_N__242</t>
  </si>
  <si>
    <t>S_2_355_M-3-H-1-3_20_GMNIA_N__243</t>
  </si>
  <si>
    <t>S_2_355_M-3-H-1-4_20_GMNIA_N__244</t>
  </si>
  <si>
    <t>S_2_355_M-3-H-1-5_20_GMNIA_N__245</t>
  </si>
  <si>
    <t>S_2_355_M-3-H-1-6_20_GMNIA_N__246</t>
  </si>
  <si>
    <t>S_2_355_M-3-H-1-7_20_GMNIA_N__247</t>
  </si>
  <si>
    <t>S_2_355_M-3-H-1-8_20_GMNIA_N__248</t>
  </si>
  <si>
    <t>S_2_355_M-3-H-2-1_20_GMNIA_N__249</t>
  </si>
  <si>
    <t>S_2_355_M-3-H-2-2_20_GMNIA_N__250</t>
  </si>
  <si>
    <t>S_2_355_M-3-H-2-3_20_GMNIA_N__251</t>
  </si>
  <si>
    <t>S_2_355_M-3-H-2-4_20_GMNIA_N__252</t>
  </si>
  <si>
    <t>S_2_355_M-3-H-2-5_20_GMNIA_N__253</t>
  </si>
  <si>
    <t>S_2_355_M-3-H-2-6_20_GMNIA_N__254</t>
  </si>
  <si>
    <t>S_2_355_M-3-H-2-7_20_GMNIA_N__255</t>
  </si>
  <si>
    <t>S_2_355_M-3-H-2-8_20_GMNIA_N__256</t>
  </si>
  <si>
    <t>S_2_355_M-3-H-3-1_20_GMNIA_N__257</t>
  </si>
  <si>
    <t>S_2_355_M-3-H-3-2_20_GMNIA_N__258</t>
  </si>
  <si>
    <t>S_2_355_M-3-H-3-3_20_GMNIA_N__259</t>
  </si>
  <si>
    <t>S_2_355_M-3-H-3-4_20_GMNIA_N__260</t>
  </si>
  <si>
    <t>S_2_355_M-3-H-3-5_20_GMNIA_N__261</t>
  </si>
  <si>
    <t>S_2_355_M-3-H-3-6_20_GMNIA_N__262</t>
  </si>
  <si>
    <t>S_2_355_M-3-H-3-7_20_GMNIA_N__263</t>
  </si>
  <si>
    <t>S_2_355_M-3-H-3-8_20_GMNIA_N__264</t>
  </si>
  <si>
    <t>S_2_355_M-3-H-4-1_20_GMNIA_N__265</t>
  </si>
  <si>
    <t>S_2_355_M-3-H-4-2_20_GMNIA_N__266</t>
  </si>
  <si>
    <t>S_2_355_M-3-H-4-3_20_GMNIA_N__267</t>
  </si>
  <si>
    <t>S_2_355_M-3-H-4-4_20_GMNIA_N__268</t>
  </si>
  <si>
    <t>S_2_355_M-3-H-4-5_20_GMNIA_N__269</t>
  </si>
  <si>
    <t>S_2_355_M-3-H-4-6_20_GMNIA_N__270</t>
  </si>
  <si>
    <t>S_2_355_M-3-H-4-7_20_GMNIA_N__271</t>
  </si>
  <si>
    <t>S_2_355_M-3-H-4-8_20_GMNIA_N__272</t>
  </si>
  <si>
    <t>S_2_355_M-3-H-5-1_20_GMNIA_N__273</t>
  </si>
  <si>
    <t>S_2_355_M-3-H-5-2_20_GMNIA_N__274</t>
  </si>
  <si>
    <t>S_2_355_M-3-H-5-3_20_GMNIA_N__275</t>
  </si>
  <si>
    <t>S_2_355_M-3-H-5-4_20_GMNIA_N__276</t>
  </si>
  <si>
    <t>S_2_355_M-3-H-5-5_20_GMNIA_N__277</t>
  </si>
  <si>
    <t>S_2_355_M-3-H-5-6_20_GMNIA_N__278</t>
  </si>
  <si>
    <t>S_2_355_M-3-H-5-7_20_GMNIA_N__279</t>
  </si>
  <si>
    <t>S_2_355_M-3-H-5-8_20_GMNIA_N__280</t>
  </si>
  <si>
    <t>S_2_355_M-3-H-6-1_20_GMNIA_N__281</t>
  </si>
  <si>
    <t>S_2_355_M-3-H-6-2_20_GMNIA_N__282</t>
  </si>
  <si>
    <t>S_2_355_M-3-H-6-3_20_GMNIA_N__283</t>
  </si>
  <si>
    <t>S_2_355_M-3-H-6-4_20_GMNIA_N__284</t>
  </si>
  <si>
    <t>S_2_355_M-3-H-6-5_20_GMNIA_N__285</t>
  </si>
  <si>
    <t>S_2_355_M-3-H-6-6_20_GMNIA_N__286</t>
  </si>
  <si>
    <t>S_2_355_M-3-H-6-7_20_GMNIA_N__287</t>
  </si>
  <si>
    <t>S_2_355_M-3-H-6-8_20_GMNIA_N__288</t>
  </si>
  <si>
    <t>C:\Kokou\Kokou_Case_study_1_Steel_Column\H_R_Validations_results\Parametric_study_HR_690_beam</t>
  </si>
  <si>
    <t>R_cr_L</t>
  </si>
  <si>
    <t>flg</t>
  </si>
  <si>
    <t>Rb,L</t>
  </si>
  <si>
    <t>C:\Kokou\Kokou_Case_study_1_Steel_Column\Validations_results\Parametric_study_CS_690</t>
  </si>
  <si>
    <t>Name</t>
  </si>
  <si>
    <t>accep</t>
  </si>
  <si>
    <r>
      <t>Rb</t>
    </r>
    <r>
      <rPr>
        <b/>
        <vertAlign val="subscript"/>
        <sz val="10"/>
        <color theme="1"/>
        <rFont val="Times New Roman"/>
        <family val="1"/>
      </rPr>
      <t>L</t>
    </r>
  </si>
  <si>
    <r>
      <t>R</t>
    </r>
    <r>
      <rPr>
        <b/>
        <vertAlign val="subscript"/>
        <sz val="10"/>
        <color theme="1"/>
        <rFont val="Times New Roman"/>
        <family val="1"/>
      </rPr>
      <t>bL</t>
    </r>
    <r>
      <rPr>
        <b/>
        <sz val="10"/>
        <color theme="1"/>
        <rFont val="Times New Roman"/>
        <family val="1"/>
      </rPr>
      <t>/Rpl</t>
    </r>
  </si>
  <si>
    <t>λG</t>
  </si>
  <si>
    <t>I-690</t>
  </si>
  <si>
    <t>H-690</t>
  </si>
  <si>
    <t>I-460</t>
  </si>
  <si>
    <t>H-460</t>
  </si>
  <si>
    <t>I-355</t>
  </si>
  <si>
    <t>H-355</t>
  </si>
  <si>
    <t>R_cr_L_update</t>
  </si>
  <si>
    <r>
      <t>λ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 xml:space="preserve"> update</t>
    </r>
  </si>
  <si>
    <t>khi l</t>
  </si>
  <si>
    <t>xhi_l fe</t>
  </si>
  <si>
    <t>Number</t>
  </si>
  <si>
    <t>χ_FE</t>
  </si>
  <si>
    <t>Curve</t>
  </si>
  <si>
    <t>χ_OIC</t>
  </si>
  <si>
    <t>χ_Eurocode</t>
  </si>
  <si>
    <t>χ_S16-14</t>
  </si>
  <si>
    <t>χ_AISC</t>
  </si>
  <si>
    <t>λ_FE</t>
  </si>
  <si>
    <t>λ_Local</t>
  </si>
  <si>
    <t>RbL+G/Rpl</t>
  </si>
  <si>
    <t>ratio</t>
  </si>
  <si>
    <t>RbL/Rpl</t>
  </si>
  <si>
    <t>λL</t>
  </si>
  <si>
    <t>Lambda</t>
  </si>
  <si>
    <t>a0</t>
  </si>
  <si>
    <t>a</t>
  </si>
  <si>
    <t>b</t>
  </si>
  <si>
    <t>c</t>
  </si>
  <si>
    <t>d</t>
  </si>
  <si>
    <t>χL</t>
  </si>
  <si>
    <t>χG</t>
  </si>
  <si>
    <t>χL·χG·fL/G</t>
  </si>
  <si>
    <t>Columns</t>
  </si>
  <si>
    <t>LF width 
(B1)</t>
  </si>
  <si>
    <t>LF width 
(B2)</t>
  </si>
  <si>
    <t>Height 
(H)</t>
  </si>
  <si>
    <t>UF thickness 
(tf1)</t>
  </si>
  <si>
    <t>LF thickness 
(tf2)</t>
  </si>
  <si>
    <t>Web thicknesss
(tw)</t>
  </si>
  <si>
    <t>f l g</t>
  </si>
  <si>
    <t>C:\Kokou\Kokou_Case_study_1_Steel_Column\Validations_results\Parametric_study_690</t>
  </si>
  <si>
    <t>R_cr_G_Abaqus</t>
  </si>
  <si>
    <t>RcrG/RcrGAbaqus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</si>
</sst>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"/>
    <numFmt numFmtId="165" formatCode="0.00000"/>
    <numFmt numFmtId="166" formatCode="0.00000000"/>
    <numFmt numFmtId="167" formatCode="0.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6" fillId="0" borderId="0"/>
  </cellStyleXfs>
  <cellXfs count="119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12" fillId="0" borderId="4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 textRotation="90" wrapText="1"/>
    </xf>
    <xf numFmtId="0" fontId="12" fillId="0" borderId="0" xfId="0" applyFont="1" applyAlignment="1">
      <alignment horizontal="center" vertical="center" textRotation="90" wrapText="1"/>
    </xf>
    <xf numFmtId="0" fontId="5" fillId="6" borderId="0" xfId="0" applyFont="1" applyFill="1" applyAlignment="1">
      <alignment horizontal="center" vertical="center" textRotation="90" wrapText="1"/>
    </xf>
    <xf numFmtId="0" fontId="0" fillId="6" borderId="0" xfId="0" applyFill="1"/>
    <xf numFmtId="0" fontId="0" fillId="3" borderId="4" xfId="0" applyFill="1" applyBorder="1"/>
    <xf numFmtId="167" fontId="0" fillId="0" borderId="0" xfId="0" applyNumberFormat="1"/>
    <xf numFmtId="0" fontId="13" fillId="0" borderId="4" xfId="0" applyFont="1" applyBorder="1"/>
    <xf numFmtId="0" fontId="13" fillId="3" borderId="4" xfId="0" applyFont="1" applyFill="1" applyBorder="1"/>
    <xf numFmtId="0" fontId="13" fillId="6" borderId="4" xfId="0" applyFont="1" applyFill="1" applyBorder="1"/>
    <xf numFmtId="0" fontId="13" fillId="7" borderId="4" xfId="0" applyFont="1" applyFill="1" applyBorder="1"/>
    <xf numFmtId="0" fontId="13" fillId="8" borderId="4" xfId="0" applyFont="1" applyFill="1" applyBorder="1"/>
    <xf numFmtId="0" fontId="13" fillId="9" borderId="4" xfId="0" applyFont="1" applyFill="1" applyBorder="1"/>
    <xf numFmtId="0" fontId="13" fillId="4" borderId="4" xfId="0" applyFont="1" applyFill="1" applyBorder="1"/>
    <xf numFmtId="0" fontId="13" fillId="10" borderId="4" xfId="0" applyFont="1" applyFill="1" applyBorder="1"/>
    <xf numFmtId="0" fontId="13" fillId="0" borderId="4" xfId="0" applyFont="1" applyBorder="1" applyAlignment="1">
      <alignment horizontal="center" vertical="center" textRotation="90" wrapText="1"/>
    </xf>
    <xf numFmtId="167" fontId="0" fillId="3" borderId="4" xfId="0" applyNumberFormat="1" applyFill="1" applyBorder="1"/>
    <xf numFmtId="0" fontId="13" fillId="0" borderId="4" xfId="0" applyFont="1" applyBorder="1" applyAlignment="1">
      <alignment horizontal="center" vertical="center" textRotation="90"/>
    </xf>
    <xf numFmtId="167" fontId="0" fillId="4" borderId="0" xfId="0" applyNumberFormat="1" applyFill="1"/>
    <xf numFmtId="167" fontId="0" fillId="4" borderId="4" xfId="0" applyNumberFormat="1" applyFill="1" applyBorder="1"/>
    <xf numFmtId="0" fontId="0" fillId="4" borderId="0" xfId="0" applyFill="1"/>
    <xf numFmtId="0" fontId="0" fillId="4" borderId="4" xfId="0" applyFill="1" applyBorder="1"/>
    <xf numFmtId="167" fontId="0" fillId="4" borderId="7" xfId="0" applyNumberFormat="1" applyFill="1" applyBorder="1"/>
    <xf numFmtId="167" fontId="0" fillId="11" borderId="4" xfId="0" applyNumberFormat="1" applyFill="1" applyBorder="1"/>
    <xf numFmtId="167" fontId="0" fillId="0" borderId="4" xfId="0" applyNumberFormat="1" applyBorder="1"/>
    <xf numFmtId="167" fontId="0" fillId="11" borderId="7" xfId="0" applyNumberFormat="1" applyFill="1" applyBorder="1"/>
    <xf numFmtId="11" fontId="2" fillId="0" borderId="4" xfId="0" applyNumberFormat="1" applyFont="1" applyBorder="1" applyAlignment="1">
      <alignment horizontal="center"/>
    </xf>
    <xf numFmtId="11" fontId="2" fillId="0" borderId="8" xfId="0" applyNumberFormat="1" applyFont="1" applyBorder="1" applyAlignment="1">
      <alignment horizontal="center"/>
    </xf>
    <xf numFmtId="11" fontId="2" fillId="0" borderId="9" xfId="0" applyNumberFormat="1" applyFont="1" applyBorder="1" applyAlignment="1">
      <alignment horizontal="center"/>
    </xf>
    <xf numFmtId="2" fontId="2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0" borderId="0" xfId="0" applyFont="1"/>
    <xf numFmtId="167" fontId="2" fillId="0" borderId="4" xfId="0" applyNumberFormat="1" applyFont="1" applyBorder="1" applyAlignment="1">
      <alignment horizontal="center"/>
    </xf>
    <xf numFmtId="167" fontId="2" fillId="0" borderId="8" xfId="0" applyNumberFormat="1" applyFont="1" applyBorder="1" applyAlignment="1">
      <alignment horizontal="center"/>
    </xf>
    <xf numFmtId="167" fontId="2" fillId="0" borderId="9" xfId="0" applyNumberFormat="1" applyFont="1" applyBorder="1" applyAlignment="1">
      <alignment horizontal="center"/>
    </xf>
    <xf numFmtId="0" fontId="9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0.49999999999999989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1.9999999999999996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0.75000000000000011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0.49999999999999994</c:v>
                </c:pt>
                <c:pt idx="226">
                  <c:v>0.75</c:v>
                </c:pt>
                <c:pt idx="227">
                  <c:v>1</c:v>
                </c:pt>
                <c:pt idx="228">
                  <c:v>1.3299999999999998</c:v>
                </c:pt>
                <c:pt idx="229">
                  <c:v>1.67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0.30000000000000004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0.30000000000000004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0.75000000000000011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0.30000000000000004</c:v>
                </c:pt>
                <c:pt idx="265">
                  <c:v>0.49999999999999994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1.9999999999999998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  <c:pt idx="96">
                  <c:v>0.99204633672278386</c:v>
                </c:pt>
                <c:pt idx="97">
                  <c:v>0.91978716587063902</c:v>
                </c:pt>
                <c:pt idx="98">
                  <c:v>0.82324649753127521</c:v>
                </c:pt>
                <c:pt idx="99">
                  <c:v>0.69270481454377986</c:v>
                </c:pt>
                <c:pt idx="100">
                  <c:v>0.49197889560561531</c:v>
                </c:pt>
                <c:pt idx="101">
                  <c:v>0.33129941584081257</c:v>
                </c:pt>
                <c:pt idx="102">
                  <c:v>0.23404951223655335</c:v>
                </c:pt>
                <c:pt idx="103">
                  <c:v>0.15108412540401975</c:v>
                </c:pt>
                <c:pt idx="104">
                  <c:v>0.98678828448709577</c:v>
                </c:pt>
                <c:pt idx="105">
                  <c:v>0.90539886050468188</c:v>
                </c:pt>
                <c:pt idx="106">
                  <c:v>0.80316241112951359</c:v>
                </c:pt>
                <c:pt idx="107">
                  <c:v>0.68204789382328534</c:v>
                </c:pt>
                <c:pt idx="108">
                  <c:v>0.48955910473828135</c:v>
                </c:pt>
                <c:pt idx="109">
                  <c:v>0.32920383638175538</c:v>
                </c:pt>
                <c:pt idx="110">
                  <c:v>0.231715836232738</c:v>
                </c:pt>
                <c:pt idx="111">
                  <c:v>0.14914011603607302</c:v>
                </c:pt>
                <c:pt idx="112">
                  <c:v>0.97381207820680871</c:v>
                </c:pt>
                <c:pt idx="113">
                  <c:v>0.89369332791305045</c:v>
                </c:pt>
                <c:pt idx="114">
                  <c:v>0.78945219233515396</c:v>
                </c:pt>
                <c:pt idx="115">
                  <c:v>0.67529402793418269</c:v>
                </c:pt>
                <c:pt idx="116">
                  <c:v>0.48735451813342912</c:v>
                </c:pt>
                <c:pt idx="117">
                  <c:v>0.32763780170106016</c:v>
                </c:pt>
                <c:pt idx="118">
                  <c:v>0.2300858306163486</c:v>
                </c:pt>
                <c:pt idx="119">
                  <c:v>0.14787525131466975</c:v>
                </c:pt>
                <c:pt idx="120">
                  <c:v>0.88552235033485527</c:v>
                </c:pt>
                <c:pt idx="121">
                  <c:v>0.83816189593102275</c:v>
                </c:pt>
                <c:pt idx="122">
                  <c:v>0.7555759240148221</c:v>
                </c:pt>
                <c:pt idx="123">
                  <c:v>0.66076658273599165</c:v>
                </c:pt>
                <c:pt idx="124">
                  <c:v>0.48290878104832713</c:v>
                </c:pt>
                <c:pt idx="125">
                  <c:v>0.32527283161211068</c:v>
                </c:pt>
                <c:pt idx="126">
                  <c:v>0.22769855622838367</c:v>
                </c:pt>
                <c:pt idx="127">
                  <c:v>0.14598590221555394</c:v>
                </c:pt>
                <c:pt idx="128">
                  <c:v>0.8526004811096346</c:v>
                </c:pt>
                <c:pt idx="129">
                  <c:v>0.78084573151064163</c:v>
                </c:pt>
                <c:pt idx="130">
                  <c:v>0.69538491287195825</c:v>
                </c:pt>
                <c:pt idx="131">
                  <c:v>0.62768683256238933</c:v>
                </c:pt>
                <c:pt idx="132">
                  <c:v>0.47574226147040766</c:v>
                </c:pt>
                <c:pt idx="133">
                  <c:v>0.32337327550861483</c:v>
                </c:pt>
                <c:pt idx="134">
                  <c:v>0.22590655899468468</c:v>
                </c:pt>
                <c:pt idx="135">
                  <c:v>0.14458440788181481</c:v>
                </c:pt>
                <c:pt idx="136">
                  <c:v>0.84254222633563602</c:v>
                </c:pt>
                <c:pt idx="137">
                  <c:v>0.75777908837688568</c:v>
                </c:pt>
                <c:pt idx="138">
                  <c:v>0.6597371550875194</c:v>
                </c:pt>
                <c:pt idx="139">
                  <c:v>0.59830180801793298</c:v>
                </c:pt>
                <c:pt idx="140">
                  <c:v>0.4629524329379649</c:v>
                </c:pt>
                <c:pt idx="141">
                  <c:v>0.32112503791764563</c:v>
                </c:pt>
                <c:pt idx="142">
                  <c:v>0.22445367916054396</c:v>
                </c:pt>
                <c:pt idx="143">
                  <c:v>0.14351370103057309</c:v>
                </c:pt>
                <c:pt idx="144">
                  <c:v>0.98863776676152715</c:v>
                </c:pt>
                <c:pt idx="145">
                  <c:v>0.86436205715155112</c:v>
                </c:pt>
                <c:pt idx="146">
                  <c:v>0.73845548892546398</c:v>
                </c:pt>
                <c:pt idx="147">
                  <c:v>0.65219389366661218</c:v>
                </c:pt>
                <c:pt idx="148">
                  <c:v>0.48031274589510142</c:v>
                </c:pt>
                <c:pt idx="149">
                  <c:v>0.32458001665656599</c:v>
                </c:pt>
                <c:pt idx="150">
                  <c:v>0.22608592687544291</c:v>
                </c:pt>
                <c:pt idx="151">
                  <c:v>0.14445042759714194</c:v>
                </c:pt>
                <c:pt idx="152">
                  <c:v>0.95975655529129633</c:v>
                </c:pt>
                <c:pt idx="153">
                  <c:v>0.85019739929735672</c:v>
                </c:pt>
                <c:pt idx="154">
                  <c:v>0.72851018062529138</c:v>
                </c:pt>
                <c:pt idx="155">
                  <c:v>0.6397228448206761</c:v>
                </c:pt>
                <c:pt idx="156">
                  <c:v>0.47313117060378251</c:v>
                </c:pt>
                <c:pt idx="157">
                  <c:v>0.32138351702031603</c:v>
                </c:pt>
                <c:pt idx="158">
                  <c:v>0.22407868818483392</c:v>
                </c:pt>
                <c:pt idx="159">
                  <c:v>0.14320789292318417</c:v>
                </c:pt>
                <c:pt idx="160">
                  <c:v>0.90976629686479527</c:v>
                </c:pt>
                <c:pt idx="161">
                  <c:v>0.82414415937067409</c:v>
                </c:pt>
                <c:pt idx="162">
                  <c:v>0.7175721248737571</c:v>
                </c:pt>
                <c:pt idx="163">
                  <c:v>0.62867260695780613</c:v>
                </c:pt>
                <c:pt idx="164">
                  <c:v>0.46739817002306661</c:v>
                </c:pt>
                <c:pt idx="165">
                  <c:v>0.31926489798229868</c:v>
                </c:pt>
                <c:pt idx="166">
                  <c:v>0.22289093649943881</c:v>
                </c:pt>
                <c:pt idx="167">
                  <c:v>0.14250960584628727</c:v>
                </c:pt>
                <c:pt idx="168">
                  <c:v>0.77594938448660944</c:v>
                </c:pt>
                <c:pt idx="169">
                  <c:v>0.72596727132918815</c:v>
                </c:pt>
                <c:pt idx="170">
                  <c:v>0.66086386119846385</c:v>
                </c:pt>
                <c:pt idx="171">
                  <c:v>0.5868153346435282</c:v>
                </c:pt>
                <c:pt idx="172">
                  <c:v>0.44725594227117693</c:v>
                </c:pt>
                <c:pt idx="173">
                  <c:v>0.31240354570851969</c:v>
                </c:pt>
                <c:pt idx="174">
                  <c:v>0.2195595692214031</c:v>
                </c:pt>
                <c:pt idx="175">
                  <c:v>0.14068000772650124</c:v>
                </c:pt>
                <c:pt idx="176">
                  <c:v>0.64012924799119097</c:v>
                </c:pt>
                <c:pt idx="177">
                  <c:v>0.58704305741581353</c:v>
                </c:pt>
                <c:pt idx="178">
                  <c:v>0.51658621284952344</c:v>
                </c:pt>
                <c:pt idx="179">
                  <c:v>0.45924471279968981</c:v>
                </c:pt>
                <c:pt idx="180">
                  <c:v>0.36931586521031101</c:v>
                </c:pt>
                <c:pt idx="181">
                  <c:v>0.27609102810626718</c:v>
                </c:pt>
                <c:pt idx="182">
                  <c:v>0.20357250905384758</c:v>
                </c:pt>
                <c:pt idx="183">
                  <c:v>0.13323622499439741</c:v>
                </c:pt>
                <c:pt idx="184">
                  <c:v>0.55827783451373203</c:v>
                </c:pt>
                <c:pt idx="185">
                  <c:v>0.51408639686053481</c:v>
                </c:pt>
                <c:pt idx="186">
                  <c:v>0.43092763660477462</c:v>
                </c:pt>
                <c:pt idx="187">
                  <c:v>0.35958246514949044</c:v>
                </c:pt>
                <c:pt idx="188">
                  <c:v>0.27766836041023263</c:v>
                </c:pt>
                <c:pt idx="189">
                  <c:v>0.21004550363729052</c:v>
                </c:pt>
                <c:pt idx="190">
                  <c:v>0.16055226270390693</c:v>
                </c:pt>
                <c:pt idx="191">
                  <c:v>0.1104096889307592</c:v>
                </c:pt>
                <c:pt idx="192">
                  <c:v>0.98558693456396751</c:v>
                </c:pt>
                <c:pt idx="193">
                  <c:v>0.91070006981212637</c:v>
                </c:pt>
                <c:pt idx="194">
                  <c:v>0.80944783012296773</c:v>
                </c:pt>
                <c:pt idx="195">
                  <c:v>0.67878203405004889</c:v>
                </c:pt>
                <c:pt idx="196">
                  <c:v>0.48373146824477181</c:v>
                </c:pt>
                <c:pt idx="197">
                  <c:v>0.32695408278431892</c:v>
                </c:pt>
                <c:pt idx="198">
                  <c:v>0.23151684999002192</c:v>
                </c:pt>
                <c:pt idx="199">
                  <c:v>0.14970290892677518</c:v>
                </c:pt>
                <c:pt idx="200">
                  <c:v>0.97841137723530747</c:v>
                </c:pt>
                <c:pt idx="201">
                  <c:v>0.89463025222954107</c:v>
                </c:pt>
                <c:pt idx="202">
                  <c:v>0.78771637044414944</c:v>
                </c:pt>
                <c:pt idx="203">
                  <c:v>0.66678458886513503</c:v>
                </c:pt>
                <c:pt idx="204">
                  <c:v>0.48022026079850733</c:v>
                </c:pt>
                <c:pt idx="205">
                  <c:v>0.32410247461937425</c:v>
                </c:pt>
                <c:pt idx="206">
                  <c:v>0.22858138251648999</c:v>
                </c:pt>
                <c:pt idx="207">
                  <c:v>0.14735636156809767</c:v>
                </c:pt>
                <c:pt idx="208">
                  <c:v>0.96118027698349062</c:v>
                </c:pt>
                <c:pt idx="209">
                  <c:v>0.88054507638677126</c:v>
                </c:pt>
                <c:pt idx="210">
                  <c:v>0.77118643184282709</c:v>
                </c:pt>
                <c:pt idx="211">
                  <c:v>0.65891999126288581</c:v>
                </c:pt>
                <c:pt idx="212">
                  <c:v>0.47761132074808216</c:v>
                </c:pt>
                <c:pt idx="213">
                  <c:v>0.32245836560561431</c:v>
                </c:pt>
                <c:pt idx="214">
                  <c:v>0.2268325456790983</c:v>
                </c:pt>
                <c:pt idx="215">
                  <c:v>0.14596357216810849</c:v>
                </c:pt>
                <c:pt idx="216">
                  <c:v>0.89200638569873536</c:v>
                </c:pt>
                <c:pt idx="217">
                  <c:v>0.83134330276910751</c:v>
                </c:pt>
                <c:pt idx="218">
                  <c:v>0.74002288061014942</c:v>
                </c:pt>
                <c:pt idx="219">
                  <c:v>0.64601853387810626</c:v>
                </c:pt>
                <c:pt idx="220">
                  <c:v>0.47395385780022747</c:v>
                </c:pt>
                <c:pt idx="221">
                  <c:v>0.32060732170907114</c:v>
                </c:pt>
                <c:pt idx="222">
                  <c:v>0.22493516981545406</c:v>
                </c:pt>
                <c:pt idx="223">
                  <c:v>0.14445307692480497</c:v>
                </c:pt>
                <c:pt idx="224">
                  <c:v>0.8619780613222221</c:v>
                </c:pt>
                <c:pt idx="225">
                  <c:v>0.78178265582713236</c:v>
                </c:pt>
                <c:pt idx="226">
                  <c:v>0.68660276376130591</c:v>
                </c:pt>
                <c:pt idx="227">
                  <c:v>0.61621389957535011</c:v>
                </c:pt>
                <c:pt idx="228">
                  <c:v>0.46708415085788796</c:v>
                </c:pt>
                <c:pt idx="229">
                  <c:v>0.31902612696370308</c:v>
                </c:pt>
                <c:pt idx="230">
                  <c:v>0.22341726912453858</c:v>
                </c:pt>
                <c:pt idx="231">
                  <c:v>0.1432476328381295</c:v>
                </c:pt>
                <c:pt idx="232">
                  <c:v>0.85168387552494562</c:v>
                </c:pt>
                <c:pt idx="233">
                  <c:v>0.76299840712710487</c:v>
                </c:pt>
                <c:pt idx="234">
                  <c:v>0.65777147550318571</c:v>
                </c:pt>
                <c:pt idx="235">
                  <c:v>0.59311530799071432</c:v>
                </c:pt>
                <c:pt idx="236">
                  <c:v>0.45686777390857286</c:v>
                </c:pt>
                <c:pt idx="237">
                  <c:v>0.31712657086020712</c:v>
                </c:pt>
                <c:pt idx="238">
                  <c:v>0.22221438327420442</c:v>
                </c:pt>
                <c:pt idx="239">
                  <c:v>0.142364649775582</c:v>
                </c:pt>
                <c:pt idx="240">
                  <c:v>0.97443038019884742</c:v>
                </c:pt>
                <c:pt idx="241">
                  <c:v>0.85732669486756818</c:v>
                </c:pt>
                <c:pt idx="242">
                  <c:v>0.72956435556366406</c:v>
                </c:pt>
                <c:pt idx="243">
                  <c:v>0.6396163996981663</c:v>
                </c:pt>
                <c:pt idx="244">
                  <c:v>0.47168152048507977</c:v>
                </c:pt>
                <c:pt idx="245">
                  <c:v>0.31999182308335739</c:v>
                </c:pt>
                <c:pt idx="246">
                  <c:v>0.2236454026478778</c:v>
                </c:pt>
                <c:pt idx="247">
                  <c:v>0.14324498351046647</c:v>
                </c:pt>
                <c:pt idx="248">
                  <c:v>0.9524481172713648</c:v>
                </c:pt>
                <c:pt idx="249">
                  <c:v>0.84371841109334678</c:v>
                </c:pt>
                <c:pt idx="250">
                  <c:v>0.72021548834704496</c:v>
                </c:pt>
                <c:pt idx="251">
                  <c:v>0.62774699719685145</c:v>
                </c:pt>
                <c:pt idx="252">
                  <c:v>0.46463222039005242</c:v>
                </c:pt>
                <c:pt idx="253">
                  <c:v>0.31687263977693869</c:v>
                </c:pt>
                <c:pt idx="254">
                  <c:v>0.22173289261929444</c:v>
                </c:pt>
                <c:pt idx="255">
                  <c:v>0.14207625153569298</c:v>
                </c:pt>
                <c:pt idx="256">
                  <c:v>0.90119684820320589</c:v>
                </c:pt>
                <c:pt idx="257">
                  <c:v>0.8169088877852293</c:v>
                </c:pt>
                <c:pt idx="258">
                  <c:v>0.70858984104736145</c:v>
                </c:pt>
                <c:pt idx="259">
                  <c:v>0.61601026542794002</c:v>
                </c:pt>
                <c:pt idx="260">
                  <c:v>0.45834538463787383</c:v>
                </c:pt>
                <c:pt idx="261">
                  <c:v>0.31442883735169086</c:v>
                </c:pt>
                <c:pt idx="262">
                  <c:v>0.22036745462702323</c:v>
                </c:pt>
                <c:pt idx="263">
                  <c:v>0.14128750884287297</c:v>
                </c:pt>
                <c:pt idx="264">
                  <c:v>0.77218688296746851</c:v>
                </c:pt>
                <c:pt idx="265">
                  <c:v>0.71982948143552627</c:v>
                </c:pt>
                <c:pt idx="266">
                  <c:v>0.65100704167033141</c:v>
                </c:pt>
                <c:pt idx="267">
                  <c:v>0.5731267816076403</c:v>
                </c:pt>
                <c:pt idx="268">
                  <c:v>0.43678615277142624</c:v>
                </c:pt>
                <c:pt idx="269">
                  <c:v>0.30657624127700928</c:v>
                </c:pt>
                <c:pt idx="270">
                  <c:v>0.21643543276364369</c:v>
                </c:pt>
                <c:pt idx="271">
                  <c:v>0.13916164324812039</c:v>
                </c:pt>
                <c:pt idx="272">
                  <c:v>0.64101316496018812</c:v>
                </c:pt>
                <c:pt idx="273">
                  <c:v>0.58694609364878614</c:v>
                </c:pt>
                <c:pt idx="274">
                  <c:v>0.51551474390536689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D-4DD7-8A56-528EA0C9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F-4444-B92C-63F41898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0A8-B558-935F3BF2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  <c:pt idx="8">
                  <c:v>0.97841137723530747</c:v>
                </c:pt>
                <c:pt idx="9">
                  <c:v>0.89463025222954107</c:v>
                </c:pt>
                <c:pt idx="10">
                  <c:v>0.78771637044414944</c:v>
                </c:pt>
                <c:pt idx="11">
                  <c:v>0.66678458886513503</c:v>
                </c:pt>
                <c:pt idx="12">
                  <c:v>0.48022026079850733</c:v>
                </c:pt>
                <c:pt idx="13">
                  <c:v>0.32410247461937425</c:v>
                </c:pt>
                <c:pt idx="14">
                  <c:v>0.22858138251648999</c:v>
                </c:pt>
                <c:pt idx="15">
                  <c:v>0.14735636156809767</c:v>
                </c:pt>
                <c:pt idx="16">
                  <c:v>0.96118027698349062</c:v>
                </c:pt>
                <c:pt idx="17">
                  <c:v>0.88054507638677126</c:v>
                </c:pt>
                <c:pt idx="18">
                  <c:v>0.77118643184282709</c:v>
                </c:pt>
                <c:pt idx="19">
                  <c:v>0.65891999126288581</c:v>
                </c:pt>
                <c:pt idx="20">
                  <c:v>0.47761132074808216</c:v>
                </c:pt>
                <c:pt idx="21">
                  <c:v>0.32245836560561431</c:v>
                </c:pt>
                <c:pt idx="22">
                  <c:v>0.2268325456790983</c:v>
                </c:pt>
                <c:pt idx="23">
                  <c:v>0.14596357216810849</c:v>
                </c:pt>
                <c:pt idx="24">
                  <c:v>0.89200638569873536</c:v>
                </c:pt>
                <c:pt idx="25">
                  <c:v>0.83134330276910751</c:v>
                </c:pt>
                <c:pt idx="26">
                  <c:v>0.74002288061014942</c:v>
                </c:pt>
                <c:pt idx="27">
                  <c:v>0.64601853387810626</c:v>
                </c:pt>
                <c:pt idx="28">
                  <c:v>0.47395385780022747</c:v>
                </c:pt>
                <c:pt idx="29">
                  <c:v>0.32060732170907114</c:v>
                </c:pt>
                <c:pt idx="30">
                  <c:v>0.22493516981545406</c:v>
                </c:pt>
                <c:pt idx="31">
                  <c:v>0.14445307692480497</c:v>
                </c:pt>
                <c:pt idx="32">
                  <c:v>0.8619780613222221</c:v>
                </c:pt>
                <c:pt idx="33">
                  <c:v>0.78178265582713236</c:v>
                </c:pt>
                <c:pt idx="34">
                  <c:v>0.68660276376130591</c:v>
                </c:pt>
                <c:pt idx="35">
                  <c:v>0.61621389957535011</c:v>
                </c:pt>
                <c:pt idx="36">
                  <c:v>0.46708415085788796</c:v>
                </c:pt>
                <c:pt idx="37">
                  <c:v>0.31902612696370308</c:v>
                </c:pt>
                <c:pt idx="38">
                  <c:v>0.22341726912453858</c:v>
                </c:pt>
                <c:pt idx="39">
                  <c:v>0.1432476328381295</c:v>
                </c:pt>
                <c:pt idx="40">
                  <c:v>0.85168387552494562</c:v>
                </c:pt>
                <c:pt idx="41">
                  <c:v>0.76299840712710487</c:v>
                </c:pt>
                <c:pt idx="42">
                  <c:v>0.65777147550318571</c:v>
                </c:pt>
                <c:pt idx="43">
                  <c:v>0.59311530799071432</c:v>
                </c:pt>
                <c:pt idx="44">
                  <c:v>0.45686777390857286</c:v>
                </c:pt>
                <c:pt idx="45">
                  <c:v>0.31712657086020712</c:v>
                </c:pt>
                <c:pt idx="46">
                  <c:v>0.22221438327420442</c:v>
                </c:pt>
                <c:pt idx="47">
                  <c:v>0.142364649775582</c:v>
                </c:pt>
                <c:pt idx="48">
                  <c:v>0.97443038019884742</c:v>
                </c:pt>
                <c:pt idx="49">
                  <c:v>0.85732669486756818</c:v>
                </c:pt>
                <c:pt idx="50">
                  <c:v>0.72956435556366406</c:v>
                </c:pt>
                <c:pt idx="51">
                  <c:v>0.6396163996981663</c:v>
                </c:pt>
                <c:pt idx="52">
                  <c:v>0.47168152048507977</c:v>
                </c:pt>
                <c:pt idx="53">
                  <c:v>0.31999182308335739</c:v>
                </c:pt>
                <c:pt idx="54">
                  <c:v>0.2236454026478778</c:v>
                </c:pt>
                <c:pt idx="55">
                  <c:v>0.14324498351046647</c:v>
                </c:pt>
                <c:pt idx="56">
                  <c:v>0.9524481172713648</c:v>
                </c:pt>
                <c:pt idx="57">
                  <c:v>0.84371841109334678</c:v>
                </c:pt>
                <c:pt idx="58">
                  <c:v>0.72021548834704496</c:v>
                </c:pt>
                <c:pt idx="59">
                  <c:v>0.62774699719685145</c:v>
                </c:pt>
                <c:pt idx="60">
                  <c:v>0.46463222039005242</c:v>
                </c:pt>
                <c:pt idx="61">
                  <c:v>0.31687263977693869</c:v>
                </c:pt>
                <c:pt idx="62">
                  <c:v>0.22173289261929444</c:v>
                </c:pt>
                <c:pt idx="63">
                  <c:v>0.14207625153569298</c:v>
                </c:pt>
                <c:pt idx="64">
                  <c:v>0.90119684820320589</c:v>
                </c:pt>
                <c:pt idx="65">
                  <c:v>0.8169088877852293</c:v>
                </c:pt>
                <c:pt idx="66">
                  <c:v>0.70858984104736145</c:v>
                </c:pt>
                <c:pt idx="67">
                  <c:v>0.61601026542794002</c:v>
                </c:pt>
                <c:pt idx="68">
                  <c:v>0.45834538463787383</c:v>
                </c:pt>
                <c:pt idx="69">
                  <c:v>0.31442883735169086</c:v>
                </c:pt>
                <c:pt idx="70">
                  <c:v>0.22036745462702323</c:v>
                </c:pt>
                <c:pt idx="71">
                  <c:v>0.14128750884287297</c:v>
                </c:pt>
                <c:pt idx="72">
                  <c:v>0.77218688296746851</c:v>
                </c:pt>
                <c:pt idx="73">
                  <c:v>0.71982948143552627</c:v>
                </c:pt>
                <c:pt idx="74">
                  <c:v>0.65100704167033141</c:v>
                </c:pt>
                <c:pt idx="75">
                  <c:v>0.5731267816076403</c:v>
                </c:pt>
                <c:pt idx="76">
                  <c:v>0.43678615277142624</c:v>
                </c:pt>
                <c:pt idx="77">
                  <c:v>0.30657624127700928</c:v>
                </c:pt>
                <c:pt idx="78">
                  <c:v>0.21643543276364369</c:v>
                </c:pt>
                <c:pt idx="79">
                  <c:v>0.13916164324812039</c:v>
                </c:pt>
                <c:pt idx="80">
                  <c:v>0.64101316496018812</c:v>
                </c:pt>
                <c:pt idx="81">
                  <c:v>0.58694609364878614</c:v>
                </c:pt>
                <c:pt idx="82">
                  <c:v>0.51551474390536689</c:v>
                </c:pt>
                <c:pt idx="83">
                  <c:v>0.45430141053928286</c:v>
                </c:pt>
                <c:pt idx="84">
                  <c:v>0.3628656505746134</c:v>
                </c:pt>
                <c:pt idx="85">
                  <c:v>0.27103105543612316</c:v>
                </c:pt>
                <c:pt idx="86">
                  <c:v>0.19951882560141368</c:v>
                </c:pt>
                <c:pt idx="87">
                  <c:v>0.1310070694443416</c:v>
                </c:pt>
                <c:pt idx="88">
                  <c:v>0.55576214475571517</c:v>
                </c:pt>
                <c:pt idx="89">
                  <c:v>0.51130565892707658</c:v>
                </c:pt>
                <c:pt idx="90">
                  <c:v>0.42926404391524042</c:v>
                </c:pt>
                <c:pt idx="91">
                  <c:v>0.35611444390204494</c:v>
                </c:pt>
                <c:pt idx="92">
                  <c:v>0.27430385773822069</c:v>
                </c:pt>
                <c:pt idx="93">
                  <c:v>0.20689965473367058</c:v>
                </c:pt>
                <c:pt idx="94">
                  <c:v>0.15733170692323223</c:v>
                </c:pt>
                <c:pt idx="95">
                  <c:v>0.1079388622077927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B-4E13-B291-DDE3E20C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B-4A71-B074-D623F9D9DBFF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0.49999999999999989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1.9999999999999996</c:v>
                </c:pt>
                <c:pt idx="7">
                  <c:v>2.5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0.97841137723530747</c:v>
                </c:pt>
                <c:pt idx="1">
                  <c:v>0.89463025222954107</c:v>
                </c:pt>
                <c:pt idx="2">
                  <c:v>0.78771637044414944</c:v>
                </c:pt>
                <c:pt idx="3">
                  <c:v>0.66678458886513503</c:v>
                </c:pt>
                <c:pt idx="4">
                  <c:v>0.48022026079850733</c:v>
                </c:pt>
                <c:pt idx="5">
                  <c:v>0.32410247461937425</c:v>
                </c:pt>
                <c:pt idx="6">
                  <c:v>0.22858138251648999</c:v>
                </c:pt>
                <c:pt idx="7">
                  <c:v>0.14735636156809767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B-4A71-B074-D623F9D9DBFF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0.96118027698349062</c:v>
                </c:pt>
                <c:pt idx="1">
                  <c:v>0.88054507638677126</c:v>
                </c:pt>
                <c:pt idx="2">
                  <c:v>0.77118643184282709</c:v>
                </c:pt>
                <c:pt idx="3">
                  <c:v>0.65891999126288581</c:v>
                </c:pt>
                <c:pt idx="4">
                  <c:v>0.47761132074808216</c:v>
                </c:pt>
                <c:pt idx="5">
                  <c:v>0.32245836560561431</c:v>
                </c:pt>
                <c:pt idx="6">
                  <c:v>0.2268325456790983</c:v>
                </c:pt>
                <c:pt idx="7">
                  <c:v>0.14596357216810849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B-4A71-B074-D623F9D9DBFF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0.89200638569873536</c:v>
                </c:pt>
                <c:pt idx="1">
                  <c:v>0.83134330276910751</c:v>
                </c:pt>
                <c:pt idx="2">
                  <c:v>0.74002288061014942</c:v>
                </c:pt>
                <c:pt idx="3">
                  <c:v>0.64601853387810626</c:v>
                </c:pt>
                <c:pt idx="4">
                  <c:v>0.47395385780022747</c:v>
                </c:pt>
                <c:pt idx="5">
                  <c:v>0.32060732170907114</c:v>
                </c:pt>
                <c:pt idx="6">
                  <c:v>0.22493516981545406</c:v>
                </c:pt>
                <c:pt idx="7">
                  <c:v>0.14445307692480497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B-4A71-B074-D623F9D9DBFF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0.49999999999999994</c:v>
                </c:pt>
                <c:pt idx="2">
                  <c:v>0.75</c:v>
                </c:pt>
                <c:pt idx="3">
                  <c:v>1</c:v>
                </c:pt>
                <c:pt idx="4">
                  <c:v>1.3299999999999998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0.8619780613222221</c:v>
                </c:pt>
                <c:pt idx="1">
                  <c:v>0.78178265582713236</c:v>
                </c:pt>
                <c:pt idx="2">
                  <c:v>0.68660276376130591</c:v>
                </c:pt>
                <c:pt idx="3">
                  <c:v>0.61621389957535011</c:v>
                </c:pt>
                <c:pt idx="4">
                  <c:v>0.46708415085788796</c:v>
                </c:pt>
                <c:pt idx="5">
                  <c:v>0.31902612696370308</c:v>
                </c:pt>
                <c:pt idx="6">
                  <c:v>0.22341726912453858</c:v>
                </c:pt>
                <c:pt idx="7">
                  <c:v>0.1432476328381295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B-4A71-B074-D623F9D9DBFF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0.85168387552494562</c:v>
                </c:pt>
                <c:pt idx="1">
                  <c:v>0.76299840712710487</c:v>
                </c:pt>
                <c:pt idx="2">
                  <c:v>0.65777147550318571</c:v>
                </c:pt>
                <c:pt idx="3">
                  <c:v>0.59311530799071432</c:v>
                </c:pt>
                <c:pt idx="4">
                  <c:v>0.45686777390857286</c:v>
                </c:pt>
                <c:pt idx="5">
                  <c:v>0.31712657086020712</c:v>
                </c:pt>
                <c:pt idx="6">
                  <c:v>0.22221438327420442</c:v>
                </c:pt>
                <c:pt idx="7">
                  <c:v>0.142364649775582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B-4A71-B074-D623F9D9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1-4511-9870-CE180752F85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1-4511-9870-CE180752F852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  <c:pt idx="8">
                  <c:v>0.97841137723530747</c:v>
                </c:pt>
                <c:pt idx="9">
                  <c:v>0.89463025222954107</c:v>
                </c:pt>
                <c:pt idx="10">
                  <c:v>0.78771637044414944</c:v>
                </c:pt>
                <c:pt idx="11">
                  <c:v>0.66678458886513503</c:v>
                </c:pt>
                <c:pt idx="12">
                  <c:v>0.48022026079850733</c:v>
                </c:pt>
                <c:pt idx="13">
                  <c:v>0.32410247461937425</c:v>
                </c:pt>
                <c:pt idx="14">
                  <c:v>0.22858138251648999</c:v>
                </c:pt>
                <c:pt idx="15">
                  <c:v>0.14735636156809767</c:v>
                </c:pt>
                <c:pt idx="16">
                  <c:v>0.96118027698349062</c:v>
                </c:pt>
                <c:pt idx="17">
                  <c:v>0.88054507638677126</c:v>
                </c:pt>
                <c:pt idx="18">
                  <c:v>0.77118643184282709</c:v>
                </c:pt>
                <c:pt idx="19">
                  <c:v>0.65891999126288581</c:v>
                </c:pt>
                <c:pt idx="20">
                  <c:v>0.47761132074808216</c:v>
                </c:pt>
                <c:pt idx="21">
                  <c:v>0.32245836560561431</c:v>
                </c:pt>
                <c:pt idx="22">
                  <c:v>0.2268325456790983</c:v>
                </c:pt>
                <c:pt idx="23">
                  <c:v>0.14596357216810849</c:v>
                </c:pt>
                <c:pt idx="24">
                  <c:v>0.89200638569873536</c:v>
                </c:pt>
                <c:pt idx="25">
                  <c:v>0.83134330276910751</c:v>
                </c:pt>
                <c:pt idx="26">
                  <c:v>0.74002288061014942</c:v>
                </c:pt>
                <c:pt idx="27">
                  <c:v>0.64601853387810626</c:v>
                </c:pt>
                <c:pt idx="28">
                  <c:v>0.47395385780022747</c:v>
                </c:pt>
                <c:pt idx="29">
                  <c:v>0.32060732170907114</c:v>
                </c:pt>
                <c:pt idx="30">
                  <c:v>0.22493516981545406</c:v>
                </c:pt>
                <c:pt idx="31">
                  <c:v>0.14445307692480497</c:v>
                </c:pt>
                <c:pt idx="32">
                  <c:v>0.8619780613222221</c:v>
                </c:pt>
                <c:pt idx="33">
                  <c:v>0.78178265582713236</c:v>
                </c:pt>
                <c:pt idx="34">
                  <c:v>0.68660276376130591</c:v>
                </c:pt>
                <c:pt idx="35">
                  <c:v>0.61621389957535011</c:v>
                </c:pt>
                <c:pt idx="36">
                  <c:v>0.46708415085788796</c:v>
                </c:pt>
                <c:pt idx="37">
                  <c:v>0.31902612696370308</c:v>
                </c:pt>
                <c:pt idx="38">
                  <c:v>0.22341726912453858</c:v>
                </c:pt>
                <c:pt idx="39">
                  <c:v>0.1432476328381295</c:v>
                </c:pt>
                <c:pt idx="40">
                  <c:v>0.85168387552494562</c:v>
                </c:pt>
                <c:pt idx="41">
                  <c:v>0.76299840712710487</c:v>
                </c:pt>
                <c:pt idx="42">
                  <c:v>0.65777147550318571</c:v>
                </c:pt>
                <c:pt idx="43">
                  <c:v>0.59311530799071432</c:v>
                </c:pt>
                <c:pt idx="44">
                  <c:v>0.45686777390857286</c:v>
                </c:pt>
                <c:pt idx="45">
                  <c:v>0.31712657086020712</c:v>
                </c:pt>
                <c:pt idx="46">
                  <c:v>0.22221438327420442</c:v>
                </c:pt>
                <c:pt idx="47">
                  <c:v>0.142364649775582</c:v>
                </c:pt>
                <c:pt idx="48">
                  <c:v>0.97443038019884742</c:v>
                </c:pt>
                <c:pt idx="49">
                  <c:v>0.85732669486756818</c:v>
                </c:pt>
                <c:pt idx="50">
                  <c:v>0.72956435556366406</c:v>
                </c:pt>
                <c:pt idx="51">
                  <c:v>0.6396163996981663</c:v>
                </c:pt>
                <c:pt idx="52">
                  <c:v>0.47168152048507977</c:v>
                </c:pt>
                <c:pt idx="53">
                  <c:v>0.31999182308335739</c:v>
                </c:pt>
                <c:pt idx="54">
                  <c:v>0.2236454026478778</c:v>
                </c:pt>
                <c:pt idx="55">
                  <c:v>0.14324498351046647</c:v>
                </c:pt>
                <c:pt idx="56">
                  <c:v>0.9524481172713648</c:v>
                </c:pt>
                <c:pt idx="57">
                  <c:v>0.84371841109334678</c:v>
                </c:pt>
                <c:pt idx="58">
                  <c:v>0.72021548834704496</c:v>
                </c:pt>
                <c:pt idx="59">
                  <c:v>0.62774699719685145</c:v>
                </c:pt>
                <c:pt idx="60">
                  <c:v>0.46463222039005242</c:v>
                </c:pt>
                <c:pt idx="61">
                  <c:v>0.31687263977693869</c:v>
                </c:pt>
                <c:pt idx="62">
                  <c:v>0.22173289261929444</c:v>
                </c:pt>
                <c:pt idx="63">
                  <c:v>0.14207625153569298</c:v>
                </c:pt>
                <c:pt idx="64">
                  <c:v>0.90119684820320589</c:v>
                </c:pt>
                <c:pt idx="65">
                  <c:v>0.8169088877852293</c:v>
                </c:pt>
                <c:pt idx="66">
                  <c:v>0.70858984104736145</c:v>
                </c:pt>
                <c:pt idx="67">
                  <c:v>0.61601026542794002</c:v>
                </c:pt>
                <c:pt idx="68">
                  <c:v>0.45834538463787383</c:v>
                </c:pt>
                <c:pt idx="69">
                  <c:v>0.31442883735169086</c:v>
                </c:pt>
                <c:pt idx="70">
                  <c:v>0.22036745462702323</c:v>
                </c:pt>
                <c:pt idx="71">
                  <c:v>0.14128750884287297</c:v>
                </c:pt>
                <c:pt idx="72">
                  <c:v>0.77218688296746851</c:v>
                </c:pt>
                <c:pt idx="73">
                  <c:v>0.71982948143552627</c:v>
                </c:pt>
                <c:pt idx="74">
                  <c:v>0.65100704167033141</c:v>
                </c:pt>
                <c:pt idx="75">
                  <c:v>0.5731267816076403</c:v>
                </c:pt>
                <c:pt idx="76">
                  <c:v>0.43678615277142624</c:v>
                </c:pt>
                <c:pt idx="77">
                  <c:v>0.30657624127700928</c:v>
                </c:pt>
                <c:pt idx="78">
                  <c:v>0.21643543276364369</c:v>
                </c:pt>
                <c:pt idx="79">
                  <c:v>0.13916164324812039</c:v>
                </c:pt>
                <c:pt idx="80">
                  <c:v>0.64101316496018812</c:v>
                </c:pt>
                <c:pt idx="81">
                  <c:v>0.58694609364878614</c:v>
                </c:pt>
                <c:pt idx="82">
                  <c:v>0.51551474390536689</c:v>
                </c:pt>
                <c:pt idx="83">
                  <c:v>0.45430141053928286</c:v>
                </c:pt>
                <c:pt idx="84">
                  <c:v>0.3628656505746134</c:v>
                </c:pt>
                <c:pt idx="85">
                  <c:v>0.27103105543612316</c:v>
                </c:pt>
                <c:pt idx="86">
                  <c:v>0.19951882560141368</c:v>
                </c:pt>
                <c:pt idx="87">
                  <c:v>0.1310070694443416</c:v>
                </c:pt>
                <c:pt idx="88">
                  <c:v>0.55576214475571517</c:v>
                </c:pt>
                <c:pt idx="89">
                  <c:v>0.51130565892707658</c:v>
                </c:pt>
                <c:pt idx="90">
                  <c:v>0.42926404391524042</c:v>
                </c:pt>
                <c:pt idx="91">
                  <c:v>0.35611444390204494</c:v>
                </c:pt>
                <c:pt idx="92">
                  <c:v>0.27430385773822069</c:v>
                </c:pt>
                <c:pt idx="93">
                  <c:v>0.20689965473367058</c:v>
                </c:pt>
                <c:pt idx="94">
                  <c:v>0.15733170692323223</c:v>
                </c:pt>
                <c:pt idx="95">
                  <c:v>0.1079388622077927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1-4511-9870-CE180752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0.49175984548526802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0.3001630098378677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0.30004194351389951</c:v>
                </c:pt>
                <c:pt idx="65">
                  <c:v>0.50006990585649913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0.29994322913819166</c:v>
                </c:pt>
                <c:pt idx="73">
                  <c:v>0.49990538189698608</c:v>
                </c:pt>
                <c:pt idx="74">
                  <c:v>0.74985807284547923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0.29990786632051653</c:v>
                </c:pt>
                <c:pt idx="81">
                  <c:v>0.49984644386752752</c:v>
                </c:pt>
                <c:pt idx="82">
                  <c:v>0.74976966580129145</c:v>
                </c:pt>
                <c:pt idx="83">
                  <c:v>0.99969288773505516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0.2999074151305226</c:v>
                </c:pt>
                <c:pt idx="89">
                  <c:v>0.49984569188420436</c:v>
                </c:pt>
                <c:pt idx="90">
                  <c:v>0.74976853782630648</c:v>
                </c:pt>
                <c:pt idx="91">
                  <c:v>0.99969138376840871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0.49999999999999989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1.9999999999999996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0.75000000000000011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0.49999999999999994</c:v>
                </c:pt>
                <c:pt idx="226">
                  <c:v>0.75</c:v>
                </c:pt>
                <c:pt idx="227">
                  <c:v>1</c:v>
                </c:pt>
                <c:pt idx="228">
                  <c:v>1.3299999999999998</c:v>
                </c:pt>
                <c:pt idx="229">
                  <c:v>1.67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0.30000000000000004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0.30000000000000004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0.75000000000000011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0.30000000000000004</c:v>
                </c:pt>
                <c:pt idx="265">
                  <c:v>0.49999999999999994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1.9999999999999998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0.30000000000000004</c:v>
                </c:pt>
                <c:pt idx="281">
                  <c:v>0.49999999999999994</c:v>
                </c:pt>
                <c:pt idx="282">
                  <c:v>0.75</c:v>
                </c:pt>
                <c:pt idx="283">
                  <c:v>0.99999999999999989</c:v>
                </c:pt>
                <c:pt idx="284">
                  <c:v>1.3300000000000003</c:v>
                </c:pt>
                <c:pt idx="285">
                  <c:v>1.67</c:v>
                </c:pt>
                <c:pt idx="286">
                  <c:v>1.9999999999999998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  <c:pt idx="48">
                  <c:v>1.0136389211411383</c:v>
                </c:pt>
                <c:pt idx="49">
                  <c:v>0.87927475833839686</c:v>
                </c:pt>
                <c:pt idx="50">
                  <c:v>0.7210844981978688</c:v>
                </c:pt>
                <c:pt idx="51">
                  <c:v>0.6512974990708571</c:v>
                </c:pt>
                <c:pt idx="52">
                  <c:v>0.48197744449634278</c:v>
                </c:pt>
                <c:pt idx="53">
                  <c:v>0.32496578214121186</c:v>
                </c:pt>
                <c:pt idx="54">
                  <c:v>0.22415542605383473</c:v>
                </c:pt>
                <c:pt idx="55">
                  <c:v>0.14145261282710786</c:v>
                </c:pt>
                <c:pt idx="56">
                  <c:v>1.0238588967186413</c:v>
                </c:pt>
                <c:pt idx="57">
                  <c:v>0.88799757040382965</c:v>
                </c:pt>
                <c:pt idx="58">
                  <c:v>0.72515637957617529</c:v>
                </c:pt>
                <c:pt idx="59">
                  <c:v>0.65432919682863777</c:v>
                </c:pt>
                <c:pt idx="60">
                  <c:v>0.48481833222002502</c:v>
                </c:pt>
                <c:pt idx="61">
                  <c:v>0.32637780634722363</c:v>
                </c:pt>
                <c:pt idx="62">
                  <c:v>0.22502891169985859</c:v>
                </c:pt>
                <c:pt idx="63">
                  <c:v>0.14200067667657226</c:v>
                </c:pt>
                <c:pt idx="64">
                  <c:v>1.0300534446372873</c:v>
                </c:pt>
                <c:pt idx="65">
                  <c:v>0.89343539695107743</c:v>
                </c:pt>
                <c:pt idx="66">
                  <c:v>0.72766244190667728</c:v>
                </c:pt>
                <c:pt idx="67">
                  <c:v>0.65604148674678842</c:v>
                </c:pt>
                <c:pt idx="68">
                  <c:v>0.48613701198117854</c:v>
                </c:pt>
                <c:pt idx="69">
                  <c:v>0.32703216519703543</c:v>
                </c:pt>
                <c:pt idx="70">
                  <c:v>0.22544794080101771</c:v>
                </c:pt>
                <c:pt idx="71">
                  <c:v>0.14227621823863845</c:v>
                </c:pt>
                <c:pt idx="72">
                  <c:v>1.0439695080444971</c:v>
                </c:pt>
                <c:pt idx="73">
                  <c:v>0.90224705451700382</c:v>
                </c:pt>
                <c:pt idx="74">
                  <c:v>0.73256967725920108</c:v>
                </c:pt>
                <c:pt idx="75">
                  <c:v>0.65909210359471981</c:v>
                </c:pt>
                <c:pt idx="76">
                  <c:v>0.4883529446564287</c:v>
                </c:pt>
                <c:pt idx="77">
                  <c:v>0.32814099353527293</c:v>
                </c:pt>
                <c:pt idx="78">
                  <c:v>0.22621321446381135</c:v>
                </c:pt>
                <c:pt idx="79">
                  <c:v>0.14288106593124036</c:v>
                </c:pt>
                <c:pt idx="80">
                  <c:v>1.0561801493668677</c:v>
                </c:pt>
                <c:pt idx="81">
                  <c:v>0.91468361103515639</c:v>
                </c:pt>
                <c:pt idx="82">
                  <c:v>0.73974682621118848</c:v>
                </c:pt>
                <c:pt idx="83">
                  <c:v>0.66326503254470215</c:v>
                </c:pt>
                <c:pt idx="84">
                  <c:v>0.49102843923237816</c:v>
                </c:pt>
                <c:pt idx="85">
                  <c:v>0.32960948268280132</c:v>
                </c:pt>
                <c:pt idx="86">
                  <c:v>0.22727469286655613</c:v>
                </c:pt>
                <c:pt idx="87">
                  <c:v>0.14362894977452836</c:v>
                </c:pt>
                <c:pt idx="88">
                  <c:v>1.0691757237993755</c:v>
                </c:pt>
                <c:pt idx="89">
                  <c:v>0.92610550951961479</c:v>
                </c:pt>
                <c:pt idx="90">
                  <c:v>0.74784564950100896</c:v>
                </c:pt>
                <c:pt idx="91">
                  <c:v>0.66820553293099649</c:v>
                </c:pt>
                <c:pt idx="92">
                  <c:v>0.49392159911988315</c:v>
                </c:pt>
                <c:pt idx="93">
                  <c:v>0.3312837314758032</c:v>
                </c:pt>
                <c:pt idx="94">
                  <c:v>0.22846161791030137</c:v>
                </c:pt>
                <c:pt idx="95">
                  <c:v>0.14447196757265598</c:v>
                </c:pt>
                <c:pt idx="96">
                  <c:v>1.249536947007837</c:v>
                </c:pt>
                <c:pt idx="97">
                  <c:v>1.0567559483299949</c:v>
                </c:pt>
                <c:pt idx="98">
                  <c:v>0.90153884682400254</c:v>
                </c:pt>
                <c:pt idx="99">
                  <c:v>0.74953548211251608</c:v>
                </c:pt>
                <c:pt idx="100">
                  <c:v>0.51122078168800444</c:v>
                </c:pt>
                <c:pt idx="101">
                  <c:v>0.34345258617321206</c:v>
                </c:pt>
                <c:pt idx="102">
                  <c:v>0.2446056861018612</c:v>
                </c:pt>
                <c:pt idx="103">
                  <c:v>0.15739228831669186</c:v>
                </c:pt>
                <c:pt idx="104">
                  <c:v>1.1967777426078328</c:v>
                </c:pt>
                <c:pt idx="105">
                  <c:v>1.048138918840164</c:v>
                </c:pt>
                <c:pt idx="106">
                  <c:v>0.88856643339239971</c:v>
                </c:pt>
                <c:pt idx="107">
                  <c:v>0.74632223562401134</c:v>
                </c:pt>
                <c:pt idx="108">
                  <c:v>0.5109134833785498</c:v>
                </c:pt>
                <c:pt idx="109">
                  <c:v>0.34280014038351342</c:v>
                </c:pt>
                <c:pt idx="110">
                  <c:v>0.24394592307730428</c:v>
                </c:pt>
                <c:pt idx="111">
                  <c:v>0.15692762546383879</c:v>
                </c:pt>
                <c:pt idx="112">
                  <c:v>1.1058520957171876</c:v>
                </c:pt>
                <c:pt idx="113">
                  <c:v>1.0421825850749162</c:v>
                </c:pt>
                <c:pt idx="114">
                  <c:v>0.88300823658387562</c:v>
                </c:pt>
                <c:pt idx="115">
                  <c:v>0.74475486976212746</c:v>
                </c:pt>
                <c:pt idx="116">
                  <c:v>0.51024027790799487</c:v>
                </c:pt>
                <c:pt idx="117">
                  <c:v>0.34197012684268036</c:v>
                </c:pt>
                <c:pt idx="118">
                  <c:v>0.24323349627591812</c:v>
                </c:pt>
                <c:pt idx="119">
                  <c:v>0.15644847563221206</c:v>
                </c:pt>
                <c:pt idx="120">
                  <c:v>1.0209142154862862</c:v>
                </c:pt>
                <c:pt idx="121">
                  <c:v>1.0328422444596184</c:v>
                </c:pt>
                <c:pt idx="122">
                  <c:v>0.87611250578399513</c:v>
                </c:pt>
                <c:pt idx="123">
                  <c:v>0.74309802829001781</c:v>
                </c:pt>
                <c:pt idx="124">
                  <c:v>0.50923154511026247</c:v>
                </c:pt>
                <c:pt idx="125">
                  <c:v>0.3407406455977201</c:v>
                </c:pt>
                <c:pt idx="126">
                  <c:v>0.24216681791003478</c:v>
                </c:pt>
                <c:pt idx="127">
                  <c:v>0.1557479177030327</c:v>
                </c:pt>
                <c:pt idx="128">
                  <c:v>1.0479025550686092</c:v>
                </c:pt>
                <c:pt idx="129">
                  <c:v>1.0245809323630557</c:v>
                </c:pt>
                <c:pt idx="130">
                  <c:v>0.87122406673706843</c:v>
                </c:pt>
                <c:pt idx="131">
                  <c:v>0.74221252828537065</c:v>
                </c:pt>
                <c:pt idx="132">
                  <c:v>0.50822066149633049</c:v>
                </c:pt>
                <c:pt idx="133">
                  <c:v>0.33969081111913207</c:v>
                </c:pt>
                <c:pt idx="134">
                  <c:v>0.24132378887047165</c:v>
                </c:pt>
                <c:pt idx="135">
                  <c:v>0.15521615979352593</c:v>
                </c:pt>
                <c:pt idx="136">
                  <c:v>1.1025409258387697</c:v>
                </c:pt>
                <c:pt idx="137">
                  <c:v>1.0160594973200121</c:v>
                </c:pt>
                <c:pt idx="138">
                  <c:v>0.86766127249046365</c:v>
                </c:pt>
                <c:pt idx="139">
                  <c:v>0.74140107706160008</c:v>
                </c:pt>
                <c:pt idx="140">
                  <c:v>0.50719794839329879</c:v>
                </c:pt>
                <c:pt idx="141">
                  <c:v>0.33876528917086041</c:v>
                </c:pt>
                <c:pt idx="142">
                  <c:v>0.2406197699384961</c:v>
                </c:pt>
                <c:pt idx="143">
                  <c:v>0.15479832297352913</c:v>
                </c:pt>
                <c:pt idx="144">
                  <c:v>1.0778820661299613</c:v>
                </c:pt>
                <c:pt idx="145">
                  <c:v>1.013708756618483</c:v>
                </c:pt>
                <c:pt idx="146">
                  <c:v>0.87829813540246293</c:v>
                </c:pt>
                <c:pt idx="147">
                  <c:v>0.7476396868504378</c:v>
                </c:pt>
                <c:pt idx="148">
                  <c:v>0.51010477648740427</c:v>
                </c:pt>
                <c:pt idx="149">
                  <c:v>0.34092105036732595</c:v>
                </c:pt>
                <c:pt idx="150">
                  <c:v>0.24252106947453211</c:v>
                </c:pt>
                <c:pt idx="151">
                  <c:v>0.15625734556509394</c:v>
                </c:pt>
                <c:pt idx="152">
                  <c:v>1.1775995334512621</c:v>
                </c:pt>
                <c:pt idx="153">
                  <c:v>1.0182271885406846</c:v>
                </c:pt>
                <c:pt idx="154">
                  <c:v>0.87849827011820647</c:v>
                </c:pt>
                <c:pt idx="155">
                  <c:v>0.74608311976909802</c:v>
                </c:pt>
                <c:pt idx="156">
                  <c:v>0.50925412868036102</c:v>
                </c:pt>
                <c:pt idx="157">
                  <c:v>0.34020170529860377</c:v>
                </c:pt>
                <c:pt idx="158">
                  <c:v>0.24186077146349108</c:v>
                </c:pt>
                <c:pt idx="159">
                  <c:v>0.15573429258933713</c:v>
                </c:pt>
                <c:pt idx="160">
                  <c:v>1.2483083323127451</c:v>
                </c:pt>
                <c:pt idx="161">
                  <c:v>1.021748482501377</c:v>
                </c:pt>
                <c:pt idx="162">
                  <c:v>0.87982193338668913</c:v>
                </c:pt>
                <c:pt idx="163">
                  <c:v>0.74612631489127557</c:v>
                </c:pt>
                <c:pt idx="164">
                  <c:v>0.50923907296696169</c:v>
                </c:pt>
                <c:pt idx="165">
                  <c:v>0.34012590497523976</c:v>
                </c:pt>
                <c:pt idx="166">
                  <c:v>0.2417340928977057</c:v>
                </c:pt>
                <c:pt idx="167">
                  <c:v>0.15563021185971823</c:v>
                </c:pt>
                <c:pt idx="168">
                  <c:v>1.2111254192213585</c:v>
                </c:pt>
                <c:pt idx="169">
                  <c:v>1.0287905475805508</c:v>
                </c:pt>
                <c:pt idx="170">
                  <c:v>0.88330492091573898</c:v>
                </c:pt>
                <c:pt idx="171">
                  <c:v>0.7471066233190895</c:v>
                </c:pt>
                <c:pt idx="172">
                  <c:v>0.50972482009077624</c:v>
                </c:pt>
                <c:pt idx="173">
                  <c:v>0.34035318903088446</c:v>
                </c:pt>
                <c:pt idx="174">
                  <c:v>0.24178946291098924</c:v>
                </c:pt>
                <c:pt idx="175">
                  <c:v>0.15564472947856078</c:v>
                </c:pt>
                <c:pt idx="176">
                  <c:v>1.1392087564993905</c:v>
                </c:pt>
                <c:pt idx="177">
                  <c:v>1.0388483998377638</c:v>
                </c:pt>
                <c:pt idx="178">
                  <c:v>0.88932312692639359</c:v>
                </c:pt>
                <c:pt idx="179">
                  <c:v>0.74968425806393879</c:v>
                </c:pt>
                <c:pt idx="180">
                  <c:v>0.51095172964281299</c:v>
                </c:pt>
                <c:pt idx="181">
                  <c:v>0.34115683835467658</c:v>
                </c:pt>
                <c:pt idx="182">
                  <c:v>0.24225476482573904</c:v>
                </c:pt>
                <c:pt idx="183">
                  <c:v>0.15592593543012154</c:v>
                </c:pt>
                <c:pt idx="184">
                  <c:v>1.0690770128056741</c:v>
                </c:pt>
                <c:pt idx="185">
                  <c:v>1.0485559542163709</c:v>
                </c:pt>
                <c:pt idx="186">
                  <c:v>0.89607657884985892</c:v>
                </c:pt>
                <c:pt idx="187">
                  <c:v>0.75338774772404538</c:v>
                </c:pt>
                <c:pt idx="188">
                  <c:v>0.5128394270725648</c:v>
                </c:pt>
                <c:pt idx="189">
                  <c:v>0.34231417657122359</c:v>
                </c:pt>
                <c:pt idx="190">
                  <c:v>0.24303021306316197</c:v>
                </c:pt>
                <c:pt idx="191">
                  <c:v>0.15642704316798575</c:v>
                </c:pt>
                <c:pt idx="192">
                  <c:v>1.0488571265650899</c:v>
                </c:pt>
                <c:pt idx="193">
                  <c:v>0.96411920712689858</c:v>
                </c:pt>
                <c:pt idx="194">
                  <c:v>0.77809603336558075</c:v>
                </c:pt>
                <c:pt idx="195">
                  <c:v>0.64419662533195954</c:v>
                </c:pt>
                <c:pt idx="196">
                  <c:v>0.47310858703368386</c:v>
                </c:pt>
                <c:pt idx="197">
                  <c:v>0.32042767494269897</c:v>
                </c:pt>
                <c:pt idx="198">
                  <c:v>0.21888654856151413</c:v>
                </c:pt>
                <c:pt idx="199">
                  <c:v>0.13785322324083435</c:v>
                </c:pt>
                <c:pt idx="200">
                  <c:v>1.0780827430922897</c:v>
                </c:pt>
                <c:pt idx="201">
                  <c:v>0.94406565478987736</c:v>
                </c:pt>
                <c:pt idx="202">
                  <c:v>0.761470981235984</c:v>
                </c:pt>
                <c:pt idx="203">
                  <c:v>0.63938036920912278</c:v>
                </c:pt>
                <c:pt idx="204">
                  <c:v>0.47184498251626883</c:v>
                </c:pt>
                <c:pt idx="205">
                  <c:v>0.32032079648675615</c:v>
                </c:pt>
                <c:pt idx="206">
                  <c:v>0.2197553617339362</c:v>
                </c:pt>
                <c:pt idx="207">
                  <c:v>0.13889478748778278</c:v>
                </c:pt>
                <c:pt idx="208">
                  <c:v>1.0572611523253006</c:v>
                </c:pt>
                <c:pt idx="209">
                  <c:v>0.92792117228746873</c:v>
                </c:pt>
                <c:pt idx="210">
                  <c:v>0.75087374896076575</c:v>
                </c:pt>
                <c:pt idx="211">
                  <c:v>0.63711416797771725</c:v>
                </c:pt>
                <c:pt idx="212">
                  <c:v>0.47167399262838017</c:v>
                </c:pt>
                <c:pt idx="213">
                  <c:v>0.3202791063089061</c:v>
                </c:pt>
                <c:pt idx="214">
                  <c:v>0.22027384701425254</c:v>
                </c:pt>
                <c:pt idx="215">
                  <c:v>0.13948255975359344</c:v>
                </c:pt>
                <c:pt idx="216">
                  <c:v>1.1726232871556874</c:v>
                </c:pt>
                <c:pt idx="217">
                  <c:v>0.90216418349427829</c:v>
                </c:pt>
                <c:pt idx="218">
                  <c:v>0.7379779397522539</c:v>
                </c:pt>
                <c:pt idx="219">
                  <c:v>0.63502228991795895</c:v>
                </c:pt>
                <c:pt idx="220">
                  <c:v>0.47162990089628326</c:v>
                </c:pt>
                <c:pt idx="221">
                  <c:v>0.32019420994673858</c:v>
                </c:pt>
                <c:pt idx="222">
                  <c:v>0.22079569544233327</c:v>
                </c:pt>
                <c:pt idx="223">
                  <c:v>0.14009682529603437</c:v>
                </c:pt>
                <c:pt idx="224">
                  <c:v>1.246344952302938</c:v>
                </c:pt>
                <c:pt idx="225">
                  <c:v>0.89159307597479887</c:v>
                </c:pt>
                <c:pt idx="226">
                  <c:v>0.72668518980152996</c:v>
                </c:pt>
                <c:pt idx="227">
                  <c:v>0.63365393015468008</c:v>
                </c:pt>
                <c:pt idx="228">
                  <c:v>0.47157828130748669</c:v>
                </c:pt>
                <c:pt idx="229">
                  <c:v>0.32001380517713285</c:v>
                </c:pt>
                <c:pt idx="230">
                  <c:v>0.22113201021875475</c:v>
                </c:pt>
                <c:pt idx="231">
                  <c:v>0.14053207198353096</c:v>
                </c:pt>
                <c:pt idx="232">
                  <c:v>1.1913459053707551</c:v>
                </c:pt>
                <c:pt idx="233">
                  <c:v>0.88355575863770541</c:v>
                </c:pt>
                <c:pt idx="234">
                  <c:v>0.71839247905512249</c:v>
                </c:pt>
                <c:pt idx="235">
                  <c:v>0.63274683258894437</c:v>
                </c:pt>
                <c:pt idx="236">
                  <c:v>0.47127824244760685</c:v>
                </c:pt>
                <c:pt idx="237">
                  <c:v>0.31974471402919152</c:v>
                </c:pt>
                <c:pt idx="238">
                  <c:v>0.22126485455544118</c:v>
                </c:pt>
                <c:pt idx="239">
                  <c:v>0.14077845945619211</c:v>
                </c:pt>
                <c:pt idx="240">
                  <c:v>1.1037205809551591</c:v>
                </c:pt>
                <c:pt idx="241">
                  <c:v>0.89568278674446744</c:v>
                </c:pt>
                <c:pt idx="242">
                  <c:v>0.72003318741785238</c:v>
                </c:pt>
                <c:pt idx="243">
                  <c:v>0.63811999725128876</c:v>
                </c:pt>
                <c:pt idx="244">
                  <c:v>0.47507228222415249</c:v>
                </c:pt>
                <c:pt idx="245">
                  <c:v>0.32258419414239803</c:v>
                </c:pt>
                <c:pt idx="246">
                  <c:v>0.22357141339706507</c:v>
                </c:pt>
                <c:pt idx="247">
                  <c:v>0.14234421210503867</c:v>
                </c:pt>
                <c:pt idx="248">
                  <c:v>1.0234931856372902</c:v>
                </c:pt>
                <c:pt idx="249">
                  <c:v>0.90221717150189484</c:v>
                </c:pt>
                <c:pt idx="250">
                  <c:v>0.72078022492117311</c:v>
                </c:pt>
                <c:pt idx="251">
                  <c:v>0.63721444236848779</c:v>
                </c:pt>
                <c:pt idx="252">
                  <c:v>0.47441950950749628</c:v>
                </c:pt>
                <c:pt idx="253">
                  <c:v>0.32190123322889064</c:v>
                </c:pt>
                <c:pt idx="254">
                  <c:v>0.22307198595407918</c:v>
                </c:pt>
                <c:pt idx="255">
                  <c:v>0.14205354301286707</c:v>
                </c:pt>
                <c:pt idx="256">
                  <c:v>1.0467174762505347</c:v>
                </c:pt>
                <c:pt idx="257">
                  <c:v>0.90651401721042757</c:v>
                </c:pt>
                <c:pt idx="258">
                  <c:v>0.72159265297518183</c:v>
                </c:pt>
                <c:pt idx="259">
                  <c:v>0.63748441188209959</c:v>
                </c:pt>
                <c:pt idx="260">
                  <c:v>0.47447112909629291</c:v>
                </c:pt>
                <c:pt idx="261">
                  <c:v>0.32180875683438676</c:v>
                </c:pt>
                <c:pt idx="262">
                  <c:v>0.22302938608239906</c:v>
                </c:pt>
                <c:pt idx="263">
                  <c:v>0.1420410533253128</c:v>
                </c:pt>
                <c:pt idx="264">
                  <c:v>1.061652194867603</c:v>
                </c:pt>
                <c:pt idx="265">
                  <c:v>0.91435545672360263</c:v>
                </c:pt>
                <c:pt idx="266">
                  <c:v>0.72619171371937186</c:v>
                </c:pt>
                <c:pt idx="267">
                  <c:v>0.63869896113936353</c:v>
                </c:pt>
                <c:pt idx="268">
                  <c:v>0.47501053508408175</c:v>
                </c:pt>
                <c:pt idx="269">
                  <c:v>0.32205888788737613</c:v>
                </c:pt>
                <c:pt idx="270">
                  <c:v>0.22322129895775125</c:v>
                </c:pt>
                <c:pt idx="271">
                  <c:v>0.14220237315996784</c:v>
                </c:pt>
                <c:pt idx="272">
                  <c:v>1.0676297887249462</c:v>
                </c:pt>
                <c:pt idx="273">
                  <c:v>0.92449292062687372</c:v>
                </c:pt>
                <c:pt idx="274">
                  <c:v>0.7272317936445527</c:v>
                </c:pt>
                <c:pt idx="275">
                  <c:v>0.64148984599795222</c:v>
                </c:pt>
                <c:pt idx="276">
                  <c:v>0.47648057224986196</c:v>
                </c:pt>
                <c:pt idx="277">
                  <c:v>0.32282750637696261</c:v>
                </c:pt>
                <c:pt idx="278">
                  <c:v>0.2238573564203547</c:v>
                </c:pt>
                <c:pt idx="279">
                  <c:v>0.14264623796162224</c:v>
                </c:pt>
                <c:pt idx="280">
                  <c:v>1.2223646439536624</c:v>
                </c:pt>
                <c:pt idx="281">
                  <c:v>0.93465244226250221</c:v>
                </c:pt>
                <c:pt idx="282">
                  <c:v>0.74023901546435023</c:v>
                </c:pt>
                <c:pt idx="283">
                  <c:v>0.64524468622447506</c:v>
                </c:pt>
                <c:pt idx="284">
                  <c:v>0.47860450346298195</c:v>
                </c:pt>
                <c:pt idx="285">
                  <c:v>0.32406277938969347</c:v>
                </c:pt>
                <c:pt idx="286">
                  <c:v>0.22483118510972766</c:v>
                </c:pt>
                <c:pt idx="287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0.3001630098378677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0.30004194351389951</c:v>
                </c:pt>
                <c:pt idx="17">
                  <c:v>0.50006990585649913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0.29994322913819166</c:v>
                </c:pt>
                <c:pt idx="25">
                  <c:v>0.49990538189698608</c:v>
                </c:pt>
                <c:pt idx="26">
                  <c:v>0.74985807284547923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0.29990786632051653</c:v>
                </c:pt>
                <c:pt idx="33">
                  <c:v>0.49984644386752752</c:v>
                </c:pt>
                <c:pt idx="34">
                  <c:v>0.74976966580129145</c:v>
                </c:pt>
                <c:pt idx="35">
                  <c:v>0.99969288773505516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0.2999074151305226</c:v>
                </c:pt>
                <c:pt idx="41">
                  <c:v>0.49984569188420436</c:v>
                </c:pt>
                <c:pt idx="42">
                  <c:v>0.74976853782630648</c:v>
                </c:pt>
                <c:pt idx="43">
                  <c:v>0.99969138376840871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Only'!$AK$54:$AK$101</c:f>
              <c:numCache>
                <c:formatCode>General</c:formatCode>
                <c:ptCount val="48"/>
                <c:pt idx="0">
                  <c:v>1.0136389211411383</c:v>
                </c:pt>
                <c:pt idx="1">
                  <c:v>0.87927475833839686</c:v>
                </c:pt>
                <c:pt idx="2">
                  <c:v>0.7210844981978688</c:v>
                </c:pt>
                <c:pt idx="3">
                  <c:v>0.6512974990708571</c:v>
                </c:pt>
                <c:pt idx="4">
                  <c:v>0.48197744449634278</c:v>
                </c:pt>
                <c:pt idx="5">
                  <c:v>0.32496578214121186</c:v>
                </c:pt>
                <c:pt idx="6">
                  <c:v>0.22415542605383473</c:v>
                </c:pt>
                <c:pt idx="7">
                  <c:v>0.14145261282710786</c:v>
                </c:pt>
                <c:pt idx="8">
                  <c:v>1.0238588967186413</c:v>
                </c:pt>
                <c:pt idx="9">
                  <c:v>0.88799757040382965</c:v>
                </c:pt>
                <c:pt idx="10">
                  <c:v>0.72515637957617529</c:v>
                </c:pt>
                <c:pt idx="11">
                  <c:v>0.65432919682863777</c:v>
                </c:pt>
                <c:pt idx="12">
                  <c:v>0.48481833222002502</c:v>
                </c:pt>
                <c:pt idx="13">
                  <c:v>0.32637780634722363</c:v>
                </c:pt>
                <c:pt idx="14">
                  <c:v>0.22502891169985859</c:v>
                </c:pt>
                <c:pt idx="15">
                  <c:v>0.14200067667657226</c:v>
                </c:pt>
                <c:pt idx="16">
                  <c:v>1.0300534446372873</c:v>
                </c:pt>
                <c:pt idx="17">
                  <c:v>0.89343539695107743</c:v>
                </c:pt>
                <c:pt idx="18">
                  <c:v>0.72766244190667728</c:v>
                </c:pt>
                <c:pt idx="19">
                  <c:v>0.65604148674678842</c:v>
                </c:pt>
                <c:pt idx="20">
                  <c:v>0.48613701198117854</c:v>
                </c:pt>
                <c:pt idx="21">
                  <c:v>0.32703216519703543</c:v>
                </c:pt>
                <c:pt idx="22">
                  <c:v>0.22544794080101771</c:v>
                </c:pt>
                <c:pt idx="23">
                  <c:v>0.14227621823863845</c:v>
                </c:pt>
                <c:pt idx="24">
                  <c:v>1.0439695080444971</c:v>
                </c:pt>
                <c:pt idx="25">
                  <c:v>0.90224705451700382</c:v>
                </c:pt>
                <c:pt idx="26">
                  <c:v>0.73256967725920108</c:v>
                </c:pt>
                <c:pt idx="27">
                  <c:v>0.65909210359471981</c:v>
                </c:pt>
                <c:pt idx="28">
                  <c:v>0.4883529446564287</c:v>
                </c:pt>
                <c:pt idx="29">
                  <c:v>0.32814099353527293</c:v>
                </c:pt>
                <c:pt idx="30">
                  <c:v>0.22621321446381135</c:v>
                </c:pt>
                <c:pt idx="31">
                  <c:v>0.14288106593124036</c:v>
                </c:pt>
                <c:pt idx="32">
                  <c:v>1.0561801493668677</c:v>
                </c:pt>
                <c:pt idx="33">
                  <c:v>0.91468361103515639</c:v>
                </c:pt>
                <c:pt idx="34">
                  <c:v>0.73974682621118848</c:v>
                </c:pt>
                <c:pt idx="35">
                  <c:v>0.66326503254470215</c:v>
                </c:pt>
                <c:pt idx="36">
                  <c:v>0.49102843923237816</c:v>
                </c:pt>
                <c:pt idx="37">
                  <c:v>0.32960948268280132</c:v>
                </c:pt>
                <c:pt idx="38">
                  <c:v>0.22727469286655613</c:v>
                </c:pt>
                <c:pt idx="39">
                  <c:v>0.14362894977452836</c:v>
                </c:pt>
                <c:pt idx="40">
                  <c:v>1.0691757237993755</c:v>
                </c:pt>
                <c:pt idx="41">
                  <c:v>0.92610550951961479</c:v>
                </c:pt>
                <c:pt idx="42">
                  <c:v>0.74784564950100896</c:v>
                </c:pt>
                <c:pt idx="43">
                  <c:v>0.66820553293099649</c:v>
                </c:pt>
                <c:pt idx="44">
                  <c:v>0.49392159911988315</c:v>
                </c:pt>
                <c:pt idx="45">
                  <c:v>0.3312837314758032</c:v>
                </c:pt>
                <c:pt idx="46">
                  <c:v>0.22846161791030137</c:v>
                </c:pt>
                <c:pt idx="47">
                  <c:v>0.14447196757265598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7-451F-AB16-DC9CA2B3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Only'!$AJ$6:$AJ$53</c15:sqref>
                        </c15:formulaRef>
                      </c:ext>
                    </c:extLst>
                    <c:numCache>
                      <c:formatCode>0.00</c:formatCode>
                      <c:ptCount val="48"/>
                      <c:pt idx="0">
                        <c:v>0.29647172660107202</c:v>
                      </c:pt>
                      <c:pt idx="1">
                        <c:v>0.5013924846573633</c:v>
                      </c:pt>
                      <c:pt idx="2">
                        <c:v>0.74453251753853744</c:v>
                      </c:pt>
                      <c:pt idx="3">
                        <c:v>0.98917450951524921</c:v>
                      </c:pt>
                      <c:pt idx="4">
                        <c:v>1.3129513463657247</c:v>
                      </c:pt>
                      <c:pt idx="5">
                        <c:v>1.6470148670899953</c:v>
                      </c:pt>
                      <c:pt idx="6">
                        <c:v>1.9714683833733562</c:v>
                      </c:pt>
                      <c:pt idx="7">
                        <c:v>2.4633108767085972</c:v>
                      </c:pt>
                      <c:pt idx="8">
                        <c:v>0.29750738138153421</c:v>
                      </c:pt>
                      <c:pt idx="9">
                        <c:v>0.50387025423514742</c:v>
                      </c:pt>
                      <c:pt idx="10">
                        <c:v>0.74721771131911685</c:v>
                      </c:pt>
                      <c:pt idx="11">
                        <c:v>0.99228029052843447</c:v>
                      </c:pt>
                      <c:pt idx="12">
                        <c:v>1.3167091349710243</c:v>
                      </c:pt>
                      <c:pt idx="13">
                        <c:v>1.6514694167873953</c:v>
                      </c:pt>
                      <c:pt idx="14">
                        <c:v>1.9766742135973967</c:v>
                      </c:pt>
                      <c:pt idx="15">
                        <c:v>2.4696642329825638</c:v>
                      </c:pt>
                      <c:pt idx="16">
                        <c:v>0.49175984548526802</c:v>
                      </c:pt>
                      <c:pt idx="17">
                        <c:v>0.50547215126800593</c:v>
                      </c:pt>
                      <c:pt idx="18">
                        <c:v>0.74880335244639362</c:v>
                      </c:pt>
                      <c:pt idx="19">
                        <c:v>0.99399697729636383</c:v>
                      </c:pt>
                      <c:pt idx="20">
                        <c:v>1.3186683604619418</c:v>
                      </c:pt>
                      <c:pt idx="21">
                        <c:v>1.6538212211510712</c:v>
                      </c:pt>
                      <c:pt idx="22">
                        <c:v>1.9793379095950698</c:v>
                      </c:pt>
                      <c:pt idx="23">
                        <c:v>2.4729015754724109</c:v>
                      </c:pt>
                      <c:pt idx="24">
                        <c:v>0.29879552482933619</c:v>
                      </c:pt>
                      <c:pt idx="25">
                        <c:v>0.49799254138222698</c:v>
                      </c:pt>
                      <c:pt idx="26">
                        <c:v>0.75185055241377818</c:v>
                      </c:pt>
                      <c:pt idx="27">
                        <c:v>0.99701961169883668</c:v>
                      </c:pt>
                      <c:pt idx="28">
                        <c:v>1.3220018116915118</c:v>
                      </c:pt>
                      <c:pt idx="29">
                        <c:v>1.6574826693812967</c:v>
                      </c:pt>
                      <c:pt idx="30">
                        <c:v>1.9835188545521034</c:v>
                      </c:pt>
                      <c:pt idx="31">
                        <c:v>2.4777636492823336</c:v>
                      </c:pt>
                      <c:pt idx="32">
                        <c:v>0.29936272799904123</c:v>
                      </c:pt>
                      <c:pt idx="33">
                        <c:v>0.49893787999840211</c:v>
                      </c:pt>
                      <c:pt idx="34">
                        <c:v>0.74840681999760295</c:v>
                      </c:pt>
                      <c:pt idx="35">
                        <c:v>0.99787575999680422</c:v>
                      </c:pt>
                      <c:pt idx="36">
                        <c:v>1.325315426254932</c:v>
                      </c:pt>
                      <c:pt idx="37">
                        <c:v>1.6609330708451666</c:v>
                      </c:pt>
                      <c:pt idx="38">
                        <c:v>1.9871360000721772</c:v>
                      </c:pt>
                      <c:pt idx="39">
                        <c:v>2.4818614825087537</c:v>
                      </c:pt>
                      <c:pt idx="40">
                        <c:v>0.29964736441136586</c:v>
                      </c:pt>
                      <c:pt idx="41">
                        <c:v>0.49941227401894306</c:v>
                      </c:pt>
                      <c:pt idx="42">
                        <c:v>0.74911841102841459</c:v>
                      </c:pt>
                      <c:pt idx="43">
                        <c:v>0.99882454803788601</c:v>
                      </c:pt>
                      <c:pt idx="44">
                        <c:v>1.3284366488903889</c:v>
                      </c:pt>
                      <c:pt idx="45">
                        <c:v>1.6634898031442582</c:v>
                      </c:pt>
                      <c:pt idx="46">
                        <c:v>1.9896810400686959</c:v>
                      </c:pt>
                      <c:pt idx="47">
                        <c:v>2.4845003099159175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Only'!$AK$6:$AK$53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1.0187131143735495</c:v>
                      </c:pt>
                      <c:pt idx="1">
                        <c:v>0.97062766669684031</c:v>
                      </c:pt>
                      <c:pt idx="2">
                        <c:v>0.78891982356499668</c:v>
                      </c:pt>
                      <c:pt idx="3">
                        <c:v>0.65887451745853198</c:v>
                      </c:pt>
                      <c:pt idx="4">
                        <c:v>0.48486349588664168</c:v>
                      </c:pt>
                      <c:pt idx="5">
                        <c:v>0.32695239054596464</c:v>
                      </c:pt>
                      <c:pt idx="6">
                        <c:v>0.22306637278196431</c:v>
                      </c:pt>
                      <c:pt idx="7">
                        <c:v>0.13866724567052971</c:v>
                      </c:pt>
                      <c:pt idx="8">
                        <c:v>1.0233385779101531</c:v>
                      </c:pt>
                      <c:pt idx="9">
                        <c:v>0.96401337423408162</c:v>
                      </c:pt>
                      <c:pt idx="10">
                        <c:v>0.77751656818976944</c:v>
                      </c:pt>
                      <c:pt idx="11">
                        <c:v>0.65661007238766389</c:v>
                      </c:pt>
                      <c:pt idx="12">
                        <c:v>0.48427405088631992</c:v>
                      </c:pt>
                      <c:pt idx="13">
                        <c:v>0.32685023119358075</c:v>
                      </c:pt>
                      <c:pt idx="14">
                        <c:v>0.22333458317710916</c:v>
                      </c:pt>
                      <c:pt idx="15">
                        <c:v>0.13921663099944792</c:v>
                      </c:pt>
                      <c:pt idx="16">
                        <c:v>1.0257399576536981</c:v>
                      </c:pt>
                      <c:pt idx="17">
                        <c:v>0.95851784854839284</c:v>
                      </c:pt>
                      <c:pt idx="18">
                        <c:v>0.77094407819179489</c:v>
                      </c:pt>
                      <c:pt idx="19">
                        <c:v>0.65572973243286881</c:v>
                      </c:pt>
                      <c:pt idx="20">
                        <c:v>0.48455797800243861</c:v>
                      </c:pt>
                      <c:pt idx="21">
                        <c:v>0.32688312133401404</c:v>
                      </c:pt>
                      <c:pt idx="22">
                        <c:v>0.22357801411718653</c:v>
                      </c:pt>
                      <c:pt idx="23">
                        <c:v>0.13958488480899567</c:v>
                      </c:pt>
                      <c:pt idx="24">
                        <c:v>1.0302345937397397</c:v>
                      </c:pt>
                      <c:pt idx="25">
                        <c:v>0.94050476498925339</c:v>
                      </c:pt>
                      <c:pt idx="26">
                        <c:v>0.75881747966484991</c:v>
                      </c:pt>
                      <c:pt idx="27">
                        <c:v>0.6552230796265035</c:v>
                      </c:pt>
                      <c:pt idx="28">
                        <c:v>0.48547353406011506</c:v>
                      </c:pt>
                      <c:pt idx="29">
                        <c:v>0.32708673484558348</c:v>
                      </c:pt>
                      <c:pt idx="30">
                        <c:v>0.22408244584621367</c:v>
                      </c:pt>
                      <c:pt idx="31">
                        <c:v>0.1403061107710572</c:v>
                      </c:pt>
                      <c:pt idx="32">
                        <c:v>1.0319713566839466</c:v>
                      </c:pt>
                      <c:pt idx="33">
                        <c:v>0.91738473900089201</c:v>
                      </c:pt>
                      <c:pt idx="34">
                        <c:v>0.74652945451564967</c:v>
                      </c:pt>
                      <c:pt idx="35">
                        <c:v>0.65531485436110493</c:v>
                      </c:pt>
                      <c:pt idx="36">
                        <c:v>0.4865183705943566</c:v>
                      </c:pt>
                      <c:pt idx="37">
                        <c:v>0.32731393635677458</c:v>
                      </c:pt>
                      <c:pt idx="38">
                        <c:v>0.22463719326507553</c:v>
                      </c:pt>
                      <c:pt idx="39">
                        <c:v>0.14104896372487041</c:v>
                      </c:pt>
                      <c:pt idx="40">
                        <c:v>1.0310082425585927</c:v>
                      </c:pt>
                      <c:pt idx="41">
                        <c:v>0.9063454101612668</c:v>
                      </c:pt>
                      <c:pt idx="42">
                        <c:v>0.73729962335116606</c:v>
                      </c:pt>
                      <c:pt idx="43">
                        <c:v>0.65566767669103321</c:v>
                      </c:pt>
                      <c:pt idx="44">
                        <c:v>0.48697470418609617</c:v>
                      </c:pt>
                      <c:pt idx="45">
                        <c:v>0.32733914651562884</c:v>
                      </c:pt>
                      <c:pt idx="46">
                        <c:v>0.22496707737495336</c:v>
                      </c:pt>
                      <c:pt idx="47">
                        <c:v>0.14154589627110575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B5E-49F7-AF28-F51AB0F521B4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1.249536947007837</c:v>
                </c:pt>
                <c:pt idx="1">
                  <c:v>1.0567559483299949</c:v>
                </c:pt>
                <c:pt idx="2">
                  <c:v>0.90153884682400254</c:v>
                </c:pt>
                <c:pt idx="3">
                  <c:v>0.74953548211251608</c:v>
                </c:pt>
                <c:pt idx="4">
                  <c:v>0.51122078168800444</c:v>
                </c:pt>
                <c:pt idx="5">
                  <c:v>0.34345258617321206</c:v>
                </c:pt>
                <c:pt idx="6">
                  <c:v>0.2446056861018612</c:v>
                </c:pt>
                <c:pt idx="7">
                  <c:v>0.15739228831669186</c:v>
                </c:pt>
                <c:pt idx="8">
                  <c:v>1.1967777426078328</c:v>
                </c:pt>
                <c:pt idx="9">
                  <c:v>1.048138918840164</c:v>
                </c:pt>
                <c:pt idx="10">
                  <c:v>0.88856643339239971</c:v>
                </c:pt>
                <c:pt idx="11">
                  <c:v>0.74632223562401134</c:v>
                </c:pt>
                <c:pt idx="12">
                  <c:v>0.5109134833785498</c:v>
                </c:pt>
                <c:pt idx="13">
                  <c:v>0.34280014038351342</c:v>
                </c:pt>
                <c:pt idx="14">
                  <c:v>0.24394592307730428</c:v>
                </c:pt>
                <c:pt idx="15">
                  <c:v>0.15692762546383879</c:v>
                </c:pt>
                <c:pt idx="16">
                  <c:v>1.1058520957171876</c:v>
                </c:pt>
                <c:pt idx="17">
                  <c:v>1.0421825850749162</c:v>
                </c:pt>
                <c:pt idx="18">
                  <c:v>0.88300823658387562</c:v>
                </c:pt>
                <c:pt idx="19">
                  <c:v>0.74475486976212746</c:v>
                </c:pt>
                <c:pt idx="20">
                  <c:v>0.51024027790799487</c:v>
                </c:pt>
                <c:pt idx="21">
                  <c:v>0.34197012684268036</c:v>
                </c:pt>
                <c:pt idx="22">
                  <c:v>0.24323349627591812</c:v>
                </c:pt>
                <c:pt idx="23">
                  <c:v>0.15644847563221206</c:v>
                </c:pt>
                <c:pt idx="24">
                  <c:v>1.0209142154862862</c:v>
                </c:pt>
                <c:pt idx="25">
                  <c:v>1.0328422444596184</c:v>
                </c:pt>
                <c:pt idx="26">
                  <c:v>0.87611250578399513</c:v>
                </c:pt>
                <c:pt idx="27">
                  <c:v>0.74309802829001781</c:v>
                </c:pt>
                <c:pt idx="28">
                  <c:v>0.50923154511026247</c:v>
                </c:pt>
                <c:pt idx="29">
                  <c:v>0.3407406455977201</c:v>
                </c:pt>
                <c:pt idx="30">
                  <c:v>0.24216681791003478</c:v>
                </c:pt>
                <c:pt idx="31">
                  <c:v>0.1557479177030327</c:v>
                </c:pt>
                <c:pt idx="32">
                  <c:v>1.0479025550686092</c:v>
                </c:pt>
                <c:pt idx="33">
                  <c:v>1.0245809323630557</c:v>
                </c:pt>
                <c:pt idx="34">
                  <c:v>0.87122406673706843</c:v>
                </c:pt>
                <c:pt idx="35">
                  <c:v>0.74221252828537065</c:v>
                </c:pt>
                <c:pt idx="36">
                  <c:v>0.50822066149633049</c:v>
                </c:pt>
                <c:pt idx="37">
                  <c:v>0.33969081111913207</c:v>
                </c:pt>
                <c:pt idx="38">
                  <c:v>0.24132378887047165</c:v>
                </c:pt>
                <c:pt idx="39">
                  <c:v>0.15521615979352593</c:v>
                </c:pt>
                <c:pt idx="40">
                  <c:v>1.1025409258387697</c:v>
                </c:pt>
                <c:pt idx="41">
                  <c:v>1.0160594973200121</c:v>
                </c:pt>
                <c:pt idx="42">
                  <c:v>0.86766127249046365</c:v>
                </c:pt>
                <c:pt idx="43">
                  <c:v>0.74140107706160008</c:v>
                </c:pt>
                <c:pt idx="44">
                  <c:v>0.50719794839329879</c:v>
                </c:pt>
                <c:pt idx="45">
                  <c:v>0.33876528917086041</c:v>
                </c:pt>
                <c:pt idx="46">
                  <c:v>0.2406197699384961</c:v>
                </c:pt>
                <c:pt idx="47">
                  <c:v>0.15479832297352913</c:v>
                </c:pt>
                <c:pt idx="48">
                  <c:v>1.0778820661299613</c:v>
                </c:pt>
                <c:pt idx="49">
                  <c:v>1.013708756618483</c:v>
                </c:pt>
                <c:pt idx="50">
                  <c:v>0.87829813540246293</c:v>
                </c:pt>
                <c:pt idx="51">
                  <c:v>0.7476396868504378</c:v>
                </c:pt>
                <c:pt idx="52">
                  <c:v>0.51010477648740427</c:v>
                </c:pt>
                <c:pt idx="53">
                  <c:v>0.34092105036732595</c:v>
                </c:pt>
                <c:pt idx="54">
                  <c:v>0.24252106947453211</c:v>
                </c:pt>
                <c:pt idx="55">
                  <c:v>0.15625734556509394</c:v>
                </c:pt>
                <c:pt idx="56">
                  <c:v>1.1775995334512621</c:v>
                </c:pt>
                <c:pt idx="57">
                  <c:v>1.0182271885406846</c:v>
                </c:pt>
                <c:pt idx="58">
                  <c:v>0.87849827011820647</c:v>
                </c:pt>
                <c:pt idx="59">
                  <c:v>0.74608311976909802</c:v>
                </c:pt>
                <c:pt idx="60">
                  <c:v>0.50925412868036102</c:v>
                </c:pt>
                <c:pt idx="61">
                  <c:v>0.34020170529860377</c:v>
                </c:pt>
                <c:pt idx="62">
                  <c:v>0.24186077146349108</c:v>
                </c:pt>
                <c:pt idx="63">
                  <c:v>0.15573429258933713</c:v>
                </c:pt>
                <c:pt idx="64">
                  <c:v>1.2483083323127451</c:v>
                </c:pt>
                <c:pt idx="65">
                  <c:v>1.021748482501377</c:v>
                </c:pt>
                <c:pt idx="66">
                  <c:v>0.87982193338668913</c:v>
                </c:pt>
                <c:pt idx="67">
                  <c:v>0.74612631489127557</c:v>
                </c:pt>
                <c:pt idx="68">
                  <c:v>0.50923907296696169</c:v>
                </c:pt>
                <c:pt idx="69">
                  <c:v>0.34012590497523976</c:v>
                </c:pt>
                <c:pt idx="70">
                  <c:v>0.2417340928977057</c:v>
                </c:pt>
                <c:pt idx="71">
                  <c:v>0.15563021185971823</c:v>
                </c:pt>
                <c:pt idx="72">
                  <c:v>1.2111254192213585</c:v>
                </c:pt>
                <c:pt idx="73">
                  <c:v>1.0287905475805508</c:v>
                </c:pt>
                <c:pt idx="74">
                  <c:v>0.88330492091573898</c:v>
                </c:pt>
                <c:pt idx="75">
                  <c:v>0.7471066233190895</c:v>
                </c:pt>
                <c:pt idx="76">
                  <c:v>0.50972482009077624</c:v>
                </c:pt>
                <c:pt idx="77">
                  <c:v>0.34035318903088446</c:v>
                </c:pt>
                <c:pt idx="78">
                  <c:v>0.24178946291098924</c:v>
                </c:pt>
                <c:pt idx="79">
                  <c:v>0.15564472947856078</c:v>
                </c:pt>
                <c:pt idx="80">
                  <c:v>1.1392087564993905</c:v>
                </c:pt>
                <c:pt idx="81">
                  <c:v>1.0388483998377638</c:v>
                </c:pt>
                <c:pt idx="82">
                  <c:v>0.88932312692639359</c:v>
                </c:pt>
                <c:pt idx="83">
                  <c:v>0.74968425806393879</c:v>
                </c:pt>
                <c:pt idx="84">
                  <c:v>0.51095172964281299</c:v>
                </c:pt>
                <c:pt idx="85">
                  <c:v>0.34115683835467658</c:v>
                </c:pt>
                <c:pt idx="86">
                  <c:v>0.24225476482573904</c:v>
                </c:pt>
                <c:pt idx="87">
                  <c:v>0.15592593543012154</c:v>
                </c:pt>
                <c:pt idx="88">
                  <c:v>1.0690770128056741</c:v>
                </c:pt>
                <c:pt idx="89">
                  <c:v>1.0485559542163709</c:v>
                </c:pt>
                <c:pt idx="90">
                  <c:v>0.89607657884985892</c:v>
                </c:pt>
                <c:pt idx="91">
                  <c:v>0.75338774772404538</c:v>
                </c:pt>
                <c:pt idx="92">
                  <c:v>0.5128394270725648</c:v>
                </c:pt>
                <c:pt idx="93">
                  <c:v>0.34231417657122359</c:v>
                </c:pt>
                <c:pt idx="94">
                  <c:v>0.24303021306316197</c:v>
                </c:pt>
                <c:pt idx="95">
                  <c:v>0.15642704316798575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96-4D9E-B49A-02190CE1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0.30000000000000004</c:v>
                </c:pt>
                <c:pt idx="25">
                  <c:v>0.49999999999999994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</c:v>
                </c:pt>
                <c:pt idx="43">
                  <c:v>0.99999999999999989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1.1037205809551591</c:v>
                </c:pt>
                <c:pt idx="1">
                  <c:v>0.89568278674446744</c:v>
                </c:pt>
                <c:pt idx="2">
                  <c:v>0.72003318741785238</c:v>
                </c:pt>
                <c:pt idx="3">
                  <c:v>0.63811999725128876</c:v>
                </c:pt>
                <c:pt idx="4">
                  <c:v>0.47507228222415249</c:v>
                </c:pt>
                <c:pt idx="5">
                  <c:v>0.32258419414239803</c:v>
                </c:pt>
                <c:pt idx="6">
                  <c:v>0.22357141339706507</c:v>
                </c:pt>
                <c:pt idx="7">
                  <c:v>0.14234421210503867</c:v>
                </c:pt>
                <c:pt idx="8">
                  <c:v>1.0234931856372902</c:v>
                </c:pt>
                <c:pt idx="9">
                  <c:v>0.90221717150189484</c:v>
                </c:pt>
                <c:pt idx="10">
                  <c:v>0.72078022492117311</c:v>
                </c:pt>
                <c:pt idx="11">
                  <c:v>0.63721444236848779</c:v>
                </c:pt>
                <c:pt idx="12">
                  <c:v>0.47441950950749628</c:v>
                </c:pt>
                <c:pt idx="13">
                  <c:v>0.32190123322889064</c:v>
                </c:pt>
                <c:pt idx="14">
                  <c:v>0.22307198595407918</c:v>
                </c:pt>
                <c:pt idx="15">
                  <c:v>0.14205354301286707</c:v>
                </c:pt>
                <c:pt idx="16">
                  <c:v>1.0467174762505347</c:v>
                </c:pt>
                <c:pt idx="17">
                  <c:v>0.90651401721042757</c:v>
                </c:pt>
                <c:pt idx="18">
                  <c:v>0.72159265297518183</c:v>
                </c:pt>
                <c:pt idx="19">
                  <c:v>0.63748441188209959</c:v>
                </c:pt>
                <c:pt idx="20">
                  <c:v>0.47447112909629291</c:v>
                </c:pt>
                <c:pt idx="21">
                  <c:v>0.32180875683438676</c:v>
                </c:pt>
                <c:pt idx="22">
                  <c:v>0.22302938608239906</c:v>
                </c:pt>
                <c:pt idx="23">
                  <c:v>0.1420410533253128</c:v>
                </c:pt>
                <c:pt idx="24">
                  <c:v>1.061652194867603</c:v>
                </c:pt>
                <c:pt idx="25">
                  <c:v>0.91435545672360263</c:v>
                </c:pt>
                <c:pt idx="26">
                  <c:v>0.72619171371937186</c:v>
                </c:pt>
                <c:pt idx="27">
                  <c:v>0.63869896113936353</c:v>
                </c:pt>
                <c:pt idx="28">
                  <c:v>0.47501053508408175</c:v>
                </c:pt>
                <c:pt idx="29">
                  <c:v>0.32205888788737613</c:v>
                </c:pt>
                <c:pt idx="30">
                  <c:v>0.22322129895775125</c:v>
                </c:pt>
                <c:pt idx="31">
                  <c:v>0.14220237315996784</c:v>
                </c:pt>
                <c:pt idx="32">
                  <c:v>1.0676297887249462</c:v>
                </c:pt>
                <c:pt idx="33">
                  <c:v>0.92449292062687372</c:v>
                </c:pt>
                <c:pt idx="34">
                  <c:v>0.7272317936445527</c:v>
                </c:pt>
                <c:pt idx="35">
                  <c:v>0.64148984599795222</c:v>
                </c:pt>
                <c:pt idx="36">
                  <c:v>0.47648057224986196</c:v>
                </c:pt>
                <c:pt idx="37">
                  <c:v>0.32282750637696261</c:v>
                </c:pt>
                <c:pt idx="38">
                  <c:v>0.2238573564203547</c:v>
                </c:pt>
                <c:pt idx="39">
                  <c:v>0.14264623796162224</c:v>
                </c:pt>
                <c:pt idx="40">
                  <c:v>1.2223646439536624</c:v>
                </c:pt>
                <c:pt idx="41">
                  <c:v>0.93465244226250221</c:v>
                </c:pt>
                <c:pt idx="42">
                  <c:v>0.74023901546435023</c:v>
                </c:pt>
                <c:pt idx="43">
                  <c:v>0.64524468622447506</c:v>
                </c:pt>
                <c:pt idx="44">
                  <c:v>0.47860450346298195</c:v>
                </c:pt>
                <c:pt idx="45">
                  <c:v>0.32406277938969347</c:v>
                </c:pt>
                <c:pt idx="46">
                  <c:v>0.22483118510972766</c:v>
                </c:pt>
                <c:pt idx="47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1.0488571265650899</c:v>
                </c:pt>
                <c:pt idx="1">
                  <c:v>0.96411920712689858</c:v>
                </c:pt>
                <c:pt idx="2">
                  <c:v>0.77809603336558075</c:v>
                </c:pt>
                <c:pt idx="3">
                  <c:v>0.64419662533195954</c:v>
                </c:pt>
                <c:pt idx="4">
                  <c:v>0.47310858703368386</c:v>
                </c:pt>
                <c:pt idx="5">
                  <c:v>0.32042767494269897</c:v>
                </c:pt>
                <c:pt idx="6">
                  <c:v>0.21888654856151413</c:v>
                </c:pt>
                <c:pt idx="7">
                  <c:v>0.13785322324083435</c:v>
                </c:pt>
                <c:pt idx="8">
                  <c:v>1.0780827430922897</c:v>
                </c:pt>
                <c:pt idx="9">
                  <c:v>0.94406565478987736</c:v>
                </c:pt>
                <c:pt idx="10">
                  <c:v>0.761470981235984</c:v>
                </c:pt>
                <c:pt idx="11">
                  <c:v>0.63938036920912278</c:v>
                </c:pt>
                <c:pt idx="12">
                  <c:v>0.47184498251626883</c:v>
                </c:pt>
                <c:pt idx="13">
                  <c:v>0.32032079648675615</c:v>
                </c:pt>
                <c:pt idx="14">
                  <c:v>0.2197553617339362</c:v>
                </c:pt>
                <c:pt idx="15">
                  <c:v>0.13889478748778278</c:v>
                </c:pt>
                <c:pt idx="16">
                  <c:v>1.0572611523253006</c:v>
                </c:pt>
                <c:pt idx="17">
                  <c:v>0.92792117228746873</c:v>
                </c:pt>
                <c:pt idx="18">
                  <c:v>0.75087374896076575</c:v>
                </c:pt>
                <c:pt idx="19">
                  <c:v>0.63711416797771725</c:v>
                </c:pt>
                <c:pt idx="20">
                  <c:v>0.47167399262838017</c:v>
                </c:pt>
                <c:pt idx="21">
                  <c:v>0.3202791063089061</c:v>
                </c:pt>
                <c:pt idx="22">
                  <c:v>0.22027384701425254</c:v>
                </c:pt>
                <c:pt idx="23">
                  <c:v>0.13948255975359344</c:v>
                </c:pt>
                <c:pt idx="24">
                  <c:v>1.1726232871556874</c:v>
                </c:pt>
                <c:pt idx="25">
                  <c:v>0.90216418349427829</c:v>
                </c:pt>
                <c:pt idx="26">
                  <c:v>0.7379779397522539</c:v>
                </c:pt>
                <c:pt idx="27">
                  <c:v>0.63502228991795895</c:v>
                </c:pt>
                <c:pt idx="28">
                  <c:v>0.47162990089628326</c:v>
                </c:pt>
                <c:pt idx="29">
                  <c:v>0.32019420994673858</c:v>
                </c:pt>
                <c:pt idx="30">
                  <c:v>0.22079569544233327</c:v>
                </c:pt>
                <c:pt idx="31">
                  <c:v>0.14009682529603437</c:v>
                </c:pt>
                <c:pt idx="32">
                  <c:v>1.246344952302938</c:v>
                </c:pt>
                <c:pt idx="33">
                  <c:v>0.89159307597479887</c:v>
                </c:pt>
                <c:pt idx="34">
                  <c:v>0.72668518980152996</c:v>
                </c:pt>
                <c:pt idx="35">
                  <c:v>0.63365393015468008</c:v>
                </c:pt>
                <c:pt idx="36">
                  <c:v>0.47157828130748669</c:v>
                </c:pt>
                <c:pt idx="37">
                  <c:v>0.32001380517713285</c:v>
                </c:pt>
                <c:pt idx="38">
                  <c:v>0.22113201021875475</c:v>
                </c:pt>
                <c:pt idx="39">
                  <c:v>0.14053207198353096</c:v>
                </c:pt>
                <c:pt idx="40">
                  <c:v>1.1913459053707551</c:v>
                </c:pt>
                <c:pt idx="41">
                  <c:v>0.88355575863770541</c:v>
                </c:pt>
                <c:pt idx="42">
                  <c:v>0.71839247905512249</c:v>
                </c:pt>
                <c:pt idx="43">
                  <c:v>0.63274683258894437</c:v>
                </c:pt>
                <c:pt idx="44">
                  <c:v>0.47127824244760685</c:v>
                </c:pt>
                <c:pt idx="45">
                  <c:v>0.31974471402919152</c:v>
                </c:pt>
                <c:pt idx="46">
                  <c:v>0.22126485455544118</c:v>
                </c:pt>
                <c:pt idx="47">
                  <c:v>0.14077845945619211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v>I_690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Only'!$AJ$6:$AJ$53</c:f>
              <c:numCache>
                <c:formatCode>0.00</c:formatCode>
                <c:ptCount val="48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0.49175984548526802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Only'!$AK$6:$AK$53</c:f>
              <c:numCache>
                <c:formatCode>General</c:formatCode>
                <c:ptCount val="48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455-B12E-937B8A0D9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v>S355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Only'!$AJ$198:$AJ$293</c15:sqref>
                        </c15:formulaRef>
                      </c:ext>
                    </c:extLst>
                    <c:numCache>
                      <c:formatCode>0.00</c:formatCode>
                      <c:ptCount val="96"/>
                      <c:pt idx="0">
                        <c:v>0.30000000000000004</c:v>
                      </c:pt>
                      <c:pt idx="1">
                        <c:v>0.5</c:v>
                      </c:pt>
                      <c:pt idx="2">
                        <c:v>0.74999999999999989</c:v>
                      </c:pt>
                      <c:pt idx="3">
                        <c:v>1</c:v>
                      </c:pt>
                      <c:pt idx="4">
                        <c:v>1.3300000000000003</c:v>
                      </c:pt>
                      <c:pt idx="5">
                        <c:v>1.6700000000000002</c:v>
                      </c:pt>
                      <c:pt idx="6">
                        <c:v>2</c:v>
                      </c:pt>
                      <c:pt idx="7">
                        <c:v>2.5000000000000004</c:v>
                      </c:pt>
                      <c:pt idx="8">
                        <c:v>0.30000000000000004</c:v>
                      </c:pt>
                      <c:pt idx="9">
                        <c:v>0.49999999999999989</c:v>
                      </c:pt>
                      <c:pt idx="10">
                        <c:v>0.75000000000000011</c:v>
                      </c:pt>
                      <c:pt idx="11">
                        <c:v>0.99999999999999989</c:v>
                      </c:pt>
                      <c:pt idx="12">
                        <c:v>1.33</c:v>
                      </c:pt>
                      <c:pt idx="13">
                        <c:v>1.67</c:v>
                      </c:pt>
                      <c:pt idx="14">
                        <c:v>1.9999999999999996</c:v>
                      </c:pt>
                      <c:pt idx="15">
                        <c:v>2.5</c:v>
                      </c:pt>
                      <c:pt idx="16">
                        <c:v>0.3</c:v>
                      </c:pt>
                      <c:pt idx="17">
                        <c:v>0.5</c:v>
                      </c:pt>
                      <c:pt idx="18">
                        <c:v>0.75000000000000011</c:v>
                      </c:pt>
                      <c:pt idx="19">
                        <c:v>1</c:v>
                      </c:pt>
                      <c:pt idx="20">
                        <c:v>1.33</c:v>
                      </c:pt>
                      <c:pt idx="21">
                        <c:v>1.67</c:v>
                      </c:pt>
                      <c:pt idx="22">
                        <c:v>2</c:v>
                      </c:pt>
                      <c:pt idx="23">
                        <c:v>2.5</c:v>
                      </c:pt>
                      <c:pt idx="24">
                        <c:v>0.3</c:v>
                      </c:pt>
                      <c:pt idx="25">
                        <c:v>0.5</c:v>
                      </c:pt>
                      <c:pt idx="26">
                        <c:v>0.75</c:v>
                      </c:pt>
                      <c:pt idx="27">
                        <c:v>1</c:v>
                      </c:pt>
                      <c:pt idx="28">
                        <c:v>1.33</c:v>
                      </c:pt>
                      <c:pt idx="29">
                        <c:v>1.67</c:v>
                      </c:pt>
                      <c:pt idx="30">
                        <c:v>2</c:v>
                      </c:pt>
                      <c:pt idx="31">
                        <c:v>2.5</c:v>
                      </c:pt>
                      <c:pt idx="32">
                        <c:v>0.3</c:v>
                      </c:pt>
                      <c:pt idx="33">
                        <c:v>0.49999999999999994</c:v>
                      </c:pt>
                      <c:pt idx="34">
                        <c:v>0.75</c:v>
                      </c:pt>
                      <c:pt idx="35">
                        <c:v>1</c:v>
                      </c:pt>
                      <c:pt idx="36">
                        <c:v>1.3299999999999998</c:v>
                      </c:pt>
                      <c:pt idx="37">
                        <c:v>1.67</c:v>
                      </c:pt>
                      <c:pt idx="38">
                        <c:v>1.9999999999999998</c:v>
                      </c:pt>
                      <c:pt idx="39">
                        <c:v>2.5</c:v>
                      </c:pt>
                      <c:pt idx="40">
                        <c:v>0.30000000000000004</c:v>
                      </c:pt>
                      <c:pt idx="41">
                        <c:v>0.5</c:v>
                      </c:pt>
                      <c:pt idx="42">
                        <c:v>0.74999999999999989</c:v>
                      </c:pt>
                      <c:pt idx="43">
                        <c:v>1</c:v>
                      </c:pt>
                      <c:pt idx="44">
                        <c:v>1.33</c:v>
                      </c:pt>
                      <c:pt idx="45">
                        <c:v>1.67</c:v>
                      </c:pt>
                      <c:pt idx="46">
                        <c:v>2</c:v>
                      </c:pt>
                      <c:pt idx="47">
                        <c:v>2.5</c:v>
                      </c:pt>
                      <c:pt idx="48">
                        <c:v>0.30000000000000004</c:v>
                      </c:pt>
                      <c:pt idx="49">
                        <c:v>0.5</c:v>
                      </c:pt>
                      <c:pt idx="50">
                        <c:v>0.75000000000000011</c:v>
                      </c:pt>
                      <c:pt idx="51">
                        <c:v>1</c:v>
                      </c:pt>
                      <c:pt idx="52">
                        <c:v>1.33</c:v>
                      </c:pt>
                      <c:pt idx="53">
                        <c:v>1.67</c:v>
                      </c:pt>
                      <c:pt idx="54">
                        <c:v>1.9999999999999998</c:v>
                      </c:pt>
                      <c:pt idx="55">
                        <c:v>2.5</c:v>
                      </c:pt>
                      <c:pt idx="56">
                        <c:v>0.30000000000000004</c:v>
                      </c:pt>
                      <c:pt idx="57">
                        <c:v>0.5</c:v>
                      </c:pt>
                      <c:pt idx="58">
                        <c:v>0.75000000000000011</c:v>
                      </c:pt>
                      <c:pt idx="59">
                        <c:v>1</c:v>
                      </c:pt>
                      <c:pt idx="60">
                        <c:v>1.33</c:v>
                      </c:pt>
                      <c:pt idx="61">
                        <c:v>1.67</c:v>
                      </c:pt>
                      <c:pt idx="62">
                        <c:v>2</c:v>
                      </c:pt>
                      <c:pt idx="63">
                        <c:v>2.5</c:v>
                      </c:pt>
                      <c:pt idx="64">
                        <c:v>0.30000000000000004</c:v>
                      </c:pt>
                      <c:pt idx="65">
                        <c:v>0.5</c:v>
                      </c:pt>
                      <c:pt idx="66">
                        <c:v>0.75000000000000011</c:v>
                      </c:pt>
                      <c:pt idx="67">
                        <c:v>1</c:v>
                      </c:pt>
                      <c:pt idx="68">
                        <c:v>1.3300000000000003</c:v>
                      </c:pt>
                      <c:pt idx="69">
                        <c:v>1.67</c:v>
                      </c:pt>
                      <c:pt idx="70">
                        <c:v>2</c:v>
                      </c:pt>
                      <c:pt idx="71">
                        <c:v>2.5</c:v>
                      </c:pt>
                      <c:pt idx="72">
                        <c:v>0.30000000000000004</c:v>
                      </c:pt>
                      <c:pt idx="73">
                        <c:v>0.49999999999999994</c:v>
                      </c:pt>
                      <c:pt idx="74">
                        <c:v>0.75</c:v>
                      </c:pt>
                      <c:pt idx="75">
                        <c:v>1</c:v>
                      </c:pt>
                      <c:pt idx="76">
                        <c:v>1.33</c:v>
                      </c:pt>
                      <c:pt idx="77">
                        <c:v>1.67</c:v>
                      </c:pt>
                      <c:pt idx="78">
                        <c:v>1.9999999999999998</c:v>
                      </c:pt>
                      <c:pt idx="79">
                        <c:v>2.5</c:v>
                      </c:pt>
                      <c:pt idx="80">
                        <c:v>0.3</c:v>
                      </c:pt>
                      <c:pt idx="81">
                        <c:v>0.5</c:v>
                      </c:pt>
                      <c:pt idx="82">
                        <c:v>0.75</c:v>
                      </c:pt>
                      <c:pt idx="83">
                        <c:v>1</c:v>
                      </c:pt>
                      <c:pt idx="84">
                        <c:v>1.33</c:v>
                      </c:pt>
                      <c:pt idx="85">
                        <c:v>1.67</c:v>
                      </c:pt>
                      <c:pt idx="86">
                        <c:v>2</c:v>
                      </c:pt>
                      <c:pt idx="87">
                        <c:v>2.5</c:v>
                      </c:pt>
                      <c:pt idx="88">
                        <c:v>0.30000000000000004</c:v>
                      </c:pt>
                      <c:pt idx="89">
                        <c:v>0.49999999999999994</c:v>
                      </c:pt>
                      <c:pt idx="90">
                        <c:v>0.75</c:v>
                      </c:pt>
                      <c:pt idx="91">
                        <c:v>0.99999999999999989</c:v>
                      </c:pt>
                      <c:pt idx="92">
                        <c:v>1.3300000000000003</c:v>
                      </c:pt>
                      <c:pt idx="93">
                        <c:v>1.67</c:v>
                      </c:pt>
                      <c:pt idx="94">
                        <c:v>1.9999999999999998</c:v>
                      </c:pt>
                      <c:pt idx="95">
                        <c:v>2.5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Only'!$AK$198:$AK$293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1.0488571265650899</c:v>
                      </c:pt>
                      <c:pt idx="1">
                        <c:v>0.96411920712689858</c:v>
                      </c:pt>
                      <c:pt idx="2">
                        <c:v>0.77809603336558075</c:v>
                      </c:pt>
                      <c:pt idx="3">
                        <c:v>0.64419662533195954</c:v>
                      </c:pt>
                      <c:pt idx="4">
                        <c:v>0.47310858703368386</c:v>
                      </c:pt>
                      <c:pt idx="5">
                        <c:v>0.32042767494269897</c:v>
                      </c:pt>
                      <c:pt idx="6">
                        <c:v>0.21888654856151413</c:v>
                      </c:pt>
                      <c:pt idx="7">
                        <c:v>0.13785322324083435</c:v>
                      </c:pt>
                      <c:pt idx="8">
                        <c:v>1.0780827430922897</c:v>
                      </c:pt>
                      <c:pt idx="9">
                        <c:v>0.94406565478987736</c:v>
                      </c:pt>
                      <c:pt idx="10">
                        <c:v>0.761470981235984</c:v>
                      </c:pt>
                      <c:pt idx="11">
                        <c:v>0.63938036920912278</c:v>
                      </c:pt>
                      <c:pt idx="12">
                        <c:v>0.47184498251626883</c:v>
                      </c:pt>
                      <c:pt idx="13">
                        <c:v>0.32032079648675615</c:v>
                      </c:pt>
                      <c:pt idx="14">
                        <c:v>0.2197553617339362</c:v>
                      </c:pt>
                      <c:pt idx="15">
                        <c:v>0.13889478748778278</c:v>
                      </c:pt>
                      <c:pt idx="16">
                        <c:v>1.0572611523253006</c:v>
                      </c:pt>
                      <c:pt idx="17">
                        <c:v>0.92792117228746873</c:v>
                      </c:pt>
                      <c:pt idx="18">
                        <c:v>0.75087374896076575</c:v>
                      </c:pt>
                      <c:pt idx="19">
                        <c:v>0.63711416797771725</c:v>
                      </c:pt>
                      <c:pt idx="20">
                        <c:v>0.47167399262838017</c:v>
                      </c:pt>
                      <c:pt idx="21">
                        <c:v>0.3202791063089061</c:v>
                      </c:pt>
                      <c:pt idx="22">
                        <c:v>0.22027384701425254</c:v>
                      </c:pt>
                      <c:pt idx="23">
                        <c:v>0.13948255975359344</c:v>
                      </c:pt>
                      <c:pt idx="24">
                        <c:v>1.1726232871556874</c:v>
                      </c:pt>
                      <c:pt idx="25">
                        <c:v>0.90216418349427829</c:v>
                      </c:pt>
                      <c:pt idx="26">
                        <c:v>0.7379779397522539</c:v>
                      </c:pt>
                      <c:pt idx="27">
                        <c:v>0.63502228991795895</c:v>
                      </c:pt>
                      <c:pt idx="28">
                        <c:v>0.47162990089628326</c:v>
                      </c:pt>
                      <c:pt idx="29">
                        <c:v>0.32019420994673858</c:v>
                      </c:pt>
                      <c:pt idx="30">
                        <c:v>0.22079569544233327</c:v>
                      </c:pt>
                      <c:pt idx="31">
                        <c:v>0.14009682529603437</c:v>
                      </c:pt>
                      <c:pt idx="32">
                        <c:v>1.246344952302938</c:v>
                      </c:pt>
                      <c:pt idx="33">
                        <c:v>0.89159307597479887</c:v>
                      </c:pt>
                      <c:pt idx="34">
                        <c:v>0.72668518980152996</c:v>
                      </c:pt>
                      <c:pt idx="35">
                        <c:v>0.63365393015468008</c:v>
                      </c:pt>
                      <c:pt idx="36">
                        <c:v>0.47157828130748669</c:v>
                      </c:pt>
                      <c:pt idx="37">
                        <c:v>0.32001380517713285</c:v>
                      </c:pt>
                      <c:pt idx="38">
                        <c:v>0.22113201021875475</c:v>
                      </c:pt>
                      <c:pt idx="39">
                        <c:v>0.14053207198353096</c:v>
                      </c:pt>
                      <c:pt idx="40">
                        <c:v>1.1913459053707551</c:v>
                      </c:pt>
                      <c:pt idx="41">
                        <c:v>0.88355575863770541</c:v>
                      </c:pt>
                      <c:pt idx="42">
                        <c:v>0.71839247905512249</c:v>
                      </c:pt>
                      <c:pt idx="43">
                        <c:v>0.63274683258894437</c:v>
                      </c:pt>
                      <c:pt idx="44">
                        <c:v>0.47127824244760685</c:v>
                      </c:pt>
                      <c:pt idx="45">
                        <c:v>0.31974471402919152</c:v>
                      </c:pt>
                      <c:pt idx="46">
                        <c:v>0.22126485455544118</c:v>
                      </c:pt>
                      <c:pt idx="47">
                        <c:v>0.14077845945619211</c:v>
                      </c:pt>
                      <c:pt idx="48">
                        <c:v>1.1037205809551591</c:v>
                      </c:pt>
                      <c:pt idx="49">
                        <c:v>0.89568278674446744</c:v>
                      </c:pt>
                      <c:pt idx="50">
                        <c:v>0.72003318741785238</c:v>
                      </c:pt>
                      <c:pt idx="51">
                        <c:v>0.63811999725128876</c:v>
                      </c:pt>
                      <c:pt idx="52">
                        <c:v>0.47507228222415249</c:v>
                      </c:pt>
                      <c:pt idx="53">
                        <c:v>0.32258419414239803</c:v>
                      </c:pt>
                      <c:pt idx="54">
                        <c:v>0.22357141339706507</c:v>
                      </c:pt>
                      <c:pt idx="55">
                        <c:v>0.14234421210503867</c:v>
                      </c:pt>
                      <c:pt idx="56">
                        <c:v>1.0234931856372902</c:v>
                      </c:pt>
                      <c:pt idx="57">
                        <c:v>0.90221717150189484</c:v>
                      </c:pt>
                      <c:pt idx="58">
                        <c:v>0.72078022492117311</c:v>
                      </c:pt>
                      <c:pt idx="59">
                        <c:v>0.63721444236848779</c:v>
                      </c:pt>
                      <c:pt idx="60">
                        <c:v>0.47441950950749628</c:v>
                      </c:pt>
                      <c:pt idx="61">
                        <c:v>0.32190123322889064</c:v>
                      </c:pt>
                      <c:pt idx="62">
                        <c:v>0.22307198595407918</c:v>
                      </c:pt>
                      <c:pt idx="63">
                        <c:v>0.14205354301286707</c:v>
                      </c:pt>
                      <c:pt idx="64">
                        <c:v>1.0467174762505347</c:v>
                      </c:pt>
                      <c:pt idx="65">
                        <c:v>0.90651401721042757</c:v>
                      </c:pt>
                      <c:pt idx="66">
                        <c:v>0.72159265297518183</c:v>
                      </c:pt>
                      <c:pt idx="67">
                        <c:v>0.63748441188209959</c:v>
                      </c:pt>
                      <c:pt idx="68">
                        <c:v>0.47447112909629291</c:v>
                      </c:pt>
                      <c:pt idx="69">
                        <c:v>0.32180875683438676</c:v>
                      </c:pt>
                      <c:pt idx="70">
                        <c:v>0.22302938608239906</c:v>
                      </c:pt>
                      <c:pt idx="71">
                        <c:v>0.1420410533253128</c:v>
                      </c:pt>
                      <c:pt idx="72">
                        <c:v>1.061652194867603</c:v>
                      </c:pt>
                      <c:pt idx="73">
                        <c:v>0.91435545672360263</c:v>
                      </c:pt>
                      <c:pt idx="74">
                        <c:v>0.72619171371937186</c:v>
                      </c:pt>
                      <c:pt idx="75">
                        <c:v>0.63869896113936353</c:v>
                      </c:pt>
                      <c:pt idx="76">
                        <c:v>0.47501053508408175</c:v>
                      </c:pt>
                      <c:pt idx="77">
                        <c:v>0.32205888788737613</c:v>
                      </c:pt>
                      <c:pt idx="78">
                        <c:v>0.22322129895775125</c:v>
                      </c:pt>
                      <c:pt idx="79">
                        <c:v>0.14220237315996784</c:v>
                      </c:pt>
                      <c:pt idx="80">
                        <c:v>1.0676297887249462</c:v>
                      </c:pt>
                      <c:pt idx="81">
                        <c:v>0.92449292062687372</c:v>
                      </c:pt>
                      <c:pt idx="82">
                        <c:v>0.7272317936445527</c:v>
                      </c:pt>
                      <c:pt idx="83">
                        <c:v>0.64148984599795222</c:v>
                      </c:pt>
                      <c:pt idx="84">
                        <c:v>0.47648057224986196</c:v>
                      </c:pt>
                      <c:pt idx="85">
                        <c:v>0.32282750637696261</c:v>
                      </c:pt>
                      <c:pt idx="86">
                        <c:v>0.2238573564203547</c:v>
                      </c:pt>
                      <c:pt idx="87">
                        <c:v>0.14264623796162224</c:v>
                      </c:pt>
                      <c:pt idx="88">
                        <c:v>1.2223646439536624</c:v>
                      </c:pt>
                      <c:pt idx="89">
                        <c:v>0.93465244226250221</c:v>
                      </c:pt>
                      <c:pt idx="90">
                        <c:v>0.74023901546435023</c:v>
                      </c:pt>
                      <c:pt idx="91">
                        <c:v>0.64524468622447506</c:v>
                      </c:pt>
                      <c:pt idx="92">
                        <c:v>0.47860450346298195</c:v>
                      </c:pt>
                      <c:pt idx="93">
                        <c:v>0.32406277938969347</c:v>
                      </c:pt>
                      <c:pt idx="94">
                        <c:v>0.22483118510972766</c:v>
                      </c:pt>
                      <c:pt idx="95">
                        <c:v>0.14331896647601899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923-4F67-8926-08FCADC7236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S460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'Global Only'!$AJ$102:$AJ$197</c15:sqref>
                        </c15:formulaRef>
                      </c:ext>
                    </c:extLst>
                    <c:numCache>
                      <c:formatCode>0.00</c:formatCode>
                      <c:ptCount val="96"/>
                      <c:pt idx="0">
                        <c:v>0.30044773224364668</c:v>
                      </c:pt>
                      <c:pt idx="1">
                        <c:v>0.50074622040607786</c:v>
                      </c:pt>
                      <c:pt idx="2">
                        <c:v>0.75111933060911673</c:v>
                      </c:pt>
                      <c:pt idx="3">
                        <c:v>1.0014924408121557</c:v>
                      </c:pt>
                      <c:pt idx="4">
                        <c:v>1.3319849462801672</c:v>
                      </c:pt>
                      <c:pt idx="5">
                        <c:v>1.6724923761562998</c:v>
                      </c:pt>
                      <c:pt idx="6">
                        <c:v>2.0029848816243114</c:v>
                      </c:pt>
                      <c:pt idx="7">
                        <c:v>2.5037311020303892</c:v>
                      </c:pt>
                      <c:pt idx="8">
                        <c:v>0.30000000000000004</c:v>
                      </c:pt>
                      <c:pt idx="9">
                        <c:v>0.5</c:v>
                      </c:pt>
                      <c:pt idx="10">
                        <c:v>0.75000000000000022</c:v>
                      </c:pt>
                      <c:pt idx="11">
                        <c:v>1</c:v>
                      </c:pt>
                      <c:pt idx="12">
                        <c:v>1.3300000000000003</c:v>
                      </c:pt>
                      <c:pt idx="13">
                        <c:v>1.67</c:v>
                      </c:pt>
                      <c:pt idx="14">
                        <c:v>2</c:v>
                      </c:pt>
                      <c:pt idx="15">
                        <c:v>2.5</c:v>
                      </c:pt>
                      <c:pt idx="16">
                        <c:v>0.30000000000000004</c:v>
                      </c:pt>
                      <c:pt idx="17">
                        <c:v>0.5</c:v>
                      </c:pt>
                      <c:pt idx="18">
                        <c:v>0.75</c:v>
                      </c:pt>
                      <c:pt idx="19">
                        <c:v>1</c:v>
                      </c:pt>
                      <c:pt idx="20">
                        <c:v>1.33</c:v>
                      </c:pt>
                      <c:pt idx="21">
                        <c:v>1.6699999999999997</c:v>
                      </c:pt>
                      <c:pt idx="22">
                        <c:v>2</c:v>
                      </c:pt>
                      <c:pt idx="23">
                        <c:v>2.5</c:v>
                      </c:pt>
                      <c:pt idx="24">
                        <c:v>0.3</c:v>
                      </c:pt>
                      <c:pt idx="25">
                        <c:v>0.5</c:v>
                      </c:pt>
                      <c:pt idx="26">
                        <c:v>0.75</c:v>
                      </c:pt>
                      <c:pt idx="27">
                        <c:v>1</c:v>
                      </c:pt>
                      <c:pt idx="28">
                        <c:v>1.33</c:v>
                      </c:pt>
                      <c:pt idx="29">
                        <c:v>1.6699999999999997</c:v>
                      </c:pt>
                      <c:pt idx="30">
                        <c:v>2</c:v>
                      </c:pt>
                      <c:pt idx="31">
                        <c:v>2.5</c:v>
                      </c:pt>
                      <c:pt idx="32">
                        <c:v>0.3</c:v>
                      </c:pt>
                      <c:pt idx="33">
                        <c:v>0.49999999999999994</c:v>
                      </c:pt>
                      <c:pt idx="34">
                        <c:v>0.75000000000000011</c:v>
                      </c:pt>
                      <c:pt idx="35">
                        <c:v>1</c:v>
                      </c:pt>
                      <c:pt idx="36">
                        <c:v>1.3299999999999998</c:v>
                      </c:pt>
                      <c:pt idx="37">
                        <c:v>1.67</c:v>
                      </c:pt>
                      <c:pt idx="38">
                        <c:v>1.9999999999999998</c:v>
                      </c:pt>
                      <c:pt idx="39">
                        <c:v>2.5</c:v>
                      </c:pt>
                      <c:pt idx="40">
                        <c:v>0.30000000000000004</c:v>
                      </c:pt>
                      <c:pt idx="41">
                        <c:v>0.49999999999999994</c:v>
                      </c:pt>
                      <c:pt idx="42">
                        <c:v>0.75000000000000011</c:v>
                      </c:pt>
                      <c:pt idx="43">
                        <c:v>0.99999999999999989</c:v>
                      </c:pt>
                      <c:pt idx="44">
                        <c:v>1.33</c:v>
                      </c:pt>
                      <c:pt idx="45">
                        <c:v>1.67</c:v>
                      </c:pt>
                      <c:pt idx="46">
                        <c:v>1.9999999999999998</c:v>
                      </c:pt>
                      <c:pt idx="47">
                        <c:v>2.5000000000000004</c:v>
                      </c:pt>
                      <c:pt idx="48">
                        <c:v>0.29999999999999993</c:v>
                      </c:pt>
                      <c:pt idx="49">
                        <c:v>0.49999999999999989</c:v>
                      </c:pt>
                      <c:pt idx="50">
                        <c:v>0.74999999999999989</c:v>
                      </c:pt>
                      <c:pt idx="51">
                        <c:v>0.99999999999999978</c:v>
                      </c:pt>
                      <c:pt idx="52">
                        <c:v>1.3299999999999998</c:v>
                      </c:pt>
                      <c:pt idx="53">
                        <c:v>1.6699999999999995</c:v>
                      </c:pt>
                      <c:pt idx="54">
                        <c:v>1.9999999999999996</c:v>
                      </c:pt>
                      <c:pt idx="55">
                        <c:v>2.4999999999999996</c:v>
                      </c:pt>
                      <c:pt idx="56">
                        <c:v>0.30000000000000004</c:v>
                      </c:pt>
                      <c:pt idx="57">
                        <c:v>0.5</c:v>
                      </c:pt>
                      <c:pt idx="58">
                        <c:v>0.75000000000000011</c:v>
                      </c:pt>
                      <c:pt idx="59">
                        <c:v>1</c:v>
                      </c:pt>
                      <c:pt idx="60">
                        <c:v>1.33</c:v>
                      </c:pt>
                      <c:pt idx="61">
                        <c:v>1.67</c:v>
                      </c:pt>
                      <c:pt idx="62">
                        <c:v>2.0000000000000004</c:v>
                      </c:pt>
                      <c:pt idx="63">
                        <c:v>2.5</c:v>
                      </c:pt>
                      <c:pt idx="64">
                        <c:v>0.3</c:v>
                      </c:pt>
                      <c:pt idx="65">
                        <c:v>0.5</c:v>
                      </c:pt>
                      <c:pt idx="66">
                        <c:v>0.75000000000000011</c:v>
                      </c:pt>
                      <c:pt idx="67">
                        <c:v>1</c:v>
                      </c:pt>
                      <c:pt idx="68">
                        <c:v>1.3300000000000003</c:v>
                      </c:pt>
                      <c:pt idx="69">
                        <c:v>1.6700000000000002</c:v>
                      </c:pt>
                      <c:pt idx="70">
                        <c:v>2</c:v>
                      </c:pt>
                      <c:pt idx="71">
                        <c:v>2.5</c:v>
                      </c:pt>
                      <c:pt idx="72">
                        <c:v>0.30000000000000004</c:v>
                      </c:pt>
                      <c:pt idx="73">
                        <c:v>0.49999999999999994</c:v>
                      </c:pt>
                      <c:pt idx="74">
                        <c:v>0.74999999999999989</c:v>
                      </c:pt>
                      <c:pt idx="75">
                        <c:v>1</c:v>
                      </c:pt>
                      <c:pt idx="76">
                        <c:v>1.3300000000000003</c:v>
                      </c:pt>
                      <c:pt idx="77">
                        <c:v>1.67</c:v>
                      </c:pt>
                      <c:pt idx="78">
                        <c:v>1.9999999999999998</c:v>
                      </c:pt>
                      <c:pt idx="79">
                        <c:v>2.5</c:v>
                      </c:pt>
                      <c:pt idx="80">
                        <c:v>0.3</c:v>
                      </c:pt>
                      <c:pt idx="81">
                        <c:v>0.5</c:v>
                      </c:pt>
                      <c:pt idx="82">
                        <c:v>0.75</c:v>
                      </c:pt>
                      <c:pt idx="83">
                        <c:v>1</c:v>
                      </c:pt>
                      <c:pt idx="84">
                        <c:v>1.33</c:v>
                      </c:pt>
                      <c:pt idx="85">
                        <c:v>1.67</c:v>
                      </c:pt>
                      <c:pt idx="86">
                        <c:v>2</c:v>
                      </c:pt>
                      <c:pt idx="87">
                        <c:v>2.5</c:v>
                      </c:pt>
                      <c:pt idx="88">
                        <c:v>0.29999999999999993</c:v>
                      </c:pt>
                      <c:pt idx="89">
                        <c:v>0.49999999999999994</c:v>
                      </c:pt>
                      <c:pt idx="90">
                        <c:v>0.74999999999999989</c:v>
                      </c:pt>
                      <c:pt idx="91">
                        <c:v>0.99999999999999978</c:v>
                      </c:pt>
                      <c:pt idx="92">
                        <c:v>1.3299999999999998</c:v>
                      </c:pt>
                      <c:pt idx="93">
                        <c:v>1.6699999999999997</c:v>
                      </c:pt>
                      <c:pt idx="94">
                        <c:v>1.9999999999999998</c:v>
                      </c:pt>
                      <c:pt idx="95">
                        <c:v>2.4999999999999996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'Global Only'!$AK$102:$AK$197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1.249536947007837</c:v>
                      </c:pt>
                      <c:pt idx="1">
                        <c:v>1.0567559483299949</c:v>
                      </c:pt>
                      <c:pt idx="2">
                        <c:v>0.90153884682400254</c:v>
                      </c:pt>
                      <c:pt idx="3">
                        <c:v>0.74953548211251608</c:v>
                      </c:pt>
                      <c:pt idx="4">
                        <c:v>0.51122078168800444</c:v>
                      </c:pt>
                      <c:pt idx="5">
                        <c:v>0.34345258617321206</c:v>
                      </c:pt>
                      <c:pt idx="6">
                        <c:v>0.2446056861018612</c:v>
                      </c:pt>
                      <c:pt idx="7">
                        <c:v>0.15739228831669186</c:v>
                      </c:pt>
                      <c:pt idx="8">
                        <c:v>1.1967777426078328</c:v>
                      </c:pt>
                      <c:pt idx="9">
                        <c:v>1.048138918840164</c:v>
                      </c:pt>
                      <c:pt idx="10">
                        <c:v>0.88856643339239971</c:v>
                      </c:pt>
                      <c:pt idx="11">
                        <c:v>0.74632223562401134</c:v>
                      </c:pt>
                      <c:pt idx="12">
                        <c:v>0.5109134833785498</c:v>
                      </c:pt>
                      <c:pt idx="13">
                        <c:v>0.34280014038351342</c:v>
                      </c:pt>
                      <c:pt idx="14">
                        <c:v>0.24394592307730428</c:v>
                      </c:pt>
                      <c:pt idx="15">
                        <c:v>0.15692762546383879</c:v>
                      </c:pt>
                      <c:pt idx="16">
                        <c:v>1.1058520957171876</c:v>
                      </c:pt>
                      <c:pt idx="17">
                        <c:v>1.0421825850749162</c:v>
                      </c:pt>
                      <c:pt idx="18">
                        <c:v>0.88300823658387562</c:v>
                      </c:pt>
                      <c:pt idx="19">
                        <c:v>0.74475486976212746</c:v>
                      </c:pt>
                      <c:pt idx="20">
                        <c:v>0.51024027790799487</c:v>
                      </c:pt>
                      <c:pt idx="21">
                        <c:v>0.34197012684268036</c:v>
                      </c:pt>
                      <c:pt idx="22">
                        <c:v>0.24323349627591812</c:v>
                      </c:pt>
                      <c:pt idx="23">
                        <c:v>0.15644847563221206</c:v>
                      </c:pt>
                      <c:pt idx="24">
                        <c:v>1.0209142154862862</c:v>
                      </c:pt>
                      <c:pt idx="25">
                        <c:v>1.0328422444596184</c:v>
                      </c:pt>
                      <c:pt idx="26">
                        <c:v>0.87611250578399513</c:v>
                      </c:pt>
                      <c:pt idx="27">
                        <c:v>0.74309802829001781</c:v>
                      </c:pt>
                      <c:pt idx="28">
                        <c:v>0.50923154511026247</c:v>
                      </c:pt>
                      <c:pt idx="29">
                        <c:v>0.3407406455977201</c:v>
                      </c:pt>
                      <c:pt idx="30">
                        <c:v>0.24216681791003478</c:v>
                      </c:pt>
                      <c:pt idx="31">
                        <c:v>0.1557479177030327</c:v>
                      </c:pt>
                      <c:pt idx="32">
                        <c:v>1.0479025550686092</c:v>
                      </c:pt>
                      <c:pt idx="33">
                        <c:v>1.0245809323630557</c:v>
                      </c:pt>
                      <c:pt idx="34">
                        <c:v>0.87122406673706843</c:v>
                      </c:pt>
                      <c:pt idx="35">
                        <c:v>0.74221252828537065</c:v>
                      </c:pt>
                      <c:pt idx="36">
                        <c:v>0.50822066149633049</c:v>
                      </c:pt>
                      <c:pt idx="37">
                        <c:v>0.33969081111913207</c:v>
                      </c:pt>
                      <c:pt idx="38">
                        <c:v>0.24132378887047165</c:v>
                      </c:pt>
                      <c:pt idx="39">
                        <c:v>0.15521615979352593</c:v>
                      </c:pt>
                      <c:pt idx="40">
                        <c:v>1.1025409258387697</c:v>
                      </c:pt>
                      <c:pt idx="41">
                        <c:v>1.0160594973200121</c:v>
                      </c:pt>
                      <c:pt idx="42">
                        <c:v>0.86766127249046365</c:v>
                      </c:pt>
                      <c:pt idx="43">
                        <c:v>0.74140107706160008</c:v>
                      </c:pt>
                      <c:pt idx="44">
                        <c:v>0.50719794839329879</c:v>
                      </c:pt>
                      <c:pt idx="45">
                        <c:v>0.33876528917086041</c:v>
                      </c:pt>
                      <c:pt idx="46">
                        <c:v>0.2406197699384961</c:v>
                      </c:pt>
                      <c:pt idx="47">
                        <c:v>0.15479832297352913</c:v>
                      </c:pt>
                      <c:pt idx="48">
                        <c:v>1.0778820661299613</c:v>
                      </c:pt>
                      <c:pt idx="49">
                        <c:v>1.013708756618483</c:v>
                      </c:pt>
                      <c:pt idx="50">
                        <c:v>0.87829813540246293</c:v>
                      </c:pt>
                      <c:pt idx="51">
                        <c:v>0.7476396868504378</c:v>
                      </c:pt>
                      <c:pt idx="52">
                        <c:v>0.51010477648740427</c:v>
                      </c:pt>
                      <c:pt idx="53">
                        <c:v>0.34092105036732595</c:v>
                      </c:pt>
                      <c:pt idx="54">
                        <c:v>0.24252106947453211</c:v>
                      </c:pt>
                      <c:pt idx="55">
                        <c:v>0.15625734556509394</c:v>
                      </c:pt>
                      <c:pt idx="56">
                        <c:v>1.1775995334512621</c:v>
                      </c:pt>
                      <c:pt idx="57">
                        <c:v>1.0182271885406846</c:v>
                      </c:pt>
                      <c:pt idx="58">
                        <c:v>0.87849827011820647</c:v>
                      </c:pt>
                      <c:pt idx="59">
                        <c:v>0.74608311976909802</c:v>
                      </c:pt>
                      <c:pt idx="60">
                        <c:v>0.50925412868036102</c:v>
                      </c:pt>
                      <c:pt idx="61">
                        <c:v>0.34020170529860377</c:v>
                      </c:pt>
                      <c:pt idx="62">
                        <c:v>0.24186077146349108</c:v>
                      </c:pt>
                      <c:pt idx="63">
                        <c:v>0.15573429258933713</c:v>
                      </c:pt>
                      <c:pt idx="64">
                        <c:v>1.2483083323127451</c:v>
                      </c:pt>
                      <c:pt idx="65">
                        <c:v>1.021748482501377</c:v>
                      </c:pt>
                      <c:pt idx="66">
                        <c:v>0.87982193338668913</c:v>
                      </c:pt>
                      <c:pt idx="67">
                        <c:v>0.74612631489127557</c:v>
                      </c:pt>
                      <c:pt idx="68">
                        <c:v>0.50923907296696169</c:v>
                      </c:pt>
                      <c:pt idx="69">
                        <c:v>0.34012590497523976</c:v>
                      </c:pt>
                      <c:pt idx="70">
                        <c:v>0.2417340928977057</c:v>
                      </c:pt>
                      <c:pt idx="71">
                        <c:v>0.15563021185971823</c:v>
                      </c:pt>
                      <c:pt idx="72">
                        <c:v>1.2111254192213585</c:v>
                      </c:pt>
                      <c:pt idx="73">
                        <c:v>1.0287905475805508</c:v>
                      </c:pt>
                      <c:pt idx="74">
                        <c:v>0.88330492091573898</c:v>
                      </c:pt>
                      <c:pt idx="75">
                        <c:v>0.7471066233190895</c:v>
                      </c:pt>
                      <c:pt idx="76">
                        <c:v>0.50972482009077624</c:v>
                      </c:pt>
                      <c:pt idx="77">
                        <c:v>0.34035318903088446</c:v>
                      </c:pt>
                      <c:pt idx="78">
                        <c:v>0.24178946291098924</c:v>
                      </c:pt>
                      <c:pt idx="79">
                        <c:v>0.15564472947856078</c:v>
                      </c:pt>
                      <c:pt idx="80">
                        <c:v>1.1392087564993905</c:v>
                      </c:pt>
                      <c:pt idx="81">
                        <c:v>1.0388483998377638</c:v>
                      </c:pt>
                      <c:pt idx="82">
                        <c:v>0.88932312692639359</c:v>
                      </c:pt>
                      <c:pt idx="83">
                        <c:v>0.74968425806393879</c:v>
                      </c:pt>
                      <c:pt idx="84">
                        <c:v>0.51095172964281299</c:v>
                      </c:pt>
                      <c:pt idx="85">
                        <c:v>0.34115683835467658</c:v>
                      </c:pt>
                      <c:pt idx="86">
                        <c:v>0.24225476482573904</c:v>
                      </c:pt>
                      <c:pt idx="87">
                        <c:v>0.15592593543012154</c:v>
                      </c:pt>
                      <c:pt idx="88">
                        <c:v>1.0690770128056741</c:v>
                      </c:pt>
                      <c:pt idx="89">
                        <c:v>1.0485559542163709</c:v>
                      </c:pt>
                      <c:pt idx="90">
                        <c:v>0.89607657884985892</c:v>
                      </c:pt>
                      <c:pt idx="91">
                        <c:v>0.75338774772404538</c:v>
                      </c:pt>
                      <c:pt idx="92">
                        <c:v>0.5128394270725648</c:v>
                      </c:pt>
                      <c:pt idx="93">
                        <c:v>0.34231417657122359</c:v>
                      </c:pt>
                      <c:pt idx="94">
                        <c:v>0.24303021306316197</c:v>
                      </c:pt>
                      <c:pt idx="95">
                        <c:v>0.15642704316798575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923-4F67-8926-08FCADC72367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S690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'Global Only'!$AJ$6:$AJ$101</c15:sqref>
                        </c15:formulaRef>
                      </c:ext>
                    </c:extLst>
                    <c:numCache>
                      <c:formatCode>0.00</c:formatCode>
                      <c:ptCount val="96"/>
                      <c:pt idx="0">
                        <c:v>0.29647172660107202</c:v>
                      </c:pt>
                      <c:pt idx="1">
                        <c:v>0.5013924846573633</c:v>
                      </c:pt>
                      <c:pt idx="2">
                        <c:v>0.74453251753853744</c:v>
                      </c:pt>
                      <c:pt idx="3">
                        <c:v>0.98917450951524921</c:v>
                      </c:pt>
                      <c:pt idx="4">
                        <c:v>1.3129513463657247</c:v>
                      </c:pt>
                      <c:pt idx="5">
                        <c:v>1.6470148670899953</c:v>
                      </c:pt>
                      <c:pt idx="6">
                        <c:v>1.9714683833733562</c:v>
                      </c:pt>
                      <c:pt idx="7">
                        <c:v>2.4633108767085972</c:v>
                      </c:pt>
                      <c:pt idx="8">
                        <c:v>0.29750738138153421</c:v>
                      </c:pt>
                      <c:pt idx="9">
                        <c:v>0.50387025423514742</c:v>
                      </c:pt>
                      <c:pt idx="10">
                        <c:v>0.74721771131911685</c:v>
                      </c:pt>
                      <c:pt idx="11">
                        <c:v>0.99228029052843447</c:v>
                      </c:pt>
                      <c:pt idx="12">
                        <c:v>1.3167091349710243</c:v>
                      </c:pt>
                      <c:pt idx="13">
                        <c:v>1.6514694167873953</c:v>
                      </c:pt>
                      <c:pt idx="14">
                        <c:v>1.9766742135973967</c:v>
                      </c:pt>
                      <c:pt idx="15">
                        <c:v>2.4696642329825638</c:v>
                      </c:pt>
                      <c:pt idx="16">
                        <c:v>0.49175984548526802</c:v>
                      </c:pt>
                      <c:pt idx="17">
                        <c:v>0.50547215126800593</c:v>
                      </c:pt>
                      <c:pt idx="18">
                        <c:v>0.74880335244639362</c:v>
                      </c:pt>
                      <c:pt idx="19">
                        <c:v>0.99399697729636383</c:v>
                      </c:pt>
                      <c:pt idx="20">
                        <c:v>1.3186683604619418</c:v>
                      </c:pt>
                      <c:pt idx="21">
                        <c:v>1.6538212211510712</c:v>
                      </c:pt>
                      <c:pt idx="22">
                        <c:v>1.9793379095950698</c:v>
                      </c:pt>
                      <c:pt idx="23">
                        <c:v>2.4729015754724109</c:v>
                      </c:pt>
                      <c:pt idx="24">
                        <c:v>0.29879552482933619</c:v>
                      </c:pt>
                      <c:pt idx="25">
                        <c:v>0.49799254138222698</c:v>
                      </c:pt>
                      <c:pt idx="26">
                        <c:v>0.75185055241377818</c:v>
                      </c:pt>
                      <c:pt idx="27">
                        <c:v>0.99701961169883668</c:v>
                      </c:pt>
                      <c:pt idx="28">
                        <c:v>1.3220018116915118</c:v>
                      </c:pt>
                      <c:pt idx="29">
                        <c:v>1.6574826693812967</c:v>
                      </c:pt>
                      <c:pt idx="30">
                        <c:v>1.9835188545521034</c:v>
                      </c:pt>
                      <c:pt idx="31">
                        <c:v>2.4777636492823336</c:v>
                      </c:pt>
                      <c:pt idx="32">
                        <c:v>0.29936272799904123</c:v>
                      </c:pt>
                      <c:pt idx="33">
                        <c:v>0.49893787999840211</c:v>
                      </c:pt>
                      <c:pt idx="34">
                        <c:v>0.74840681999760295</c:v>
                      </c:pt>
                      <c:pt idx="35">
                        <c:v>0.99787575999680422</c:v>
                      </c:pt>
                      <c:pt idx="36">
                        <c:v>1.325315426254932</c:v>
                      </c:pt>
                      <c:pt idx="37">
                        <c:v>1.6609330708451666</c:v>
                      </c:pt>
                      <c:pt idx="38">
                        <c:v>1.9871360000721772</c:v>
                      </c:pt>
                      <c:pt idx="39">
                        <c:v>2.4818614825087537</c:v>
                      </c:pt>
                      <c:pt idx="40">
                        <c:v>0.29964736441136586</c:v>
                      </c:pt>
                      <c:pt idx="41">
                        <c:v>0.49941227401894306</c:v>
                      </c:pt>
                      <c:pt idx="42">
                        <c:v>0.74911841102841459</c:v>
                      </c:pt>
                      <c:pt idx="43">
                        <c:v>0.99882454803788601</c:v>
                      </c:pt>
                      <c:pt idx="44">
                        <c:v>1.3284366488903889</c:v>
                      </c:pt>
                      <c:pt idx="45">
                        <c:v>1.6634898031442582</c:v>
                      </c:pt>
                      <c:pt idx="46">
                        <c:v>1.9896810400686959</c:v>
                      </c:pt>
                      <c:pt idx="47">
                        <c:v>2.4845003099159175</c:v>
                      </c:pt>
                      <c:pt idx="48">
                        <c:v>0.35996019927957579</c:v>
                      </c:pt>
                      <c:pt idx="49">
                        <c:v>0.53661190207046938</c:v>
                      </c:pt>
                      <c:pt idx="50">
                        <c:v>0.77282268078390148</c:v>
                      </c:pt>
                      <c:pt idx="51">
                        <c:v>1.0149105756383863</c:v>
                      </c:pt>
                      <c:pt idx="52">
                        <c:v>1.338114020691471</c:v>
                      </c:pt>
                      <c:pt idx="53">
                        <c:v>1.6730993228530124</c:v>
                      </c:pt>
                      <c:pt idx="54">
                        <c:v>1.9992140746316445</c:v>
                      </c:pt>
                      <c:pt idx="55">
                        <c:v>2.494339384405782</c:v>
                      </c:pt>
                      <c:pt idx="56">
                        <c:v>0.3001630098378677</c:v>
                      </c:pt>
                      <c:pt idx="57">
                        <c:v>0.5348001727713132</c:v>
                      </c:pt>
                      <c:pt idx="58">
                        <c:v>0.77060337523077538</c:v>
                      </c:pt>
                      <c:pt idx="59">
                        <c:v>1.0122535481766948</c:v>
                      </c:pt>
                      <c:pt idx="60">
                        <c:v>1.3348447876948879</c:v>
                      </c:pt>
                      <c:pt idx="61">
                        <c:v>1.6691594515553019</c:v>
                      </c:pt>
                      <c:pt idx="62">
                        <c:v>1.9946048470905522</c:v>
                      </c:pt>
                      <c:pt idx="63">
                        <c:v>2.4887212301334571</c:v>
                      </c:pt>
                      <c:pt idx="64">
                        <c:v>0.30004194351389951</c:v>
                      </c:pt>
                      <c:pt idx="65">
                        <c:v>0.50006990585649913</c:v>
                      </c:pt>
                      <c:pt idx="66">
                        <c:v>0.76954610853477523</c:v>
                      </c:pt>
                      <c:pt idx="67">
                        <c:v>1.0109696469606528</c:v>
                      </c:pt>
                      <c:pt idx="68">
                        <c:v>1.3332405289959182</c:v>
                      </c:pt>
                      <c:pt idx="69">
                        <c:v>1.6672030882215136</c:v>
                      </c:pt>
                      <c:pt idx="70">
                        <c:v>1.9923465454633851</c:v>
                      </c:pt>
                      <c:pt idx="71">
                        <c:v>2.4858922369609067</c:v>
                      </c:pt>
                      <c:pt idx="72">
                        <c:v>0.29994322913819166</c:v>
                      </c:pt>
                      <c:pt idx="73">
                        <c:v>0.49990538189698608</c:v>
                      </c:pt>
                      <c:pt idx="74">
                        <c:v>0.74985807284547923</c:v>
                      </c:pt>
                      <c:pt idx="75">
                        <c:v>1.0087995100233584</c:v>
                      </c:pt>
                      <c:pt idx="76">
                        <c:v>1.3304202374950791</c:v>
                      </c:pt>
                      <c:pt idx="77">
                        <c:v>1.6637475017171801</c:v>
                      </c:pt>
                      <c:pt idx="78">
                        <c:v>1.9882548700869582</c:v>
                      </c:pt>
                      <c:pt idx="79">
                        <c:v>2.4808877941476348</c:v>
                      </c:pt>
                      <c:pt idx="80">
                        <c:v>0.29990786632051653</c:v>
                      </c:pt>
                      <c:pt idx="81">
                        <c:v>0.49984644386752752</c:v>
                      </c:pt>
                      <c:pt idx="82">
                        <c:v>0.74976966580129145</c:v>
                      </c:pt>
                      <c:pt idx="83">
                        <c:v>0.99969288773505516</c:v>
                      </c:pt>
                      <c:pt idx="84">
                        <c:v>1.3267651915874281</c:v>
                      </c:pt>
                      <c:pt idx="85">
                        <c:v>1.6592687323600319</c:v>
                      </c:pt>
                      <c:pt idx="86">
                        <c:v>1.9828733312224964</c:v>
                      </c:pt>
                      <c:pt idx="87">
                        <c:v>2.474205189353448</c:v>
                      </c:pt>
                      <c:pt idx="88">
                        <c:v>0.2999074151305226</c:v>
                      </c:pt>
                      <c:pt idx="89">
                        <c:v>0.49984569188420436</c:v>
                      </c:pt>
                      <c:pt idx="90">
                        <c:v>0.74976853782630648</c:v>
                      </c:pt>
                      <c:pt idx="91">
                        <c:v>0.99969138376840871</c:v>
                      </c:pt>
                      <c:pt idx="92">
                        <c:v>1.3229566359060365</c:v>
                      </c:pt>
                      <c:pt idx="93">
                        <c:v>1.6544403734921072</c:v>
                      </c:pt>
                      <c:pt idx="94">
                        <c:v>1.9771682584463406</c:v>
                      </c:pt>
                      <c:pt idx="95">
                        <c:v>2.4670846063065928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'Global Only'!$AK$6:$AK$101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1.0187131143735495</c:v>
                      </c:pt>
                      <c:pt idx="1">
                        <c:v>0.97062766669684031</c:v>
                      </c:pt>
                      <c:pt idx="2">
                        <c:v>0.78891982356499668</c:v>
                      </c:pt>
                      <c:pt idx="3">
                        <c:v>0.65887451745853198</c:v>
                      </c:pt>
                      <c:pt idx="4">
                        <c:v>0.48486349588664168</c:v>
                      </c:pt>
                      <c:pt idx="5">
                        <c:v>0.32695239054596464</c:v>
                      </c:pt>
                      <c:pt idx="6">
                        <c:v>0.22306637278196431</c:v>
                      </c:pt>
                      <c:pt idx="7">
                        <c:v>0.13866724567052971</c:v>
                      </c:pt>
                      <c:pt idx="8">
                        <c:v>1.0233385779101531</c:v>
                      </c:pt>
                      <c:pt idx="9">
                        <c:v>0.96401337423408162</c:v>
                      </c:pt>
                      <c:pt idx="10">
                        <c:v>0.77751656818976944</c:v>
                      </c:pt>
                      <c:pt idx="11">
                        <c:v>0.65661007238766389</c:v>
                      </c:pt>
                      <c:pt idx="12">
                        <c:v>0.48427405088631992</c:v>
                      </c:pt>
                      <c:pt idx="13">
                        <c:v>0.32685023119358075</c:v>
                      </c:pt>
                      <c:pt idx="14">
                        <c:v>0.22333458317710916</c:v>
                      </c:pt>
                      <c:pt idx="15">
                        <c:v>0.13921663099944792</c:v>
                      </c:pt>
                      <c:pt idx="16">
                        <c:v>1.0257399576536981</c:v>
                      </c:pt>
                      <c:pt idx="17">
                        <c:v>0.95851784854839284</c:v>
                      </c:pt>
                      <c:pt idx="18">
                        <c:v>0.77094407819179489</c:v>
                      </c:pt>
                      <c:pt idx="19">
                        <c:v>0.65572973243286881</c:v>
                      </c:pt>
                      <c:pt idx="20">
                        <c:v>0.48455797800243861</c:v>
                      </c:pt>
                      <c:pt idx="21">
                        <c:v>0.32688312133401404</c:v>
                      </c:pt>
                      <c:pt idx="22">
                        <c:v>0.22357801411718653</c:v>
                      </c:pt>
                      <c:pt idx="23">
                        <c:v>0.13958488480899567</c:v>
                      </c:pt>
                      <c:pt idx="24">
                        <c:v>1.0302345937397397</c:v>
                      </c:pt>
                      <c:pt idx="25">
                        <c:v>0.94050476498925339</c:v>
                      </c:pt>
                      <c:pt idx="26">
                        <c:v>0.75881747966484991</c:v>
                      </c:pt>
                      <c:pt idx="27">
                        <c:v>0.6552230796265035</c:v>
                      </c:pt>
                      <c:pt idx="28">
                        <c:v>0.48547353406011506</c:v>
                      </c:pt>
                      <c:pt idx="29">
                        <c:v>0.32708673484558348</c:v>
                      </c:pt>
                      <c:pt idx="30">
                        <c:v>0.22408244584621367</c:v>
                      </c:pt>
                      <c:pt idx="31">
                        <c:v>0.1403061107710572</c:v>
                      </c:pt>
                      <c:pt idx="32">
                        <c:v>1.0319713566839466</c:v>
                      </c:pt>
                      <c:pt idx="33">
                        <c:v>0.91738473900089201</c:v>
                      </c:pt>
                      <c:pt idx="34">
                        <c:v>0.74652945451564967</c:v>
                      </c:pt>
                      <c:pt idx="35">
                        <c:v>0.65531485436110493</c:v>
                      </c:pt>
                      <c:pt idx="36">
                        <c:v>0.4865183705943566</c:v>
                      </c:pt>
                      <c:pt idx="37">
                        <c:v>0.32731393635677458</c:v>
                      </c:pt>
                      <c:pt idx="38">
                        <c:v>0.22463719326507553</c:v>
                      </c:pt>
                      <c:pt idx="39">
                        <c:v>0.14104896372487041</c:v>
                      </c:pt>
                      <c:pt idx="40">
                        <c:v>1.0310082425585927</c:v>
                      </c:pt>
                      <c:pt idx="41">
                        <c:v>0.9063454101612668</c:v>
                      </c:pt>
                      <c:pt idx="42">
                        <c:v>0.73729962335116606</c:v>
                      </c:pt>
                      <c:pt idx="43">
                        <c:v>0.65566767669103321</c:v>
                      </c:pt>
                      <c:pt idx="44">
                        <c:v>0.48697470418609617</c:v>
                      </c:pt>
                      <c:pt idx="45">
                        <c:v>0.32733914651562884</c:v>
                      </c:pt>
                      <c:pt idx="46">
                        <c:v>0.22496707737495336</c:v>
                      </c:pt>
                      <c:pt idx="47">
                        <c:v>0.14154589627110575</c:v>
                      </c:pt>
                      <c:pt idx="48">
                        <c:v>1.0136389211411383</c:v>
                      </c:pt>
                      <c:pt idx="49">
                        <c:v>0.87927475833839686</c:v>
                      </c:pt>
                      <c:pt idx="50">
                        <c:v>0.7210844981978688</c:v>
                      </c:pt>
                      <c:pt idx="51">
                        <c:v>0.6512974990708571</c:v>
                      </c:pt>
                      <c:pt idx="52">
                        <c:v>0.48197744449634278</c:v>
                      </c:pt>
                      <c:pt idx="53">
                        <c:v>0.32496578214121186</c:v>
                      </c:pt>
                      <c:pt idx="54">
                        <c:v>0.22415542605383473</c:v>
                      </c:pt>
                      <c:pt idx="55">
                        <c:v>0.14145261282710786</c:v>
                      </c:pt>
                      <c:pt idx="56">
                        <c:v>1.0238588967186413</c:v>
                      </c:pt>
                      <c:pt idx="57">
                        <c:v>0.88799757040382965</c:v>
                      </c:pt>
                      <c:pt idx="58">
                        <c:v>0.72515637957617529</c:v>
                      </c:pt>
                      <c:pt idx="59">
                        <c:v>0.65432919682863777</c:v>
                      </c:pt>
                      <c:pt idx="60">
                        <c:v>0.48481833222002502</c:v>
                      </c:pt>
                      <c:pt idx="61">
                        <c:v>0.32637780634722363</c:v>
                      </c:pt>
                      <c:pt idx="62">
                        <c:v>0.22502891169985859</c:v>
                      </c:pt>
                      <c:pt idx="63">
                        <c:v>0.14200067667657226</c:v>
                      </c:pt>
                      <c:pt idx="64">
                        <c:v>1.0300534446372873</c:v>
                      </c:pt>
                      <c:pt idx="65">
                        <c:v>0.89343539695107743</c:v>
                      </c:pt>
                      <c:pt idx="66">
                        <c:v>0.72766244190667728</c:v>
                      </c:pt>
                      <c:pt idx="67">
                        <c:v>0.65604148674678842</c:v>
                      </c:pt>
                      <c:pt idx="68">
                        <c:v>0.48613701198117854</c:v>
                      </c:pt>
                      <c:pt idx="69">
                        <c:v>0.32703216519703543</c:v>
                      </c:pt>
                      <c:pt idx="70">
                        <c:v>0.22544794080101771</c:v>
                      </c:pt>
                      <c:pt idx="71">
                        <c:v>0.14227621823863845</c:v>
                      </c:pt>
                      <c:pt idx="72">
                        <c:v>1.0439695080444971</c:v>
                      </c:pt>
                      <c:pt idx="73">
                        <c:v>0.90224705451700382</c:v>
                      </c:pt>
                      <c:pt idx="74">
                        <c:v>0.73256967725920108</c:v>
                      </c:pt>
                      <c:pt idx="75">
                        <c:v>0.65909210359471981</c:v>
                      </c:pt>
                      <c:pt idx="76">
                        <c:v>0.4883529446564287</c:v>
                      </c:pt>
                      <c:pt idx="77">
                        <c:v>0.32814099353527293</c:v>
                      </c:pt>
                      <c:pt idx="78">
                        <c:v>0.22621321446381135</c:v>
                      </c:pt>
                      <c:pt idx="79">
                        <c:v>0.14288106593124036</c:v>
                      </c:pt>
                      <c:pt idx="80">
                        <c:v>1.0561801493668677</c:v>
                      </c:pt>
                      <c:pt idx="81">
                        <c:v>0.91468361103515639</c:v>
                      </c:pt>
                      <c:pt idx="82">
                        <c:v>0.73974682621118848</c:v>
                      </c:pt>
                      <c:pt idx="83">
                        <c:v>0.66326503254470215</c:v>
                      </c:pt>
                      <c:pt idx="84">
                        <c:v>0.49102843923237816</c:v>
                      </c:pt>
                      <c:pt idx="85">
                        <c:v>0.32960948268280132</c:v>
                      </c:pt>
                      <c:pt idx="86">
                        <c:v>0.22727469286655613</c:v>
                      </c:pt>
                      <c:pt idx="87">
                        <c:v>0.14362894977452836</c:v>
                      </c:pt>
                      <c:pt idx="88">
                        <c:v>1.0691757237993755</c:v>
                      </c:pt>
                      <c:pt idx="89">
                        <c:v>0.92610550951961479</c:v>
                      </c:pt>
                      <c:pt idx="90">
                        <c:v>0.74784564950100896</c:v>
                      </c:pt>
                      <c:pt idx="91">
                        <c:v>0.66820553293099649</c:v>
                      </c:pt>
                      <c:pt idx="92">
                        <c:v>0.49392159911988315</c:v>
                      </c:pt>
                      <c:pt idx="93">
                        <c:v>0.3312837314758032</c:v>
                      </c:pt>
                      <c:pt idx="94">
                        <c:v>0.22846161791030137</c:v>
                      </c:pt>
                      <c:pt idx="95">
                        <c:v>0.14447196757265598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923-4F67-8926-08FCADC72367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I'!$AK$5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I'!$AJ$6:$AJ$293</c:f>
              <c:numCache>
                <c:formatCode>0.00</c:formatCode>
                <c:ptCount val="288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0.49175984548526802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I'!$AK$6:$AK$293</c:f>
              <c:numCache>
                <c:formatCode>General</c:formatCode>
                <c:ptCount val="288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E-48E3-A092-D3FAA2783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0.49175984548526802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D3-40B3-81B2-A91494713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I'!$AJ$54:$AJ$101</c15:sqref>
                        </c15:formulaRef>
                      </c:ext>
                    </c:extLst>
                    <c:numCache>
                      <c:formatCode>0.00</c:formatCode>
                      <c:ptCount val="48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I'!$AK$54:$AK$101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AD3-40B3-81B2-A91494713FD0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I'!$AJ$102:$AJ$197</c:f>
              <c:numCache>
                <c:formatCode>0.00</c:formatCode>
                <c:ptCount val="96"/>
              </c:numCache>
            </c:numRef>
          </c:xVal>
          <c:yVal>
            <c:numRef>
              <c:f>'Global Only I'!$AK$102:$AK$197</c:f>
              <c:numCache>
                <c:formatCode>General</c:formatCode>
                <c:ptCount val="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5-4075-BB52-24E8DBE31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I'!$AJ$246:$AJ$293</c:f>
              <c:numCache>
                <c:formatCode>0.00</c:formatCode>
                <c:ptCount val="48"/>
              </c:numCache>
            </c:numRef>
          </c:xVal>
          <c:yVal>
            <c:numRef>
              <c:f>'Global Only I'!$AK$246:$AK$293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80-4D09-809F-FD807366100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I'!$AJ$198:$AJ$245</c:f>
              <c:numCache>
                <c:formatCode>0.00</c:formatCode>
                <c:ptCount val="48"/>
              </c:numCache>
            </c:numRef>
          </c:xVal>
          <c:yVal>
            <c:numRef>
              <c:f>'Global Only I'!$AK$198:$AK$245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80-4D09-809F-FD8073661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I'!$AJ$198:$AJ$293</c:f>
              <c:numCache>
                <c:formatCode>0.00</c:formatCode>
                <c:ptCount val="96"/>
              </c:numCache>
            </c:numRef>
          </c:xVal>
          <c:yVal>
            <c:numRef>
              <c:f>'Global Only I'!$AK$198:$AK$293</c:f>
              <c:numCache>
                <c:formatCode>General</c:formatCode>
                <c:ptCount val="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C-43B8-B555-ECEED7CDE06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I'!$AJ$102:$AJ$197</c:f>
              <c:numCache>
                <c:formatCode>0.00</c:formatCode>
                <c:ptCount val="96"/>
              </c:numCache>
            </c:numRef>
          </c:xVal>
          <c:yVal>
            <c:numRef>
              <c:f>'Global Only I'!$AK$102:$AK$197</c:f>
              <c:numCache>
                <c:formatCode>General</c:formatCode>
                <c:ptCount val="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C-43B8-B555-ECEED7CDE062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I'!$AJ$6:$AJ$101</c:f>
              <c:numCache>
                <c:formatCode>0.00</c:formatCode>
                <c:ptCount val="96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0.49175984548526802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I'!$AK$6:$AK$101</c:f>
              <c:numCache>
                <c:formatCode>General</c:formatCode>
                <c:ptCount val="96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C-43B8-B555-ECEED7CD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  <c:pt idx="96">
                  <c:v>1.021292029847618</c:v>
                </c:pt>
                <c:pt idx="97">
                  <c:v>0.99568861311053336</c:v>
                </c:pt>
                <c:pt idx="98">
                  <c:v>0.93110113208449119</c:v>
                </c:pt>
                <c:pt idx="99">
                  <c:v>0.77757500466357143</c:v>
                </c:pt>
                <c:pt idx="100">
                  <c:v>0.52009752485199545</c:v>
                </c:pt>
                <c:pt idx="101">
                  <c:v>0.34713135506738357</c:v>
                </c:pt>
                <c:pt idx="102">
                  <c:v>0.24736870772372185</c:v>
                </c:pt>
                <c:pt idx="103">
                  <c:v>0.16104084640153443</c:v>
                </c:pt>
                <c:pt idx="104">
                  <c:v>1.0274443523144854</c:v>
                </c:pt>
                <c:pt idx="105">
                  <c:v>0.99965730041692358</c:v>
                </c:pt>
                <c:pt idx="106">
                  <c:v>0.93517602531044153</c:v>
                </c:pt>
                <c:pt idx="107">
                  <c:v>0.78315996142709154</c:v>
                </c:pt>
                <c:pt idx="108">
                  <c:v>0.52584444943794872</c:v>
                </c:pt>
                <c:pt idx="109">
                  <c:v>0.35107298767543449</c:v>
                </c:pt>
                <c:pt idx="110">
                  <c:v>0.25013691758659595</c:v>
                </c:pt>
                <c:pt idx="111">
                  <c:v>0.16282200103868444</c:v>
                </c:pt>
                <c:pt idx="112">
                  <c:v>1.0294809522970338</c:v>
                </c:pt>
                <c:pt idx="113">
                  <c:v>1.0008182194928839</c:v>
                </c:pt>
                <c:pt idx="114">
                  <c:v>0.93516215458756846</c:v>
                </c:pt>
                <c:pt idx="115">
                  <c:v>0.7852703516820696</c:v>
                </c:pt>
                <c:pt idx="116">
                  <c:v>0.52805118685900088</c:v>
                </c:pt>
                <c:pt idx="117">
                  <c:v>0.35244042550891691</c:v>
                </c:pt>
                <c:pt idx="118">
                  <c:v>0.25107075161579284</c:v>
                </c:pt>
                <c:pt idx="119">
                  <c:v>0.16338063070020184</c:v>
                </c:pt>
                <c:pt idx="120">
                  <c:v>1.0179094847530452</c:v>
                </c:pt>
                <c:pt idx="121">
                  <c:v>0.99155495234320967</c:v>
                </c:pt>
                <c:pt idx="122">
                  <c:v>0.92911055635112183</c:v>
                </c:pt>
                <c:pt idx="123">
                  <c:v>0.78729589437562641</c:v>
                </c:pt>
                <c:pt idx="124">
                  <c:v>0.53119460473509017</c:v>
                </c:pt>
                <c:pt idx="125">
                  <c:v>0.35448703423973843</c:v>
                </c:pt>
                <c:pt idx="126">
                  <c:v>0.2524642158394324</c:v>
                </c:pt>
                <c:pt idx="127">
                  <c:v>0.16397029534291466</c:v>
                </c:pt>
                <c:pt idx="128">
                  <c:v>0.97923306804051669</c:v>
                </c:pt>
                <c:pt idx="129">
                  <c:v>0.95491856216804438</c:v>
                </c:pt>
                <c:pt idx="130">
                  <c:v>0.90105999163758532</c:v>
                </c:pt>
                <c:pt idx="131">
                  <c:v>0.77941895530989802</c:v>
                </c:pt>
                <c:pt idx="132">
                  <c:v>0.53254424190049987</c:v>
                </c:pt>
                <c:pt idx="133">
                  <c:v>0.35568164733595142</c:v>
                </c:pt>
                <c:pt idx="134">
                  <c:v>0.25331845537154296</c:v>
                </c:pt>
                <c:pt idx="135">
                  <c:v>0.16426399223812976</c:v>
                </c:pt>
                <c:pt idx="136">
                  <c:v>0.96191790041258973</c:v>
                </c:pt>
                <c:pt idx="137">
                  <c:v>0.93774081351711525</c:v>
                </c:pt>
                <c:pt idx="138">
                  <c:v>0.88052537718955093</c:v>
                </c:pt>
                <c:pt idx="139">
                  <c:v>0.76240779058647734</c:v>
                </c:pt>
                <c:pt idx="140">
                  <c:v>0.53019985224265687</c:v>
                </c:pt>
                <c:pt idx="141">
                  <c:v>0.35563919915486764</c:v>
                </c:pt>
                <c:pt idx="142">
                  <c:v>0.25351800213888637</c:v>
                </c:pt>
                <c:pt idx="143">
                  <c:v>0.16438283350758534</c:v>
                </c:pt>
                <c:pt idx="144">
                  <c:v>1.0152952605410923</c:v>
                </c:pt>
                <c:pt idx="145">
                  <c:v>0.98301424893376066</c:v>
                </c:pt>
                <c:pt idx="146">
                  <c:v>0.90066962986529342</c:v>
                </c:pt>
                <c:pt idx="147">
                  <c:v>0.74362254048789245</c:v>
                </c:pt>
                <c:pt idx="148">
                  <c:v>0.5043610218256892</c:v>
                </c:pt>
                <c:pt idx="149">
                  <c:v>0.33857124034304925</c:v>
                </c:pt>
                <c:pt idx="150">
                  <c:v>0.24179182693432497</c:v>
                </c:pt>
                <c:pt idx="151">
                  <c:v>0.15760206859176834</c:v>
                </c:pt>
                <c:pt idx="152">
                  <c:v>1.0121115476522611</c:v>
                </c:pt>
                <c:pt idx="153">
                  <c:v>0.98005414614464215</c:v>
                </c:pt>
                <c:pt idx="154">
                  <c:v>0.89830962544498916</c:v>
                </c:pt>
                <c:pt idx="155">
                  <c:v>0.74312116853404164</c:v>
                </c:pt>
                <c:pt idx="156">
                  <c:v>0.50492668648625116</c:v>
                </c:pt>
                <c:pt idx="157">
                  <c:v>0.33923297716601486</c:v>
                </c:pt>
                <c:pt idx="158">
                  <c:v>0.24234114106914645</c:v>
                </c:pt>
                <c:pt idx="159">
                  <c:v>0.15799681841355873</c:v>
                </c:pt>
                <c:pt idx="160">
                  <c:v>1.0073088598105915</c:v>
                </c:pt>
                <c:pt idx="161">
                  <c:v>0.97479629066161111</c:v>
                </c:pt>
                <c:pt idx="162">
                  <c:v>0.89401366441793728</c:v>
                </c:pt>
                <c:pt idx="163">
                  <c:v>0.74137639413464074</c:v>
                </c:pt>
                <c:pt idx="164">
                  <c:v>0.50518693524643332</c:v>
                </c:pt>
                <c:pt idx="165">
                  <c:v>0.33981663965591563</c:v>
                </c:pt>
                <c:pt idx="166">
                  <c:v>0.24287251841589236</c:v>
                </c:pt>
                <c:pt idx="167">
                  <c:v>0.15840708572594669</c:v>
                </c:pt>
                <c:pt idx="168">
                  <c:v>0.96307507942255144</c:v>
                </c:pt>
                <c:pt idx="169">
                  <c:v>0.93247009724322838</c:v>
                </c:pt>
                <c:pt idx="170">
                  <c:v>0.86127870954899011</c:v>
                </c:pt>
                <c:pt idx="171">
                  <c:v>0.72418375368751686</c:v>
                </c:pt>
                <c:pt idx="172">
                  <c:v>0.50149485514173764</c:v>
                </c:pt>
                <c:pt idx="173">
                  <c:v>0.33939663771230377</c:v>
                </c:pt>
                <c:pt idx="174">
                  <c:v>0.24315882071064693</c:v>
                </c:pt>
                <c:pt idx="175">
                  <c:v>0.1588775033255683</c:v>
                </c:pt>
                <c:pt idx="176">
                  <c:v>0.83014507843100571</c:v>
                </c:pt>
                <c:pt idx="177">
                  <c:v>0.80388537215119293</c:v>
                </c:pt>
                <c:pt idx="178">
                  <c:v>0.74709586109478165</c:v>
                </c:pt>
                <c:pt idx="179">
                  <c:v>0.64816075855018951</c:v>
                </c:pt>
                <c:pt idx="180">
                  <c:v>0.47450021403716142</c:v>
                </c:pt>
                <c:pt idx="181">
                  <c:v>0.33002501098463155</c:v>
                </c:pt>
                <c:pt idx="182">
                  <c:v>0.23917160525081779</c:v>
                </c:pt>
                <c:pt idx="183">
                  <c:v>0.15749909015740823</c:v>
                </c:pt>
                <c:pt idx="184">
                  <c:v>0.72690608642677668</c:v>
                </c:pt>
                <c:pt idx="185">
                  <c:v>0.70095088124643823</c:v>
                </c:pt>
                <c:pt idx="186">
                  <c:v>0.64369150735114078</c:v>
                </c:pt>
                <c:pt idx="187">
                  <c:v>0.55306220980265053</c:v>
                </c:pt>
                <c:pt idx="188">
                  <c:v>0.41638825229991799</c:v>
                </c:pt>
                <c:pt idx="189">
                  <c:v>0.30090288617511024</c:v>
                </c:pt>
                <c:pt idx="190">
                  <c:v>0.22343621355243948</c:v>
                </c:pt>
                <c:pt idx="191">
                  <c:v>0.15029226098412349</c:v>
                </c:pt>
                <c:pt idx="192">
                  <c:v>1.292421804298914</c:v>
                </c:pt>
                <c:pt idx="193">
                  <c:v>1.2246921338855057</c:v>
                </c:pt>
                <c:pt idx="194">
                  <c:v>1.0819648193238509</c:v>
                </c:pt>
                <c:pt idx="195">
                  <c:v>0.8519571586433019</c:v>
                </c:pt>
                <c:pt idx="196">
                  <c:v>0.54923926745599161</c:v>
                </c:pt>
                <c:pt idx="197">
                  <c:v>0.36076824346237879</c:v>
                </c:pt>
                <c:pt idx="198">
                  <c:v>0.25497029464770971</c:v>
                </c:pt>
                <c:pt idx="199">
                  <c:v>0.16487056912167708</c:v>
                </c:pt>
                <c:pt idx="200">
                  <c:v>1.3789470131340424</c:v>
                </c:pt>
                <c:pt idx="201">
                  <c:v>1.3849547612920619</c:v>
                </c:pt>
                <c:pt idx="202">
                  <c:v>1.3754067321996317</c:v>
                </c:pt>
                <c:pt idx="203">
                  <c:v>1.2534123183505459</c:v>
                </c:pt>
                <c:pt idx="204">
                  <c:v>0.93708648066620981</c:v>
                </c:pt>
                <c:pt idx="205">
                  <c:v>0.66901107774007651</c:v>
                </c:pt>
                <c:pt idx="206">
                  <c:v>0.49409124566307971</c:v>
                </c:pt>
                <c:pt idx="207">
                  <c:v>0.33108625931404845</c:v>
                </c:pt>
                <c:pt idx="208">
                  <c:v>1.3822982945518276</c:v>
                </c:pt>
                <c:pt idx="209">
                  <c:v>1.3876523025584035</c:v>
                </c:pt>
                <c:pt idx="210">
                  <c:v>1.3801602854265769</c:v>
                </c:pt>
                <c:pt idx="211">
                  <c:v>1.2635338116682364</c:v>
                </c:pt>
                <c:pt idx="212">
                  <c:v>0.94940895316219809</c:v>
                </c:pt>
                <c:pt idx="213">
                  <c:v>0.6791940672802883</c:v>
                </c:pt>
                <c:pt idx="214">
                  <c:v>0.50218579771501803</c:v>
                </c:pt>
                <c:pt idx="215">
                  <c:v>0.33672591950829855</c:v>
                </c:pt>
                <c:pt idx="216">
                  <c:v>1.3578770966754341</c:v>
                </c:pt>
                <c:pt idx="217">
                  <c:v>1.3620183098468637</c:v>
                </c:pt>
                <c:pt idx="218">
                  <c:v>1.3490357840354166</c:v>
                </c:pt>
                <c:pt idx="219">
                  <c:v>1.2327918161845135</c:v>
                </c:pt>
                <c:pt idx="220">
                  <c:v>0.91989957499661346</c:v>
                </c:pt>
                <c:pt idx="221">
                  <c:v>0.65408756808738577</c:v>
                </c:pt>
                <c:pt idx="222">
                  <c:v>0.4818886449292219</c:v>
                </c:pt>
                <c:pt idx="223">
                  <c:v>0.32205821132151191</c:v>
                </c:pt>
                <c:pt idx="224">
                  <c:v>1.3158016777308872</c:v>
                </c:pt>
                <c:pt idx="225">
                  <c:v>1.3199610601866907</c:v>
                </c:pt>
                <c:pt idx="226">
                  <c:v>1.3142598137577908</c:v>
                </c:pt>
                <c:pt idx="227">
                  <c:v>1.2218445169050971</c:v>
                </c:pt>
                <c:pt idx="228">
                  <c:v>0.92092628196537007</c:v>
                </c:pt>
                <c:pt idx="229">
                  <c:v>0.65407993533793984</c:v>
                </c:pt>
                <c:pt idx="230">
                  <c:v>0.48123486492074763</c:v>
                </c:pt>
                <c:pt idx="231">
                  <c:v>0.32061208077308367</c:v>
                </c:pt>
                <c:pt idx="232">
                  <c:v>1.2997725876580448</c:v>
                </c:pt>
                <c:pt idx="233">
                  <c:v>1.2993831799866753</c:v>
                </c:pt>
                <c:pt idx="234">
                  <c:v>1.2904185478619763</c:v>
                </c:pt>
                <c:pt idx="235">
                  <c:v>1.2011969115716112</c:v>
                </c:pt>
                <c:pt idx="236">
                  <c:v>0.9161764839028792</c:v>
                </c:pt>
                <c:pt idx="237">
                  <c:v>0.65219608950706776</c:v>
                </c:pt>
                <c:pt idx="238">
                  <c:v>0.47980617922367119</c:v>
                </c:pt>
                <c:pt idx="239">
                  <c:v>0.31939116268621287</c:v>
                </c:pt>
                <c:pt idx="240">
                  <c:v>1.2793819936244188</c:v>
                </c:pt>
                <c:pt idx="241">
                  <c:v>1.2015395524098686</c:v>
                </c:pt>
                <c:pt idx="242">
                  <c:v>1.0333812132079887</c:v>
                </c:pt>
                <c:pt idx="243">
                  <c:v>0.80409777654204462</c:v>
                </c:pt>
                <c:pt idx="244">
                  <c:v>0.5260728291587129</c:v>
                </c:pt>
                <c:pt idx="245">
                  <c:v>0.34823143650897476</c:v>
                </c:pt>
                <c:pt idx="246">
                  <c:v>0.24690933032824117</c:v>
                </c:pt>
                <c:pt idx="247">
                  <c:v>0.15999864582068826</c:v>
                </c:pt>
                <c:pt idx="248">
                  <c:v>1.2793064204329445</c:v>
                </c:pt>
                <c:pt idx="249">
                  <c:v>1.2016109467250962</c:v>
                </c:pt>
                <c:pt idx="250">
                  <c:v>1.0346609537905427</c:v>
                </c:pt>
                <c:pt idx="251">
                  <c:v>0.80648000328265701</c:v>
                </c:pt>
                <c:pt idx="252">
                  <c:v>0.52839957429936235</c:v>
                </c:pt>
                <c:pt idx="253">
                  <c:v>0.34992249557174443</c:v>
                </c:pt>
                <c:pt idx="254">
                  <c:v>0.24816436545733617</c:v>
                </c:pt>
                <c:pt idx="255">
                  <c:v>0.16084249721788257</c:v>
                </c:pt>
                <c:pt idx="256">
                  <c:v>1.2784575624089582</c:v>
                </c:pt>
                <c:pt idx="257">
                  <c:v>1.2121017234520437</c:v>
                </c:pt>
                <c:pt idx="258">
                  <c:v>1.0619762831306643</c:v>
                </c:pt>
                <c:pt idx="259">
                  <c:v>0.84256084666445952</c:v>
                </c:pt>
                <c:pt idx="260">
                  <c:v>0.55995380552902363</c:v>
                </c:pt>
                <c:pt idx="261">
                  <c:v>0.37326889967445914</c:v>
                </c:pt>
                <c:pt idx="262">
                  <c:v>0.26559138258957921</c:v>
                </c:pt>
                <c:pt idx="263">
                  <c:v>0.17259272225666553</c:v>
                </c:pt>
                <c:pt idx="264">
                  <c:v>1.2323692404346125</c:v>
                </c:pt>
                <c:pt idx="265">
                  <c:v>1.1810881720527409</c:v>
                </c:pt>
                <c:pt idx="266">
                  <c:v>1.0710792771842519</c:v>
                </c:pt>
                <c:pt idx="267">
                  <c:v>0.88215301171682126</c:v>
                </c:pt>
                <c:pt idx="268">
                  <c:v>0.60679592369751367</c:v>
                </c:pt>
                <c:pt idx="269">
                  <c:v>0.41065355297446393</c:v>
                </c:pt>
                <c:pt idx="270">
                  <c:v>0.29425885371854349</c:v>
                </c:pt>
                <c:pt idx="271">
                  <c:v>0.19228313474086708</c:v>
                </c:pt>
                <c:pt idx="272">
                  <c:v>1.0709958246539557</c:v>
                </c:pt>
                <c:pt idx="273">
                  <c:v>1.0360908610788533</c:v>
                </c:pt>
                <c:pt idx="274">
                  <c:v>0.95061001705351211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6-46C5-90A2-67F685F3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0-4EC9-94F8-F66BF905E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Global'!$AJ$206:$AJ$245</c:f>
              <c:numCache>
                <c:formatCode>0.00</c:formatCode>
                <c:ptCount val="40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0.74999999999999989</c:v>
                </c:pt>
                <c:pt idx="27">
                  <c:v>0.99999999999999989</c:v>
                </c:pt>
                <c:pt idx="28">
                  <c:v>1.3299999999999998</c:v>
                </c:pt>
                <c:pt idx="29">
                  <c:v>1.6699999999999995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</c:numCache>
            </c:numRef>
          </c:xVal>
          <c:yVal>
            <c:numRef>
              <c:f>'HR_Local and Global'!$AK$206:$AK$245</c:f>
              <c:numCache>
                <c:formatCode>General</c:formatCode>
                <c:ptCount val="40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  <c:pt idx="8">
                  <c:v>1.3822982945518276</c:v>
                </c:pt>
                <c:pt idx="9">
                  <c:v>1.3876523025584035</c:v>
                </c:pt>
                <c:pt idx="10">
                  <c:v>1.3801602854265769</c:v>
                </c:pt>
                <c:pt idx="11">
                  <c:v>1.2635338116682364</c:v>
                </c:pt>
                <c:pt idx="12">
                  <c:v>0.94940895316219809</c:v>
                </c:pt>
                <c:pt idx="13">
                  <c:v>0.6791940672802883</c:v>
                </c:pt>
                <c:pt idx="14">
                  <c:v>0.50218579771501803</c:v>
                </c:pt>
                <c:pt idx="15">
                  <c:v>0.33672591950829855</c:v>
                </c:pt>
                <c:pt idx="16">
                  <c:v>1.3578770966754341</c:v>
                </c:pt>
                <c:pt idx="17">
                  <c:v>1.3620183098468637</c:v>
                </c:pt>
                <c:pt idx="18">
                  <c:v>1.3490357840354166</c:v>
                </c:pt>
                <c:pt idx="19">
                  <c:v>1.2327918161845135</c:v>
                </c:pt>
                <c:pt idx="20">
                  <c:v>0.91989957499661346</c:v>
                </c:pt>
                <c:pt idx="21">
                  <c:v>0.65408756808738577</c:v>
                </c:pt>
                <c:pt idx="22">
                  <c:v>0.4818886449292219</c:v>
                </c:pt>
                <c:pt idx="23">
                  <c:v>0.32205821132151191</c:v>
                </c:pt>
                <c:pt idx="24">
                  <c:v>1.3158016777308872</c:v>
                </c:pt>
                <c:pt idx="25">
                  <c:v>1.3199610601866907</c:v>
                </c:pt>
                <c:pt idx="26">
                  <c:v>1.3142598137577908</c:v>
                </c:pt>
                <c:pt idx="27">
                  <c:v>1.2218445169050971</c:v>
                </c:pt>
                <c:pt idx="28">
                  <c:v>0.92092628196537007</c:v>
                </c:pt>
                <c:pt idx="29">
                  <c:v>0.65407993533793984</c:v>
                </c:pt>
                <c:pt idx="30">
                  <c:v>0.48123486492074763</c:v>
                </c:pt>
                <c:pt idx="31">
                  <c:v>0.32061208077308367</c:v>
                </c:pt>
                <c:pt idx="32">
                  <c:v>1.2997725876580448</c:v>
                </c:pt>
                <c:pt idx="33">
                  <c:v>1.2993831799866753</c:v>
                </c:pt>
                <c:pt idx="34">
                  <c:v>1.2904185478619763</c:v>
                </c:pt>
                <c:pt idx="35">
                  <c:v>1.2011969115716112</c:v>
                </c:pt>
                <c:pt idx="36">
                  <c:v>0.9161764839028792</c:v>
                </c:pt>
                <c:pt idx="37">
                  <c:v>0.65219608950706776</c:v>
                </c:pt>
                <c:pt idx="38">
                  <c:v>0.47980617922367119</c:v>
                </c:pt>
                <c:pt idx="39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7-4428-9512-46097AEC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'HR_Local and Global'!$AK$198:$AK$205</c:f>
              <c:numCache>
                <c:formatCode>General</c:formatCode>
                <c:ptCount val="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C-47CE-9994-1B8AB0062BC2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Global'!$AK$206:$AK$213</c:f>
              <c:numCache>
                <c:formatCode>General</c:formatCode>
                <c:ptCount val="8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C-47CE-9994-1B8AB0062BC2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Global'!$AK$214:$AK$221</c:f>
              <c:numCache>
                <c:formatCode>General</c:formatCode>
                <c:ptCount val="8"/>
                <c:pt idx="0">
                  <c:v>1.3822982945518276</c:v>
                </c:pt>
                <c:pt idx="1">
                  <c:v>1.3876523025584035</c:v>
                </c:pt>
                <c:pt idx="2">
                  <c:v>1.3801602854265769</c:v>
                </c:pt>
                <c:pt idx="3">
                  <c:v>1.2635338116682364</c:v>
                </c:pt>
                <c:pt idx="4">
                  <c:v>0.94940895316219809</c:v>
                </c:pt>
                <c:pt idx="5">
                  <c:v>0.6791940672802883</c:v>
                </c:pt>
                <c:pt idx="6">
                  <c:v>0.50218579771501803</c:v>
                </c:pt>
                <c:pt idx="7">
                  <c:v>0.33672591950829855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C-47CE-9994-1B8AB0062BC2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Global'!$AK$222:$AK$229</c:f>
              <c:numCache>
                <c:formatCode>General</c:formatCode>
                <c:ptCount val="8"/>
                <c:pt idx="0">
                  <c:v>1.3578770966754341</c:v>
                </c:pt>
                <c:pt idx="1">
                  <c:v>1.3620183098468637</c:v>
                </c:pt>
                <c:pt idx="2">
                  <c:v>1.3490357840354166</c:v>
                </c:pt>
                <c:pt idx="3">
                  <c:v>1.2327918161845135</c:v>
                </c:pt>
                <c:pt idx="4">
                  <c:v>0.91989957499661346</c:v>
                </c:pt>
                <c:pt idx="5">
                  <c:v>0.65408756808738577</c:v>
                </c:pt>
                <c:pt idx="6">
                  <c:v>0.4818886449292219</c:v>
                </c:pt>
                <c:pt idx="7">
                  <c:v>0.32205821132151191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C-47CE-9994-1B8AB0062BC2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Global'!$AK$230:$AK$237</c:f>
              <c:numCache>
                <c:formatCode>General</c:formatCode>
                <c:ptCount val="8"/>
                <c:pt idx="0">
                  <c:v>1.3158016777308872</c:v>
                </c:pt>
                <c:pt idx="1">
                  <c:v>1.3199610601866907</c:v>
                </c:pt>
                <c:pt idx="2">
                  <c:v>1.3142598137577908</c:v>
                </c:pt>
                <c:pt idx="3">
                  <c:v>1.2218445169050971</c:v>
                </c:pt>
                <c:pt idx="4">
                  <c:v>0.92092628196537007</c:v>
                </c:pt>
                <c:pt idx="5">
                  <c:v>0.65407993533793984</c:v>
                </c:pt>
                <c:pt idx="6">
                  <c:v>0.48123486492074763</c:v>
                </c:pt>
                <c:pt idx="7">
                  <c:v>0.32061208077308367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CC-47CE-9994-1B8AB0062BC2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Global'!$AK$238:$AK$245</c:f>
              <c:numCache>
                <c:formatCode>General</c:formatCode>
                <c:ptCount val="8"/>
                <c:pt idx="0">
                  <c:v>1.2997725876580448</c:v>
                </c:pt>
                <c:pt idx="1">
                  <c:v>1.2993831799866753</c:v>
                </c:pt>
                <c:pt idx="2">
                  <c:v>1.2904185478619763</c:v>
                </c:pt>
                <c:pt idx="3">
                  <c:v>1.2011969115716112</c:v>
                </c:pt>
                <c:pt idx="4">
                  <c:v>0.9161764839028792</c:v>
                </c:pt>
                <c:pt idx="5">
                  <c:v>0.65219608950706776</c:v>
                </c:pt>
                <c:pt idx="6">
                  <c:v>0.47980617922367119</c:v>
                </c:pt>
                <c:pt idx="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CC-47CE-9994-1B8AB0062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  <c:pt idx="0">
                  <c:v>1.2793819936244188</c:v>
                </c:pt>
                <c:pt idx="1">
                  <c:v>1.2015395524098686</c:v>
                </c:pt>
                <c:pt idx="2">
                  <c:v>1.0333812132079887</c:v>
                </c:pt>
                <c:pt idx="3">
                  <c:v>0.80409777654204462</c:v>
                </c:pt>
                <c:pt idx="4">
                  <c:v>0.5260728291587129</c:v>
                </c:pt>
                <c:pt idx="5">
                  <c:v>0.34823143650897476</c:v>
                </c:pt>
                <c:pt idx="6">
                  <c:v>0.24690933032824117</c:v>
                </c:pt>
                <c:pt idx="7">
                  <c:v>0.15999864582068826</c:v>
                </c:pt>
                <c:pt idx="8">
                  <c:v>1.2793064204329445</c:v>
                </c:pt>
                <c:pt idx="9">
                  <c:v>1.2016109467250962</c:v>
                </c:pt>
                <c:pt idx="10">
                  <c:v>1.0346609537905427</c:v>
                </c:pt>
                <c:pt idx="11">
                  <c:v>0.80648000328265701</c:v>
                </c:pt>
                <c:pt idx="12">
                  <c:v>0.52839957429936235</c:v>
                </c:pt>
                <c:pt idx="13">
                  <c:v>0.34992249557174443</c:v>
                </c:pt>
                <c:pt idx="14">
                  <c:v>0.24816436545733617</c:v>
                </c:pt>
                <c:pt idx="15">
                  <c:v>0.16084249721788257</c:v>
                </c:pt>
                <c:pt idx="16">
                  <c:v>1.2784575624089582</c:v>
                </c:pt>
                <c:pt idx="17">
                  <c:v>1.2121017234520437</c:v>
                </c:pt>
                <c:pt idx="18">
                  <c:v>1.0619762831306643</c:v>
                </c:pt>
                <c:pt idx="19">
                  <c:v>0.84256084666445952</c:v>
                </c:pt>
                <c:pt idx="20">
                  <c:v>0.55995380552902363</c:v>
                </c:pt>
                <c:pt idx="21">
                  <c:v>0.37326889967445914</c:v>
                </c:pt>
                <c:pt idx="22">
                  <c:v>0.26559138258957921</c:v>
                </c:pt>
                <c:pt idx="23">
                  <c:v>0.17259272225666553</c:v>
                </c:pt>
                <c:pt idx="24">
                  <c:v>1.2323692404346125</c:v>
                </c:pt>
                <c:pt idx="25">
                  <c:v>1.1810881720527409</c:v>
                </c:pt>
                <c:pt idx="26">
                  <c:v>1.0710792771842519</c:v>
                </c:pt>
                <c:pt idx="27">
                  <c:v>0.88215301171682126</c:v>
                </c:pt>
                <c:pt idx="28">
                  <c:v>0.60679592369751367</c:v>
                </c:pt>
                <c:pt idx="29">
                  <c:v>0.41065355297446393</c:v>
                </c:pt>
                <c:pt idx="30">
                  <c:v>0.29425885371854349</c:v>
                </c:pt>
                <c:pt idx="31">
                  <c:v>0.19228313474086708</c:v>
                </c:pt>
                <c:pt idx="32">
                  <c:v>1.0709958246539557</c:v>
                </c:pt>
                <c:pt idx="33">
                  <c:v>1.0360908610788533</c:v>
                </c:pt>
                <c:pt idx="34">
                  <c:v>0.95061001705351211</c:v>
                </c:pt>
                <c:pt idx="35">
                  <c:v>0.81077571641479274</c:v>
                </c:pt>
                <c:pt idx="36">
                  <c:v>0.58881610922473626</c:v>
                </c:pt>
                <c:pt idx="37">
                  <c:v>0.40970096505763809</c:v>
                </c:pt>
                <c:pt idx="38">
                  <c:v>0.29725448473018951</c:v>
                </c:pt>
                <c:pt idx="39">
                  <c:v>0.19601025500036656</c:v>
                </c:pt>
                <c:pt idx="40">
                  <c:v>0.95205424078282674</c:v>
                </c:pt>
                <c:pt idx="41">
                  <c:v>0.91424913080689763</c:v>
                </c:pt>
                <c:pt idx="42">
                  <c:v>0.83245480621135792</c:v>
                </c:pt>
                <c:pt idx="43">
                  <c:v>0.70699675792458172</c:v>
                </c:pt>
                <c:pt idx="44">
                  <c:v>0.52661956635372731</c:v>
                </c:pt>
                <c:pt idx="45">
                  <c:v>0.37923918864279171</c:v>
                </c:pt>
                <c:pt idx="46">
                  <c:v>0.28127033329271411</c:v>
                </c:pt>
                <c:pt idx="47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5-4EEC-8D59-37D599843D7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5-4EEC-8D59-37D599843D7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'HR_Local and Global'!$AK$198:$AK$293</c:f>
              <c:numCache>
                <c:formatCode>General</c:formatCode>
                <c:ptCount val="96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  <c:pt idx="48">
                  <c:v>1.2793819936244188</c:v>
                </c:pt>
                <c:pt idx="49">
                  <c:v>1.2015395524098686</c:v>
                </c:pt>
                <c:pt idx="50">
                  <c:v>1.0333812132079887</c:v>
                </c:pt>
                <c:pt idx="51">
                  <c:v>0.80409777654204462</c:v>
                </c:pt>
                <c:pt idx="52">
                  <c:v>0.5260728291587129</c:v>
                </c:pt>
                <c:pt idx="53">
                  <c:v>0.34823143650897476</c:v>
                </c:pt>
                <c:pt idx="54">
                  <c:v>0.24690933032824117</c:v>
                </c:pt>
                <c:pt idx="55">
                  <c:v>0.15999864582068826</c:v>
                </c:pt>
                <c:pt idx="56">
                  <c:v>1.2793064204329445</c:v>
                </c:pt>
                <c:pt idx="57">
                  <c:v>1.2016109467250962</c:v>
                </c:pt>
                <c:pt idx="58">
                  <c:v>1.0346609537905427</c:v>
                </c:pt>
                <c:pt idx="59">
                  <c:v>0.80648000328265701</c:v>
                </c:pt>
                <c:pt idx="60">
                  <c:v>0.52839957429936235</c:v>
                </c:pt>
                <c:pt idx="61">
                  <c:v>0.34992249557174443</c:v>
                </c:pt>
                <c:pt idx="62">
                  <c:v>0.24816436545733617</c:v>
                </c:pt>
                <c:pt idx="63">
                  <c:v>0.16084249721788257</c:v>
                </c:pt>
                <c:pt idx="64">
                  <c:v>1.2784575624089582</c:v>
                </c:pt>
                <c:pt idx="65">
                  <c:v>1.2121017234520437</c:v>
                </c:pt>
                <c:pt idx="66">
                  <c:v>1.0619762831306643</c:v>
                </c:pt>
                <c:pt idx="67">
                  <c:v>0.84256084666445952</c:v>
                </c:pt>
                <c:pt idx="68">
                  <c:v>0.55995380552902363</c:v>
                </c:pt>
                <c:pt idx="69">
                  <c:v>0.37326889967445914</c:v>
                </c:pt>
                <c:pt idx="70">
                  <c:v>0.26559138258957921</c:v>
                </c:pt>
                <c:pt idx="71">
                  <c:v>0.17259272225666553</c:v>
                </c:pt>
                <c:pt idx="72">
                  <c:v>1.2323692404346125</c:v>
                </c:pt>
                <c:pt idx="73">
                  <c:v>1.1810881720527409</c:v>
                </c:pt>
                <c:pt idx="74">
                  <c:v>1.0710792771842519</c:v>
                </c:pt>
                <c:pt idx="75">
                  <c:v>0.88215301171682126</c:v>
                </c:pt>
                <c:pt idx="76">
                  <c:v>0.60679592369751367</c:v>
                </c:pt>
                <c:pt idx="77">
                  <c:v>0.41065355297446393</c:v>
                </c:pt>
                <c:pt idx="78">
                  <c:v>0.29425885371854349</c:v>
                </c:pt>
                <c:pt idx="79">
                  <c:v>0.19228313474086708</c:v>
                </c:pt>
                <c:pt idx="80">
                  <c:v>1.0709958246539557</c:v>
                </c:pt>
                <c:pt idx="81">
                  <c:v>1.0360908610788533</c:v>
                </c:pt>
                <c:pt idx="82">
                  <c:v>0.95061001705351211</c:v>
                </c:pt>
                <c:pt idx="83">
                  <c:v>0.81077571641479274</c:v>
                </c:pt>
                <c:pt idx="84">
                  <c:v>0.58881610922473626</c:v>
                </c:pt>
                <c:pt idx="85">
                  <c:v>0.40970096505763809</c:v>
                </c:pt>
                <c:pt idx="86">
                  <c:v>0.29725448473018951</c:v>
                </c:pt>
                <c:pt idx="87">
                  <c:v>0.19601025500036656</c:v>
                </c:pt>
                <c:pt idx="88">
                  <c:v>0.95205424078282674</c:v>
                </c:pt>
                <c:pt idx="89">
                  <c:v>0.91424913080689763</c:v>
                </c:pt>
                <c:pt idx="90">
                  <c:v>0.83245480621135792</c:v>
                </c:pt>
                <c:pt idx="91">
                  <c:v>0.70699675792458172</c:v>
                </c:pt>
                <c:pt idx="92">
                  <c:v>0.52661956635372731</c:v>
                </c:pt>
                <c:pt idx="93">
                  <c:v>0.37923918864279171</c:v>
                </c:pt>
                <c:pt idx="94">
                  <c:v>0.28127033329271411</c:v>
                </c:pt>
                <c:pt idx="95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5-4EEC-8D59-37D599843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Only'!$AJ$6:$AJ$293</c:f>
              <c:numCache>
                <c:formatCode>0.00</c:formatCode>
                <c:ptCount val="28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0.30000000000000004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1.3300000000000003</c:v>
                </c:pt>
                <c:pt idx="285">
                  <c:v>1.67</c:v>
                </c:pt>
                <c:pt idx="286">
                  <c:v>1.9999999999999998</c:v>
                </c:pt>
                <c:pt idx="287">
                  <c:v>2.5</c:v>
                </c:pt>
              </c:numCache>
            </c:numRef>
          </c:xVal>
          <c:yVal>
            <c:numRef>
              <c:f>'HR_Global Only'!$AK$6:$AK$293</c:f>
              <c:numCache>
                <c:formatCode>General</c:formatCode>
                <c:ptCount val="288"/>
                <c:pt idx="0">
                  <c:v>1.0428015636342893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  <c:pt idx="96">
                  <c:v>1.0350703382244055</c:v>
                </c:pt>
                <c:pt idx="97">
                  <c:v>1.0067961419749081</c:v>
                </c:pt>
                <c:pt idx="98">
                  <c:v>0.93895194387926151</c:v>
                </c:pt>
                <c:pt idx="99">
                  <c:v>0.78328148261202846</c:v>
                </c:pt>
                <c:pt idx="100">
                  <c:v>0.52309793272028826</c:v>
                </c:pt>
                <c:pt idx="101">
                  <c:v>0.34894465163639138</c:v>
                </c:pt>
                <c:pt idx="102">
                  <c:v>0.24861659608066097</c:v>
                </c:pt>
                <c:pt idx="103">
                  <c:v>0.16166366047560748</c:v>
                </c:pt>
                <c:pt idx="104">
                  <c:v>1.0457384980964739</c:v>
                </c:pt>
                <c:pt idx="105">
                  <c:v>1.0158523623811477</c:v>
                </c:pt>
                <c:pt idx="106">
                  <c:v>0.94492714349038742</c:v>
                </c:pt>
                <c:pt idx="107">
                  <c:v>0.78988297365749593</c:v>
                </c:pt>
                <c:pt idx="108">
                  <c:v>0.52933737494651467</c:v>
                </c:pt>
                <c:pt idx="109">
                  <c:v>0.35319842874255436</c:v>
                </c:pt>
                <c:pt idx="110">
                  <c:v>0.25160268948716613</c:v>
                </c:pt>
                <c:pt idx="111">
                  <c:v>0.16327162979063747</c:v>
                </c:pt>
                <c:pt idx="112">
                  <c:v>1.0517018580986368</c:v>
                </c:pt>
                <c:pt idx="113">
                  <c:v>1.0200360064370457</c:v>
                </c:pt>
                <c:pt idx="114">
                  <c:v>0.94642914462438454</c:v>
                </c:pt>
                <c:pt idx="115">
                  <c:v>0.79273230903830294</c:v>
                </c:pt>
                <c:pt idx="116">
                  <c:v>0.53181188898444887</c:v>
                </c:pt>
                <c:pt idx="117">
                  <c:v>0.35472428925186705</c:v>
                </c:pt>
                <c:pt idx="118">
                  <c:v>0.25264358372019052</c:v>
                </c:pt>
                <c:pt idx="119">
                  <c:v>0.16365653925253662</c:v>
                </c:pt>
                <c:pt idx="120">
                  <c:v>1.0610089301893249</c:v>
                </c:pt>
                <c:pt idx="121">
                  <c:v>1.027728901724632</c:v>
                </c:pt>
                <c:pt idx="122">
                  <c:v>0.95136315890360923</c:v>
                </c:pt>
                <c:pt idx="123">
                  <c:v>0.7970533639390287</c:v>
                </c:pt>
                <c:pt idx="124">
                  <c:v>0.53547257815660343</c:v>
                </c:pt>
                <c:pt idx="125">
                  <c:v>0.35702558706919085</c:v>
                </c:pt>
                <c:pt idx="126">
                  <c:v>0.2542046448074135</c:v>
                </c:pt>
                <c:pt idx="127">
                  <c:v>0.16420305770188023</c:v>
                </c:pt>
                <c:pt idx="128">
                  <c:v>1.070006851283994</c:v>
                </c:pt>
                <c:pt idx="129">
                  <c:v>1.0362985076836908</c:v>
                </c:pt>
                <c:pt idx="130">
                  <c:v>0.95702439536776374</c:v>
                </c:pt>
                <c:pt idx="131">
                  <c:v>0.80091932737395133</c:v>
                </c:pt>
                <c:pt idx="132">
                  <c:v>0.53794386597023791</c:v>
                </c:pt>
                <c:pt idx="133">
                  <c:v>0.35853552951059708</c:v>
                </c:pt>
                <c:pt idx="134">
                  <c:v>0.25522199700608844</c:v>
                </c:pt>
                <c:pt idx="135">
                  <c:v>0.16454330706888848</c:v>
                </c:pt>
                <c:pt idx="136">
                  <c:v>1.0766047843832498</c:v>
                </c:pt>
                <c:pt idx="137">
                  <c:v>1.0431917657654293</c:v>
                </c:pt>
                <c:pt idx="138">
                  <c:v>0.96067239548344774</c:v>
                </c:pt>
                <c:pt idx="139">
                  <c:v>0.80293869933576856</c:v>
                </c:pt>
                <c:pt idx="140">
                  <c:v>0.53894614631937043</c:v>
                </c:pt>
                <c:pt idx="141">
                  <c:v>0.35913207805546982</c:v>
                </c:pt>
                <c:pt idx="142">
                  <c:v>0.25562725631167627</c:v>
                </c:pt>
                <c:pt idx="143">
                  <c:v>0.16470907928551759</c:v>
                </c:pt>
                <c:pt idx="144">
                  <c:v>1.0369466776658174</c:v>
                </c:pt>
                <c:pt idx="145">
                  <c:v>1.0010446227981542</c:v>
                </c:pt>
                <c:pt idx="146">
                  <c:v>0.91706680583339972</c:v>
                </c:pt>
                <c:pt idx="147">
                  <c:v>0.75226156492347396</c:v>
                </c:pt>
                <c:pt idx="148">
                  <c:v>0.50879815564599185</c:v>
                </c:pt>
                <c:pt idx="149">
                  <c:v>0.34126215182246283</c:v>
                </c:pt>
                <c:pt idx="150">
                  <c:v>0.24363987663076087</c:v>
                </c:pt>
                <c:pt idx="151">
                  <c:v>0.15827386239203484</c:v>
                </c:pt>
                <c:pt idx="152">
                  <c:v>1.042305294930153</c:v>
                </c:pt>
                <c:pt idx="153">
                  <c:v>1.0058135434836335</c:v>
                </c:pt>
                <c:pt idx="154">
                  <c:v>0.92106553708459427</c:v>
                </c:pt>
                <c:pt idx="155">
                  <c:v>0.75531607713462567</c:v>
                </c:pt>
                <c:pt idx="156">
                  <c:v>0.5111909386683311</c:v>
                </c:pt>
                <c:pt idx="157">
                  <c:v>0.3429972212242593</c:v>
                </c:pt>
                <c:pt idx="158">
                  <c:v>0.24491338858414322</c:v>
                </c:pt>
                <c:pt idx="159">
                  <c:v>0.15908379970615905</c:v>
                </c:pt>
                <c:pt idx="160">
                  <c:v>1.0438429143577228</c:v>
                </c:pt>
                <c:pt idx="161">
                  <c:v>1.0075163853647617</c:v>
                </c:pt>
                <c:pt idx="162">
                  <c:v>0.92274191302042741</c:v>
                </c:pt>
                <c:pt idx="163">
                  <c:v>0.75673071738595177</c:v>
                </c:pt>
                <c:pt idx="164">
                  <c:v>0.51293632601451378</c:v>
                </c:pt>
                <c:pt idx="165">
                  <c:v>0.34439801120002145</c:v>
                </c:pt>
                <c:pt idx="166">
                  <c:v>0.24597670380226236</c:v>
                </c:pt>
                <c:pt idx="167">
                  <c:v>0.15980479530588157</c:v>
                </c:pt>
                <c:pt idx="168">
                  <c:v>1.0316393591592501</c:v>
                </c:pt>
                <c:pt idx="169">
                  <c:v>0.99935345326077796</c:v>
                </c:pt>
                <c:pt idx="170">
                  <c:v>0.91759817951470612</c:v>
                </c:pt>
                <c:pt idx="171">
                  <c:v>0.75381806143802399</c:v>
                </c:pt>
                <c:pt idx="172">
                  <c:v>0.51475552763170862</c:v>
                </c:pt>
                <c:pt idx="173">
                  <c:v>0.34655373812612261</c:v>
                </c:pt>
                <c:pt idx="174">
                  <c:v>0.24778985837406073</c:v>
                </c:pt>
                <c:pt idx="175">
                  <c:v>0.16168882319224687</c:v>
                </c:pt>
                <c:pt idx="176">
                  <c:v>0.9882931115075988</c:v>
                </c:pt>
                <c:pt idx="177">
                  <c:v>0.96272298800441392</c:v>
                </c:pt>
                <c:pt idx="178">
                  <c:v>0.89269230829704138</c:v>
                </c:pt>
                <c:pt idx="179">
                  <c:v>0.7343381630046143</c:v>
                </c:pt>
                <c:pt idx="180">
                  <c:v>0.51362748808014935</c:v>
                </c:pt>
                <c:pt idx="181">
                  <c:v>0.3487624805140645</c:v>
                </c:pt>
                <c:pt idx="182">
                  <c:v>0.25016380893375362</c:v>
                </c:pt>
                <c:pt idx="183">
                  <c:v>0.16358438127915242</c:v>
                </c:pt>
                <c:pt idx="184">
                  <c:v>0.97988818826616997</c:v>
                </c:pt>
                <c:pt idx="185">
                  <c:v>0.94998781827457102</c:v>
                </c:pt>
                <c:pt idx="186">
                  <c:v>0.88438936035321991</c:v>
                </c:pt>
                <c:pt idx="187">
                  <c:v>0.7193514474209598</c:v>
                </c:pt>
                <c:pt idx="188">
                  <c:v>0.51406721011833756</c:v>
                </c:pt>
                <c:pt idx="189">
                  <c:v>0.35254371020078373</c:v>
                </c:pt>
                <c:pt idx="190">
                  <c:v>0.25374297488962633</c:v>
                </c:pt>
                <c:pt idx="191">
                  <c:v>0.16629268531738728</c:v>
                </c:pt>
                <c:pt idx="192">
                  <c:v>1.3095631781834585</c:v>
                </c:pt>
                <c:pt idx="193">
                  <c:v>1.2392565741919066</c:v>
                </c:pt>
                <c:pt idx="194">
                  <c:v>1.0905134864153105</c:v>
                </c:pt>
                <c:pt idx="195">
                  <c:v>0.85785428703221944</c:v>
                </c:pt>
                <c:pt idx="196">
                  <c:v>0.55224211170263116</c:v>
                </c:pt>
                <c:pt idx="197">
                  <c:v>0.36254246936430101</c:v>
                </c:pt>
                <c:pt idx="198">
                  <c:v>0.25617144322694047</c:v>
                </c:pt>
                <c:pt idx="199">
                  <c:v>0.16562522666714591</c:v>
                </c:pt>
                <c:pt idx="200">
                  <c:v>1.4029114667700273</c:v>
                </c:pt>
                <c:pt idx="201">
                  <c:v>1.4059971970456828</c:v>
                </c:pt>
                <c:pt idx="202">
                  <c:v>1.3901304428890449</c:v>
                </c:pt>
                <c:pt idx="203">
                  <c:v>1.263823443396128</c:v>
                </c:pt>
                <c:pt idx="204">
                  <c:v>0.94292526194241133</c:v>
                </c:pt>
                <c:pt idx="205">
                  <c:v>0.67278726621110663</c:v>
                </c:pt>
                <c:pt idx="206">
                  <c:v>0.49676512525383898</c:v>
                </c:pt>
                <c:pt idx="207">
                  <c:v>0.33283860720339559</c:v>
                </c:pt>
                <c:pt idx="208">
                  <c:v>1.4130298095653673</c:v>
                </c:pt>
                <c:pt idx="209">
                  <c:v>1.4152365544646948</c:v>
                </c:pt>
                <c:pt idx="210">
                  <c:v>1.39835398642126</c:v>
                </c:pt>
                <c:pt idx="211">
                  <c:v>1.2750507255436359</c:v>
                </c:pt>
                <c:pt idx="212">
                  <c:v>0.95579606148996121</c:v>
                </c:pt>
                <c:pt idx="213">
                  <c:v>0.6833002209109037</c:v>
                </c:pt>
                <c:pt idx="214">
                  <c:v>0.5051054497903974</c:v>
                </c:pt>
                <c:pt idx="215">
                  <c:v>0.33859307723973592</c:v>
                </c:pt>
                <c:pt idx="216">
                  <c:v>1.4185956964288711</c:v>
                </c:pt>
                <c:pt idx="217">
                  <c:v>1.403255468417498</c:v>
                </c:pt>
                <c:pt idx="218">
                  <c:v>1.3811067641085937</c:v>
                </c:pt>
                <c:pt idx="219">
                  <c:v>1.2480396864070273</c:v>
                </c:pt>
                <c:pt idx="220">
                  <c:v>0.92689180095805523</c:v>
                </c:pt>
                <c:pt idx="221">
                  <c:v>0.65839601812660731</c:v>
                </c:pt>
                <c:pt idx="222">
                  <c:v>0.48491785357500183</c:v>
                </c:pt>
                <c:pt idx="223">
                  <c:v>0.32393194179449591</c:v>
                </c:pt>
                <c:pt idx="224">
                  <c:v>1.4294047241679002</c:v>
                </c:pt>
                <c:pt idx="225">
                  <c:v>1.414117430466687</c:v>
                </c:pt>
                <c:pt idx="226">
                  <c:v>1.3897483027814939</c:v>
                </c:pt>
                <c:pt idx="227">
                  <c:v>1.2547727146347898</c:v>
                </c:pt>
                <c:pt idx="228">
                  <c:v>0.92989174444554057</c:v>
                </c:pt>
                <c:pt idx="229">
                  <c:v>0.6589233277100518</c:v>
                </c:pt>
                <c:pt idx="230">
                  <c:v>0.48451808981107397</c:v>
                </c:pt>
                <c:pt idx="231">
                  <c:v>0.32247331195360157</c:v>
                </c:pt>
                <c:pt idx="232">
                  <c:v>1.4364401434431091</c:v>
                </c:pt>
                <c:pt idx="233">
                  <c:v>1.4219433768011727</c:v>
                </c:pt>
                <c:pt idx="234">
                  <c:v>1.3945795430259635</c:v>
                </c:pt>
                <c:pt idx="235">
                  <c:v>1.2565009689085878</c:v>
                </c:pt>
                <c:pt idx="236">
                  <c:v>0.93011359012213091</c:v>
                </c:pt>
                <c:pt idx="237">
                  <c:v>0.65808478074330468</c:v>
                </c:pt>
                <c:pt idx="238">
                  <c:v>0.4834182158883798</c:v>
                </c:pt>
                <c:pt idx="239">
                  <c:v>0.32132651275972879</c:v>
                </c:pt>
                <c:pt idx="240">
                  <c:v>1.3065505559596617</c:v>
                </c:pt>
                <c:pt idx="241">
                  <c:v>1.2252603136441909</c:v>
                </c:pt>
                <c:pt idx="242">
                  <c:v>1.0479539682416883</c:v>
                </c:pt>
                <c:pt idx="243">
                  <c:v>0.81357855771175314</c:v>
                </c:pt>
                <c:pt idx="244">
                  <c:v>0.53078715688078826</c:v>
                </c:pt>
                <c:pt idx="245">
                  <c:v>0.35100683274126737</c:v>
                </c:pt>
                <c:pt idx="246">
                  <c:v>0.24878840647027944</c:v>
                </c:pt>
                <c:pt idx="247">
                  <c:v>0.16117794366024149</c:v>
                </c:pt>
                <c:pt idx="248">
                  <c:v>1.3167082799229084</c:v>
                </c:pt>
                <c:pt idx="249">
                  <c:v>1.233768136208796</c:v>
                </c:pt>
                <c:pt idx="250">
                  <c:v>1.0552624503686001</c:v>
                </c:pt>
                <c:pt idx="251">
                  <c:v>0.81973522162580281</c:v>
                </c:pt>
                <c:pt idx="252">
                  <c:v>0.53497116577948922</c:v>
                </c:pt>
                <c:pt idx="253">
                  <c:v>0.35377589245248181</c:v>
                </c:pt>
                <c:pt idx="254">
                  <c:v>0.25075961122982748</c:v>
                </c:pt>
                <c:pt idx="255">
                  <c:v>0.16246388632251002</c:v>
                </c:pt>
                <c:pt idx="256">
                  <c:v>1.3272506690435109</c:v>
                </c:pt>
                <c:pt idx="257">
                  <c:v>1.2540848922275407</c:v>
                </c:pt>
                <c:pt idx="258">
                  <c:v>1.0894760698868615</c:v>
                </c:pt>
                <c:pt idx="259">
                  <c:v>0.86033757591896831</c:v>
                </c:pt>
                <c:pt idx="260">
                  <c:v>0.568771411223566</c:v>
                </c:pt>
                <c:pt idx="261">
                  <c:v>0.37835486062007928</c:v>
                </c:pt>
                <c:pt idx="262">
                  <c:v>0.26899331613889799</c:v>
                </c:pt>
                <c:pt idx="263">
                  <c:v>0.17470140203089382</c:v>
                </c:pt>
                <c:pt idx="264">
                  <c:v>1.3251458299703696</c:v>
                </c:pt>
                <c:pt idx="265">
                  <c:v>1.2716933942482687</c:v>
                </c:pt>
                <c:pt idx="266">
                  <c:v>1.1310859085261133</c:v>
                </c:pt>
                <c:pt idx="267">
                  <c:v>0.92017095672920657</c:v>
                </c:pt>
                <c:pt idx="268">
                  <c:v>0.62404209559881885</c:v>
                </c:pt>
                <c:pt idx="269">
                  <c:v>0.41993670056212712</c:v>
                </c:pt>
                <c:pt idx="270">
                  <c:v>0.30019006845575413</c:v>
                </c:pt>
                <c:pt idx="271">
                  <c:v>0.19583459287092428</c:v>
                </c:pt>
                <c:pt idx="272">
                  <c:v>1.2786446002396337</c:v>
                </c:pt>
                <c:pt idx="273">
                  <c:v>1.238984996074324</c:v>
                </c:pt>
                <c:pt idx="274">
                  <c:v>1.1015038481414843</c:v>
                </c:pt>
                <c:pt idx="275">
                  <c:v>0.91903021532603701</c:v>
                </c:pt>
                <c:pt idx="276">
                  <c:v>0.63994217805803011</c:v>
                </c:pt>
                <c:pt idx="277">
                  <c:v>0.43507691972000961</c:v>
                </c:pt>
                <c:pt idx="278">
                  <c:v>0.31224138249542915</c:v>
                </c:pt>
                <c:pt idx="279">
                  <c:v>0.20427813397844849</c:v>
                </c:pt>
                <c:pt idx="280">
                  <c:v>1.2797586268038181</c:v>
                </c:pt>
                <c:pt idx="281">
                  <c:v>1.2349297908020764</c:v>
                </c:pt>
                <c:pt idx="282">
                  <c:v>1.0833494465810396</c:v>
                </c:pt>
                <c:pt idx="283">
                  <c:v>0.91728609726586463</c:v>
                </c:pt>
                <c:pt idx="284">
                  <c:v>0.6531211462077714</c:v>
                </c:pt>
                <c:pt idx="285">
                  <c:v>0.44868707670086622</c:v>
                </c:pt>
                <c:pt idx="286">
                  <c:v>0.32330786621705715</c:v>
                </c:pt>
                <c:pt idx="287">
                  <c:v>0.21201918455538163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7-4E7B-875C-6E9253585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1.0428015636342893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98-46D3-B017-ECCB8C09E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1.0350703382244055</c:v>
                </c:pt>
                <c:pt idx="1">
                  <c:v>1.0067961419749081</c:v>
                </c:pt>
                <c:pt idx="2">
                  <c:v>0.93895194387926151</c:v>
                </c:pt>
                <c:pt idx="3">
                  <c:v>0.78328148261202846</c:v>
                </c:pt>
                <c:pt idx="4">
                  <c:v>0.52309793272028826</c:v>
                </c:pt>
                <c:pt idx="5">
                  <c:v>0.34894465163639138</c:v>
                </c:pt>
                <c:pt idx="6">
                  <c:v>0.24861659608066097</c:v>
                </c:pt>
                <c:pt idx="7">
                  <c:v>0.16166366047560748</c:v>
                </c:pt>
                <c:pt idx="8">
                  <c:v>1.0457384980964739</c:v>
                </c:pt>
                <c:pt idx="9">
                  <c:v>1.0158523623811477</c:v>
                </c:pt>
                <c:pt idx="10">
                  <c:v>0.94492714349038742</c:v>
                </c:pt>
                <c:pt idx="11">
                  <c:v>0.78988297365749593</c:v>
                </c:pt>
                <c:pt idx="12">
                  <c:v>0.52933737494651467</c:v>
                </c:pt>
                <c:pt idx="13">
                  <c:v>0.35319842874255436</c:v>
                </c:pt>
                <c:pt idx="14">
                  <c:v>0.25160268948716613</c:v>
                </c:pt>
                <c:pt idx="15">
                  <c:v>0.16327162979063747</c:v>
                </c:pt>
                <c:pt idx="16">
                  <c:v>1.0517018580986368</c:v>
                </c:pt>
                <c:pt idx="17">
                  <c:v>1.0200360064370457</c:v>
                </c:pt>
                <c:pt idx="18">
                  <c:v>0.94642914462438454</c:v>
                </c:pt>
                <c:pt idx="19">
                  <c:v>0.79273230903830294</c:v>
                </c:pt>
                <c:pt idx="20">
                  <c:v>0.53181188898444887</c:v>
                </c:pt>
                <c:pt idx="21">
                  <c:v>0.35472428925186705</c:v>
                </c:pt>
                <c:pt idx="22">
                  <c:v>0.25264358372019052</c:v>
                </c:pt>
                <c:pt idx="23">
                  <c:v>0.16365653925253662</c:v>
                </c:pt>
                <c:pt idx="24">
                  <c:v>1.0610089301893249</c:v>
                </c:pt>
                <c:pt idx="25">
                  <c:v>1.027728901724632</c:v>
                </c:pt>
                <c:pt idx="26">
                  <c:v>0.95136315890360923</c:v>
                </c:pt>
                <c:pt idx="27">
                  <c:v>0.7970533639390287</c:v>
                </c:pt>
                <c:pt idx="28">
                  <c:v>0.53547257815660343</c:v>
                </c:pt>
                <c:pt idx="29">
                  <c:v>0.35702558706919085</c:v>
                </c:pt>
                <c:pt idx="30">
                  <c:v>0.2542046448074135</c:v>
                </c:pt>
                <c:pt idx="31">
                  <c:v>0.16420305770188023</c:v>
                </c:pt>
                <c:pt idx="32">
                  <c:v>1.070006851283994</c:v>
                </c:pt>
                <c:pt idx="33">
                  <c:v>1.0362985076836908</c:v>
                </c:pt>
                <c:pt idx="34">
                  <c:v>0.95702439536776374</c:v>
                </c:pt>
                <c:pt idx="35">
                  <c:v>0.80091932737395133</c:v>
                </c:pt>
                <c:pt idx="36">
                  <c:v>0.53794386597023791</c:v>
                </c:pt>
                <c:pt idx="37">
                  <c:v>0.35853552951059708</c:v>
                </c:pt>
                <c:pt idx="38">
                  <c:v>0.25522199700608844</c:v>
                </c:pt>
                <c:pt idx="39">
                  <c:v>0.16454330706888848</c:v>
                </c:pt>
                <c:pt idx="40">
                  <c:v>1.0766047843832498</c:v>
                </c:pt>
                <c:pt idx="41">
                  <c:v>1.0431917657654293</c:v>
                </c:pt>
                <c:pt idx="42">
                  <c:v>0.96067239548344774</c:v>
                </c:pt>
                <c:pt idx="43">
                  <c:v>0.80293869933576856</c:v>
                </c:pt>
                <c:pt idx="44">
                  <c:v>0.53894614631937043</c:v>
                </c:pt>
                <c:pt idx="45">
                  <c:v>0.35913207805546982</c:v>
                </c:pt>
                <c:pt idx="46">
                  <c:v>0.25562725631167627</c:v>
                </c:pt>
                <c:pt idx="47">
                  <c:v>0.16470907928551759</c:v>
                </c:pt>
                <c:pt idx="48">
                  <c:v>1.0369466776658174</c:v>
                </c:pt>
                <c:pt idx="49">
                  <c:v>1.0010446227981542</c:v>
                </c:pt>
                <c:pt idx="50">
                  <c:v>0.91706680583339972</c:v>
                </c:pt>
                <c:pt idx="51">
                  <c:v>0.75226156492347396</c:v>
                </c:pt>
                <c:pt idx="52">
                  <c:v>0.50879815564599185</c:v>
                </c:pt>
                <c:pt idx="53">
                  <c:v>0.34126215182246283</c:v>
                </c:pt>
                <c:pt idx="54">
                  <c:v>0.24363987663076087</c:v>
                </c:pt>
                <c:pt idx="55">
                  <c:v>0.15827386239203484</c:v>
                </c:pt>
                <c:pt idx="56">
                  <c:v>1.042305294930153</c:v>
                </c:pt>
                <c:pt idx="57">
                  <c:v>1.0058135434836335</c:v>
                </c:pt>
                <c:pt idx="58">
                  <c:v>0.92106553708459427</c:v>
                </c:pt>
                <c:pt idx="59">
                  <c:v>0.75531607713462567</c:v>
                </c:pt>
                <c:pt idx="60">
                  <c:v>0.5111909386683311</c:v>
                </c:pt>
                <c:pt idx="61">
                  <c:v>0.3429972212242593</c:v>
                </c:pt>
                <c:pt idx="62">
                  <c:v>0.24491338858414322</c:v>
                </c:pt>
                <c:pt idx="63">
                  <c:v>0.15908379970615905</c:v>
                </c:pt>
                <c:pt idx="64">
                  <c:v>1.0438429143577228</c:v>
                </c:pt>
                <c:pt idx="65">
                  <c:v>1.0075163853647617</c:v>
                </c:pt>
                <c:pt idx="66">
                  <c:v>0.92274191302042741</c:v>
                </c:pt>
                <c:pt idx="67">
                  <c:v>0.75673071738595177</c:v>
                </c:pt>
                <c:pt idx="68">
                  <c:v>0.51293632601451378</c:v>
                </c:pt>
                <c:pt idx="69">
                  <c:v>0.34439801120002145</c:v>
                </c:pt>
                <c:pt idx="70">
                  <c:v>0.24597670380226236</c:v>
                </c:pt>
                <c:pt idx="71">
                  <c:v>0.15980479530588157</c:v>
                </c:pt>
                <c:pt idx="72">
                  <c:v>1.0316393591592501</c:v>
                </c:pt>
                <c:pt idx="73">
                  <c:v>0.99935345326077796</c:v>
                </c:pt>
                <c:pt idx="74">
                  <c:v>0.91759817951470612</c:v>
                </c:pt>
                <c:pt idx="75">
                  <c:v>0.75381806143802399</c:v>
                </c:pt>
                <c:pt idx="76">
                  <c:v>0.51475552763170862</c:v>
                </c:pt>
                <c:pt idx="77">
                  <c:v>0.34655373812612261</c:v>
                </c:pt>
                <c:pt idx="78">
                  <c:v>0.24778985837406073</c:v>
                </c:pt>
                <c:pt idx="79">
                  <c:v>0.16168882319224687</c:v>
                </c:pt>
                <c:pt idx="80">
                  <c:v>0.9882931115075988</c:v>
                </c:pt>
                <c:pt idx="81">
                  <c:v>0.96272298800441392</c:v>
                </c:pt>
                <c:pt idx="82">
                  <c:v>0.89269230829704138</c:v>
                </c:pt>
                <c:pt idx="83">
                  <c:v>0.7343381630046143</c:v>
                </c:pt>
                <c:pt idx="84">
                  <c:v>0.51362748808014935</c:v>
                </c:pt>
                <c:pt idx="85">
                  <c:v>0.3487624805140645</c:v>
                </c:pt>
                <c:pt idx="86">
                  <c:v>0.25016380893375362</c:v>
                </c:pt>
                <c:pt idx="87">
                  <c:v>0.16358438127915242</c:v>
                </c:pt>
                <c:pt idx="88">
                  <c:v>0.97988818826616997</c:v>
                </c:pt>
                <c:pt idx="89">
                  <c:v>0.94998781827457102</c:v>
                </c:pt>
                <c:pt idx="90">
                  <c:v>0.88438936035321991</c:v>
                </c:pt>
                <c:pt idx="91">
                  <c:v>0.7193514474209598</c:v>
                </c:pt>
                <c:pt idx="92">
                  <c:v>0.51406721011833756</c:v>
                </c:pt>
                <c:pt idx="93">
                  <c:v>0.35254371020078373</c:v>
                </c:pt>
                <c:pt idx="94">
                  <c:v>0.25374297488962633</c:v>
                </c:pt>
                <c:pt idx="95">
                  <c:v>0.16629268531738728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4C-4C2B-A529-092A5D7AA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'HR_Global Only'!$AK$198:$AK$293</c:f>
              <c:numCache>
                <c:formatCode>General</c:formatCode>
                <c:ptCount val="96"/>
                <c:pt idx="0">
                  <c:v>1.3095631781834585</c:v>
                </c:pt>
                <c:pt idx="1">
                  <c:v>1.2392565741919066</c:v>
                </c:pt>
                <c:pt idx="2">
                  <c:v>1.0905134864153105</c:v>
                </c:pt>
                <c:pt idx="3">
                  <c:v>0.85785428703221944</c:v>
                </c:pt>
                <c:pt idx="4">
                  <c:v>0.55224211170263116</c:v>
                </c:pt>
                <c:pt idx="5">
                  <c:v>0.36254246936430101</c:v>
                </c:pt>
                <c:pt idx="6">
                  <c:v>0.25617144322694047</c:v>
                </c:pt>
                <c:pt idx="7">
                  <c:v>0.16562522666714591</c:v>
                </c:pt>
                <c:pt idx="8">
                  <c:v>1.4029114667700273</c:v>
                </c:pt>
                <c:pt idx="9">
                  <c:v>1.4059971970456828</c:v>
                </c:pt>
                <c:pt idx="10">
                  <c:v>1.3901304428890449</c:v>
                </c:pt>
                <c:pt idx="11">
                  <c:v>1.263823443396128</c:v>
                </c:pt>
                <c:pt idx="12">
                  <c:v>0.94292526194241133</c:v>
                </c:pt>
                <c:pt idx="13">
                  <c:v>0.67278726621110663</c:v>
                </c:pt>
                <c:pt idx="14">
                  <c:v>0.49676512525383898</c:v>
                </c:pt>
                <c:pt idx="15">
                  <c:v>0.33283860720339559</c:v>
                </c:pt>
                <c:pt idx="16">
                  <c:v>1.4130298095653673</c:v>
                </c:pt>
                <c:pt idx="17">
                  <c:v>1.4152365544646948</c:v>
                </c:pt>
                <c:pt idx="18">
                  <c:v>1.39835398642126</c:v>
                </c:pt>
                <c:pt idx="19">
                  <c:v>1.2750507255436359</c:v>
                </c:pt>
                <c:pt idx="20">
                  <c:v>0.95579606148996121</c:v>
                </c:pt>
                <c:pt idx="21">
                  <c:v>0.6833002209109037</c:v>
                </c:pt>
                <c:pt idx="22">
                  <c:v>0.5051054497903974</c:v>
                </c:pt>
                <c:pt idx="23">
                  <c:v>0.33859307723973592</c:v>
                </c:pt>
                <c:pt idx="24">
                  <c:v>1.4185956964288711</c:v>
                </c:pt>
                <c:pt idx="25">
                  <c:v>1.403255468417498</c:v>
                </c:pt>
                <c:pt idx="26">
                  <c:v>1.3811067641085937</c:v>
                </c:pt>
                <c:pt idx="27">
                  <c:v>1.2480396864070273</c:v>
                </c:pt>
                <c:pt idx="28">
                  <c:v>0.92689180095805523</c:v>
                </c:pt>
                <c:pt idx="29">
                  <c:v>0.65839601812660731</c:v>
                </c:pt>
                <c:pt idx="30">
                  <c:v>0.48491785357500183</c:v>
                </c:pt>
                <c:pt idx="31">
                  <c:v>0.32393194179449591</c:v>
                </c:pt>
                <c:pt idx="32">
                  <c:v>1.4294047241679002</c:v>
                </c:pt>
                <c:pt idx="33">
                  <c:v>1.414117430466687</c:v>
                </c:pt>
                <c:pt idx="34">
                  <c:v>1.3897483027814939</c:v>
                </c:pt>
                <c:pt idx="35">
                  <c:v>1.2547727146347898</c:v>
                </c:pt>
                <c:pt idx="36">
                  <c:v>0.92989174444554057</c:v>
                </c:pt>
                <c:pt idx="37">
                  <c:v>0.6589233277100518</c:v>
                </c:pt>
                <c:pt idx="38">
                  <c:v>0.48451808981107397</c:v>
                </c:pt>
                <c:pt idx="39">
                  <c:v>0.32247331195360157</c:v>
                </c:pt>
                <c:pt idx="40">
                  <c:v>1.4364401434431091</c:v>
                </c:pt>
                <c:pt idx="41">
                  <c:v>1.4219433768011727</c:v>
                </c:pt>
                <c:pt idx="42">
                  <c:v>1.3945795430259635</c:v>
                </c:pt>
                <c:pt idx="43">
                  <c:v>1.2565009689085878</c:v>
                </c:pt>
                <c:pt idx="44">
                  <c:v>0.93011359012213091</c:v>
                </c:pt>
                <c:pt idx="45">
                  <c:v>0.65808478074330468</c:v>
                </c:pt>
                <c:pt idx="46">
                  <c:v>0.4834182158883798</c:v>
                </c:pt>
                <c:pt idx="47">
                  <c:v>0.32132651275972879</c:v>
                </c:pt>
                <c:pt idx="48">
                  <c:v>1.3065505559596617</c:v>
                </c:pt>
                <c:pt idx="49">
                  <c:v>1.2252603136441909</c:v>
                </c:pt>
                <c:pt idx="50">
                  <c:v>1.0479539682416883</c:v>
                </c:pt>
                <c:pt idx="51">
                  <c:v>0.81357855771175314</c:v>
                </c:pt>
                <c:pt idx="52">
                  <c:v>0.53078715688078826</c:v>
                </c:pt>
                <c:pt idx="53">
                  <c:v>0.35100683274126737</c:v>
                </c:pt>
                <c:pt idx="54">
                  <c:v>0.24878840647027944</c:v>
                </c:pt>
                <c:pt idx="55">
                  <c:v>0.16117794366024149</c:v>
                </c:pt>
                <c:pt idx="56">
                  <c:v>1.3167082799229084</c:v>
                </c:pt>
                <c:pt idx="57">
                  <c:v>1.233768136208796</c:v>
                </c:pt>
                <c:pt idx="58">
                  <c:v>1.0552624503686001</c:v>
                </c:pt>
                <c:pt idx="59">
                  <c:v>0.81973522162580281</c:v>
                </c:pt>
                <c:pt idx="60">
                  <c:v>0.53497116577948922</c:v>
                </c:pt>
                <c:pt idx="61">
                  <c:v>0.35377589245248181</c:v>
                </c:pt>
                <c:pt idx="62">
                  <c:v>0.25075961122982748</c:v>
                </c:pt>
                <c:pt idx="63">
                  <c:v>0.16246388632251002</c:v>
                </c:pt>
                <c:pt idx="64">
                  <c:v>1.3272506690435109</c:v>
                </c:pt>
                <c:pt idx="65">
                  <c:v>1.2540848922275407</c:v>
                </c:pt>
                <c:pt idx="66">
                  <c:v>1.0894760698868615</c:v>
                </c:pt>
                <c:pt idx="67">
                  <c:v>0.86033757591896831</c:v>
                </c:pt>
                <c:pt idx="68">
                  <c:v>0.568771411223566</c:v>
                </c:pt>
                <c:pt idx="69">
                  <c:v>0.37835486062007928</c:v>
                </c:pt>
                <c:pt idx="70">
                  <c:v>0.26899331613889799</c:v>
                </c:pt>
                <c:pt idx="71">
                  <c:v>0.17470140203089382</c:v>
                </c:pt>
                <c:pt idx="72">
                  <c:v>1.3251458299703696</c:v>
                </c:pt>
                <c:pt idx="73">
                  <c:v>1.2716933942482687</c:v>
                </c:pt>
                <c:pt idx="74">
                  <c:v>1.1310859085261133</c:v>
                </c:pt>
                <c:pt idx="75">
                  <c:v>0.92017095672920657</c:v>
                </c:pt>
                <c:pt idx="76">
                  <c:v>0.62404209559881885</c:v>
                </c:pt>
                <c:pt idx="77">
                  <c:v>0.41993670056212712</c:v>
                </c:pt>
                <c:pt idx="78">
                  <c:v>0.30019006845575413</c:v>
                </c:pt>
                <c:pt idx="79">
                  <c:v>0.19583459287092428</c:v>
                </c:pt>
                <c:pt idx="80">
                  <c:v>1.2786446002396337</c:v>
                </c:pt>
                <c:pt idx="81">
                  <c:v>1.238984996074324</c:v>
                </c:pt>
                <c:pt idx="82">
                  <c:v>1.1015038481414843</c:v>
                </c:pt>
                <c:pt idx="83">
                  <c:v>0.91903021532603701</c:v>
                </c:pt>
                <c:pt idx="84">
                  <c:v>0.63994217805803011</c:v>
                </c:pt>
                <c:pt idx="85">
                  <c:v>0.43507691972000961</c:v>
                </c:pt>
                <c:pt idx="86">
                  <c:v>0.31224138249542915</c:v>
                </c:pt>
                <c:pt idx="87">
                  <c:v>0.20427813397844849</c:v>
                </c:pt>
                <c:pt idx="88">
                  <c:v>1.2797586268038181</c:v>
                </c:pt>
                <c:pt idx="89">
                  <c:v>1.2349297908020764</c:v>
                </c:pt>
                <c:pt idx="90">
                  <c:v>1.0833494465810396</c:v>
                </c:pt>
                <c:pt idx="91">
                  <c:v>0.91728609726586463</c:v>
                </c:pt>
                <c:pt idx="92">
                  <c:v>0.6531211462077714</c:v>
                </c:pt>
                <c:pt idx="93">
                  <c:v>0.44868707670086622</c:v>
                </c:pt>
                <c:pt idx="94">
                  <c:v>0.32330786621705715</c:v>
                </c:pt>
                <c:pt idx="95">
                  <c:v>0.21201918455538163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AE4-8585-040958C4B60C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1.0428015636342893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0B-4AE4-8585-040958C4B60C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1.0350703382244055</c:v>
                </c:pt>
                <c:pt idx="1">
                  <c:v>1.0067961419749081</c:v>
                </c:pt>
                <c:pt idx="2">
                  <c:v>0.93895194387926151</c:v>
                </c:pt>
                <c:pt idx="3">
                  <c:v>0.78328148261202846</c:v>
                </c:pt>
                <c:pt idx="4">
                  <c:v>0.52309793272028826</c:v>
                </c:pt>
                <c:pt idx="5">
                  <c:v>0.34894465163639138</c:v>
                </c:pt>
                <c:pt idx="6">
                  <c:v>0.24861659608066097</c:v>
                </c:pt>
                <c:pt idx="7">
                  <c:v>0.16166366047560748</c:v>
                </c:pt>
                <c:pt idx="8">
                  <c:v>1.0457384980964739</c:v>
                </c:pt>
                <c:pt idx="9">
                  <c:v>1.0158523623811477</c:v>
                </c:pt>
                <c:pt idx="10">
                  <c:v>0.94492714349038742</c:v>
                </c:pt>
                <c:pt idx="11">
                  <c:v>0.78988297365749593</c:v>
                </c:pt>
                <c:pt idx="12">
                  <c:v>0.52933737494651467</c:v>
                </c:pt>
                <c:pt idx="13">
                  <c:v>0.35319842874255436</c:v>
                </c:pt>
                <c:pt idx="14">
                  <c:v>0.25160268948716613</c:v>
                </c:pt>
                <c:pt idx="15">
                  <c:v>0.16327162979063747</c:v>
                </c:pt>
                <c:pt idx="16">
                  <c:v>1.0517018580986368</c:v>
                </c:pt>
                <c:pt idx="17">
                  <c:v>1.0200360064370457</c:v>
                </c:pt>
                <c:pt idx="18">
                  <c:v>0.94642914462438454</c:v>
                </c:pt>
                <c:pt idx="19">
                  <c:v>0.79273230903830294</c:v>
                </c:pt>
                <c:pt idx="20">
                  <c:v>0.53181188898444887</c:v>
                </c:pt>
                <c:pt idx="21">
                  <c:v>0.35472428925186705</c:v>
                </c:pt>
                <c:pt idx="22">
                  <c:v>0.25264358372019052</c:v>
                </c:pt>
                <c:pt idx="23">
                  <c:v>0.16365653925253662</c:v>
                </c:pt>
                <c:pt idx="24">
                  <c:v>1.0610089301893249</c:v>
                </c:pt>
                <c:pt idx="25">
                  <c:v>1.027728901724632</c:v>
                </c:pt>
                <c:pt idx="26">
                  <c:v>0.95136315890360923</c:v>
                </c:pt>
                <c:pt idx="27">
                  <c:v>0.7970533639390287</c:v>
                </c:pt>
                <c:pt idx="28">
                  <c:v>0.53547257815660343</c:v>
                </c:pt>
                <c:pt idx="29">
                  <c:v>0.35702558706919085</c:v>
                </c:pt>
                <c:pt idx="30">
                  <c:v>0.2542046448074135</c:v>
                </c:pt>
                <c:pt idx="31">
                  <c:v>0.16420305770188023</c:v>
                </c:pt>
                <c:pt idx="32">
                  <c:v>1.070006851283994</c:v>
                </c:pt>
                <c:pt idx="33">
                  <c:v>1.0362985076836908</c:v>
                </c:pt>
                <c:pt idx="34">
                  <c:v>0.95702439536776374</c:v>
                </c:pt>
                <c:pt idx="35">
                  <c:v>0.80091932737395133</c:v>
                </c:pt>
                <c:pt idx="36">
                  <c:v>0.53794386597023791</c:v>
                </c:pt>
                <c:pt idx="37">
                  <c:v>0.35853552951059708</c:v>
                </c:pt>
                <c:pt idx="38">
                  <c:v>0.25522199700608844</c:v>
                </c:pt>
                <c:pt idx="39">
                  <c:v>0.16454330706888848</c:v>
                </c:pt>
                <c:pt idx="40">
                  <c:v>1.0766047843832498</c:v>
                </c:pt>
                <c:pt idx="41">
                  <c:v>1.0431917657654293</c:v>
                </c:pt>
                <c:pt idx="42">
                  <c:v>0.96067239548344774</c:v>
                </c:pt>
                <c:pt idx="43">
                  <c:v>0.80293869933576856</c:v>
                </c:pt>
                <c:pt idx="44">
                  <c:v>0.53894614631937043</c:v>
                </c:pt>
                <c:pt idx="45">
                  <c:v>0.35913207805546982</c:v>
                </c:pt>
                <c:pt idx="46">
                  <c:v>0.25562725631167627</c:v>
                </c:pt>
                <c:pt idx="47">
                  <c:v>0.16470907928551759</c:v>
                </c:pt>
                <c:pt idx="48">
                  <c:v>1.0369466776658174</c:v>
                </c:pt>
                <c:pt idx="49">
                  <c:v>1.0010446227981542</c:v>
                </c:pt>
                <c:pt idx="50">
                  <c:v>0.91706680583339972</c:v>
                </c:pt>
                <c:pt idx="51">
                  <c:v>0.75226156492347396</c:v>
                </c:pt>
                <c:pt idx="52">
                  <c:v>0.50879815564599185</c:v>
                </c:pt>
                <c:pt idx="53">
                  <c:v>0.34126215182246283</c:v>
                </c:pt>
                <c:pt idx="54">
                  <c:v>0.24363987663076087</c:v>
                </c:pt>
                <c:pt idx="55">
                  <c:v>0.15827386239203484</c:v>
                </c:pt>
                <c:pt idx="56">
                  <c:v>1.042305294930153</c:v>
                </c:pt>
                <c:pt idx="57">
                  <c:v>1.0058135434836335</c:v>
                </c:pt>
                <c:pt idx="58">
                  <c:v>0.92106553708459427</c:v>
                </c:pt>
                <c:pt idx="59">
                  <c:v>0.75531607713462567</c:v>
                </c:pt>
                <c:pt idx="60">
                  <c:v>0.5111909386683311</c:v>
                </c:pt>
                <c:pt idx="61">
                  <c:v>0.3429972212242593</c:v>
                </c:pt>
                <c:pt idx="62">
                  <c:v>0.24491338858414322</c:v>
                </c:pt>
                <c:pt idx="63">
                  <c:v>0.15908379970615905</c:v>
                </c:pt>
                <c:pt idx="64">
                  <c:v>1.0438429143577228</c:v>
                </c:pt>
                <c:pt idx="65">
                  <c:v>1.0075163853647617</c:v>
                </c:pt>
                <c:pt idx="66">
                  <c:v>0.92274191302042741</c:v>
                </c:pt>
                <c:pt idx="67">
                  <c:v>0.75673071738595177</c:v>
                </c:pt>
                <c:pt idx="68">
                  <c:v>0.51293632601451378</c:v>
                </c:pt>
                <c:pt idx="69">
                  <c:v>0.34439801120002145</c:v>
                </c:pt>
                <c:pt idx="70">
                  <c:v>0.24597670380226236</c:v>
                </c:pt>
                <c:pt idx="71">
                  <c:v>0.15980479530588157</c:v>
                </c:pt>
                <c:pt idx="72">
                  <c:v>1.0316393591592501</c:v>
                </c:pt>
                <c:pt idx="73">
                  <c:v>0.99935345326077796</c:v>
                </c:pt>
                <c:pt idx="74">
                  <c:v>0.91759817951470612</c:v>
                </c:pt>
                <c:pt idx="75">
                  <c:v>0.75381806143802399</c:v>
                </c:pt>
                <c:pt idx="76">
                  <c:v>0.51475552763170862</c:v>
                </c:pt>
                <c:pt idx="77">
                  <c:v>0.34655373812612261</c:v>
                </c:pt>
                <c:pt idx="78">
                  <c:v>0.24778985837406073</c:v>
                </c:pt>
                <c:pt idx="79">
                  <c:v>0.16168882319224687</c:v>
                </c:pt>
                <c:pt idx="80">
                  <c:v>0.9882931115075988</c:v>
                </c:pt>
                <c:pt idx="81">
                  <c:v>0.96272298800441392</c:v>
                </c:pt>
                <c:pt idx="82">
                  <c:v>0.89269230829704138</c:v>
                </c:pt>
                <c:pt idx="83">
                  <c:v>0.7343381630046143</c:v>
                </c:pt>
                <c:pt idx="84">
                  <c:v>0.51362748808014935</c:v>
                </c:pt>
                <c:pt idx="85">
                  <c:v>0.3487624805140645</c:v>
                </c:pt>
                <c:pt idx="86">
                  <c:v>0.25016380893375362</c:v>
                </c:pt>
                <c:pt idx="87">
                  <c:v>0.16358438127915242</c:v>
                </c:pt>
                <c:pt idx="88">
                  <c:v>0.97988818826616997</c:v>
                </c:pt>
                <c:pt idx="89">
                  <c:v>0.94998781827457102</c:v>
                </c:pt>
                <c:pt idx="90">
                  <c:v>0.88438936035321991</c:v>
                </c:pt>
                <c:pt idx="91">
                  <c:v>0.7193514474209598</c:v>
                </c:pt>
                <c:pt idx="92">
                  <c:v>0.51406721011833756</c:v>
                </c:pt>
                <c:pt idx="93">
                  <c:v>0.35254371020078373</c:v>
                </c:pt>
                <c:pt idx="94">
                  <c:v>0.25374297488962633</c:v>
                </c:pt>
                <c:pt idx="95">
                  <c:v>0.16629268531738728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B-4AE4-8585-040958C4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Sheet1!$H$4</c:f>
              <c:strCache>
                <c:ptCount val="1"/>
                <c:pt idx="0">
                  <c:v>flg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Sheet1!$G$5:$G$292</c:f>
              <c:numCache>
                <c:formatCode>General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Sheet1!$H$5:$H$292</c:f>
              <c:numCache>
                <c:formatCode>General</c:formatCode>
                <c:ptCount val="288"/>
                <c:pt idx="0">
                  <c:v>0.83573275569877326</c:v>
                </c:pt>
                <c:pt idx="1">
                  <c:v>0.83958350115608693</c:v>
                </c:pt>
                <c:pt idx="2">
                  <c:v>0.87394191465324378</c:v>
                </c:pt>
                <c:pt idx="3">
                  <c:v>0.87698301612798524</c:v>
                </c:pt>
                <c:pt idx="4">
                  <c:v>0.87039574024754796</c:v>
                </c:pt>
                <c:pt idx="5">
                  <c:v>0.8662289031913859</c:v>
                </c:pt>
                <c:pt idx="6">
                  <c:v>0.86463555700762518</c:v>
                </c:pt>
                <c:pt idx="7">
                  <c:v>0.8611742522994239</c:v>
                </c:pt>
                <c:pt idx="8">
                  <c:v>0.92481179998245888</c:v>
                </c:pt>
                <c:pt idx="9">
                  <c:v>0.93476949670524334</c:v>
                </c:pt>
                <c:pt idx="10">
                  <c:v>0.97016048641206398</c:v>
                </c:pt>
                <c:pt idx="11">
                  <c:v>0.9755301771143805</c:v>
                </c:pt>
                <c:pt idx="12">
                  <c:v>0.96780304473474543</c:v>
                </c:pt>
                <c:pt idx="13">
                  <c:v>0.96376475504348258</c:v>
                </c:pt>
                <c:pt idx="14">
                  <c:v>0.9624009103237704</c:v>
                </c:pt>
                <c:pt idx="15">
                  <c:v>0.95836628325951279</c:v>
                </c:pt>
                <c:pt idx="16">
                  <c:v>0.93708444925492129</c:v>
                </c:pt>
                <c:pt idx="17">
                  <c:v>0.94923693703329826</c:v>
                </c:pt>
                <c:pt idx="18">
                  <c:v>0.99532950715100099</c:v>
                </c:pt>
                <c:pt idx="19">
                  <c:v>0.9934021246471596</c:v>
                </c:pt>
                <c:pt idx="20">
                  <c:v>0.98558080078586285</c:v>
                </c:pt>
                <c:pt idx="21">
                  <c:v>0.98234046934903363</c:v>
                </c:pt>
                <c:pt idx="22">
                  <c:v>0.98115749414995379</c:v>
                </c:pt>
                <c:pt idx="23">
                  <c:v>0.977164138280044</c:v>
                </c:pt>
                <c:pt idx="24">
                  <c:v>1.0030500553571471</c:v>
                </c:pt>
                <c:pt idx="25">
                  <c:v>1.0461504181072769</c:v>
                </c:pt>
                <c:pt idx="26">
                  <c:v>1.1167694034247846</c:v>
                </c:pt>
                <c:pt idx="27">
                  <c:v>1.1232110015575614</c:v>
                </c:pt>
                <c:pt idx="28">
                  <c:v>1.120401705403997</c:v>
                </c:pt>
                <c:pt idx="29">
                  <c:v>1.1190628727815295</c:v>
                </c:pt>
                <c:pt idx="30">
                  <c:v>1.1186678010135134</c:v>
                </c:pt>
                <c:pt idx="31">
                  <c:v>1.1155727406746716</c:v>
                </c:pt>
                <c:pt idx="32">
                  <c:v>0.98892643761899113</c:v>
                </c:pt>
                <c:pt idx="33">
                  <c:v>1.0282455922945244</c:v>
                </c:pt>
                <c:pt idx="34">
                  <c:v>1.1073114704521434</c:v>
                </c:pt>
                <c:pt idx="35">
                  <c:v>1.1508551166059751</c:v>
                </c:pt>
                <c:pt idx="36">
                  <c:v>1.1972922734217872</c:v>
                </c:pt>
                <c:pt idx="37">
                  <c:v>1.2038405163539616</c:v>
                </c:pt>
                <c:pt idx="38">
                  <c:v>1.2049918559937227</c:v>
                </c:pt>
                <c:pt idx="39">
                  <c:v>1.2051051845869043</c:v>
                </c:pt>
                <c:pt idx="40">
                  <c:v>0.97861977603142059</c:v>
                </c:pt>
                <c:pt idx="41">
                  <c:v>1.0067060303637687</c:v>
                </c:pt>
                <c:pt idx="42">
                  <c:v>1.0617454183345896</c:v>
                </c:pt>
                <c:pt idx="43">
                  <c:v>1.0989619391165721</c:v>
                </c:pt>
                <c:pt idx="44">
                  <c:v>1.174609243829341</c:v>
                </c:pt>
                <c:pt idx="45">
                  <c:v>1.1980226345355027</c:v>
                </c:pt>
                <c:pt idx="46">
                  <c:v>1.2036948102411857</c:v>
                </c:pt>
                <c:pt idx="47">
                  <c:v>1.2074691623621778</c:v>
                </c:pt>
                <c:pt idx="48">
                  <c:v>0.87289151915531404</c:v>
                </c:pt>
                <c:pt idx="49">
                  <c:v>0.8853523129028783</c:v>
                </c:pt>
                <c:pt idx="50">
                  <c:v>0.90266712960277251</c:v>
                </c:pt>
                <c:pt idx="51">
                  <c:v>0.8991421724817229</c:v>
                </c:pt>
                <c:pt idx="52">
                  <c:v>0.90554635554863661</c:v>
                </c:pt>
                <c:pt idx="53">
                  <c:v>0.9057240408295345</c:v>
                </c:pt>
                <c:pt idx="54">
                  <c:v>0.90575310680391585</c:v>
                </c:pt>
                <c:pt idx="55">
                  <c:v>0.90653448624848376</c:v>
                </c:pt>
                <c:pt idx="56">
                  <c:v>0.92211665552241473</c:v>
                </c:pt>
                <c:pt idx="57">
                  <c:v>0.96938172784610721</c:v>
                </c:pt>
                <c:pt idx="58">
                  <c:v>0.95914295669548744</c:v>
                </c:pt>
                <c:pt idx="59">
                  <c:v>0.95320802681564964</c:v>
                </c:pt>
                <c:pt idx="60">
                  <c:v>0.96611952818699298</c:v>
                </c:pt>
                <c:pt idx="61">
                  <c:v>0.96857363590908974</c:v>
                </c:pt>
                <c:pt idx="62">
                  <c:v>0.96931342947052057</c:v>
                </c:pt>
                <c:pt idx="63">
                  <c:v>0.97149634309696564</c:v>
                </c:pt>
                <c:pt idx="64">
                  <c:v>0.95057753033403525</c:v>
                </c:pt>
                <c:pt idx="65">
                  <c:v>0.99167728679837241</c:v>
                </c:pt>
                <c:pt idx="66">
                  <c:v>0.99186163640006553</c:v>
                </c:pt>
                <c:pt idx="67">
                  <c:v>0.98482505718835411</c:v>
                </c:pt>
                <c:pt idx="68">
                  <c:v>1.0041620709536518</c:v>
                </c:pt>
                <c:pt idx="69">
                  <c:v>1.0091222702907683</c:v>
                </c:pt>
                <c:pt idx="70">
                  <c:v>1.0107589885719299</c:v>
                </c:pt>
                <c:pt idx="71">
                  <c:v>1.0144089241179186</c:v>
                </c:pt>
                <c:pt idx="72">
                  <c:v>1.0095527533479247</c:v>
                </c:pt>
                <c:pt idx="73">
                  <c:v>1.0741800183280819</c:v>
                </c:pt>
                <c:pt idx="74">
                  <c:v>1.1070084257668173</c:v>
                </c:pt>
                <c:pt idx="75">
                  <c:v>1.1240519947733281</c:v>
                </c:pt>
                <c:pt idx="76">
                  <c:v>1.1642691975311368</c:v>
                </c:pt>
                <c:pt idx="77">
                  <c:v>1.1823656809107386</c:v>
                </c:pt>
                <c:pt idx="78">
                  <c:v>1.188610935836643</c:v>
                </c:pt>
                <c:pt idx="79">
                  <c:v>1.1950526707499711</c:v>
                </c:pt>
                <c:pt idx="80">
                  <c:v>0.97980400391029798</c:v>
                </c:pt>
                <c:pt idx="81">
                  <c:v>1.0205911188655339</c:v>
                </c:pt>
                <c:pt idx="82">
                  <c:v>1.0704030952011978</c:v>
                </c:pt>
                <c:pt idx="83">
                  <c:v>1.1102326249433569</c:v>
                </c:pt>
                <c:pt idx="84">
                  <c:v>1.2443519659723461</c:v>
                </c:pt>
                <c:pt idx="85">
                  <c:v>1.3321724578481891</c:v>
                </c:pt>
                <c:pt idx="86">
                  <c:v>1.3685131282767748</c:v>
                </c:pt>
                <c:pt idx="87">
                  <c:v>1.3963421087933217</c:v>
                </c:pt>
                <c:pt idx="88">
                  <c:v>0.94268637734571137</c:v>
                </c:pt>
                <c:pt idx="89">
                  <c:v>0.97497020534097545</c:v>
                </c:pt>
                <c:pt idx="90">
                  <c:v>0.98385264208557266</c:v>
                </c:pt>
                <c:pt idx="91">
                  <c:v>0.97378735322300991</c:v>
                </c:pt>
                <c:pt idx="92">
                  <c:v>1.0827948117655137</c:v>
                </c:pt>
                <c:pt idx="93">
                  <c:v>1.218715174879007</c:v>
                </c:pt>
                <c:pt idx="94">
                  <c:v>1.3132921918665295</c:v>
                </c:pt>
                <c:pt idx="95">
                  <c:v>1.4047764335741024</c:v>
                </c:pt>
                <c:pt idx="96">
                  <c:v>0.78822948602151488</c:v>
                </c:pt>
                <c:pt idx="97">
                  <c:v>0.78432670634655777</c:v>
                </c:pt>
                <c:pt idx="98">
                  <c:v>0.8228673022855062</c:v>
                </c:pt>
                <c:pt idx="99">
                  <c:v>0.83279933205598267</c:v>
                </c:pt>
                <c:pt idx="100">
                  <c:v>0.8672061156014953</c:v>
                </c:pt>
                <c:pt idx="101">
                  <c:v>0.8692370672908275</c:v>
                </c:pt>
                <c:pt idx="102">
                  <c:v>0.86223480703988808</c:v>
                </c:pt>
                <c:pt idx="103">
                  <c:v>0.86500724296577236</c:v>
                </c:pt>
                <c:pt idx="104">
                  <c:v>0.85009150352089891</c:v>
                </c:pt>
                <c:pt idx="105">
                  <c:v>0.84561901306650444</c:v>
                </c:pt>
                <c:pt idx="106">
                  <c:v>0.88484482325131208</c:v>
                </c:pt>
                <c:pt idx="107">
                  <c:v>0.89462727368440642</c:v>
                </c:pt>
                <c:pt idx="108">
                  <c:v>0.93801851460489671</c:v>
                </c:pt>
                <c:pt idx="109">
                  <c:v>0.94010754749194447</c:v>
                </c:pt>
                <c:pt idx="110">
                  <c:v>0.92985620685936698</c:v>
                </c:pt>
                <c:pt idx="111">
                  <c:v>0.93035504322121132</c:v>
                </c:pt>
                <c:pt idx="112">
                  <c:v>0.86165880477826873</c:v>
                </c:pt>
                <c:pt idx="113">
                  <c:v>0.86221131904132309</c:v>
                </c:pt>
                <c:pt idx="114">
                  <c:v>0.8989387394905255</c:v>
                </c:pt>
                <c:pt idx="115">
                  <c:v>0.91169290174034723</c:v>
                </c:pt>
                <c:pt idx="116">
                  <c:v>0.96037152408315418</c:v>
                </c:pt>
                <c:pt idx="117">
                  <c:v>0.96332947814817604</c:v>
                </c:pt>
                <c:pt idx="118">
                  <c:v>0.95112042473177072</c:v>
                </c:pt>
                <c:pt idx="119">
                  <c:v>0.95037100071941527</c:v>
                </c:pt>
                <c:pt idx="120">
                  <c:v>0.87019082342736032</c:v>
                </c:pt>
                <c:pt idx="121">
                  <c:v>0.90522229116932607</c:v>
                </c:pt>
                <c:pt idx="122">
                  <c:v>0.96200992089599024</c:v>
                </c:pt>
                <c:pt idx="123">
                  <c:v>0.99188947409077644</c:v>
                </c:pt>
                <c:pt idx="124">
                  <c:v>1.0578184149745795</c:v>
                </c:pt>
                <c:pt idx="125">
                  <c:v>1.0648419888525475</c:v>
                </c:pt>
                <c:pt idx="126">
                  <c:v>1.0488344921021784</c:v>
                </c:pt>
                <c:pt idx="127">
                  <c:v>1.0455624762831761</c:v>
                </c:pt>
                <c:pt idx="128">
                  <c:v>0.86397130024629065</c:v>
                </c:pt>
                <c:pt idx="129">
                  <c:v>0.87469619546463095</c:v>
                </c:pt>
                <c:pt idx="130">
                  <c:v>0.91608055835076618</c:v>
                </c:pt>
                <c:pt idx="131">
                  <c:v>0.97062842091001766</c:v>
                </c:pt>
                <c:pt idx="132">
                  <c:v>1.0743794227667074</c:v>
                </c:pt>
                <c:pt idx="133">
                  <c:v>1.0925934508158242</c:v>
                </c:pt>
                <c:pt idx="134">
                  <c:v>1.0744024041475393</c:v>
                </c:pt>
                <c:pt idx="135">
                  <c:v>1.0691109869829696</c:v>
                </c:pt>
                <c:pt idx="136">
                  <c:v>0.86194494040745717</c:v>
                </c:pt>
                <c:pt idx="137">
                  <c:v>0.86133079136215129</c:v>
                </c:pt>
                <c:pt idx="138">
                  <c:v>0.87814700841647442</c:v>
                </c:pt>
                <c:pt idx="139">
                  <c:v>0.93199503520191707</c:v>
                </c:pt>
                <c:pt idx="140">
                  <c:v>1.0541571986381719</c:v>
                </c:pt>
                <c:pt idx="141">
                  <c:v>1.0947671563347796</c:v>
                </c:pt>
                <c:pt idx="142">
                  <c:v>1.077313042277523</c:v>
                </c:pt>
                <c:pt idx="143">
                  <c:v>1.070714315594522</c:v>
                </c:pt>
                <c:pt idx="144">
                  <c:v>0.84684422631016165</c:v>
                </c:pt>
                <c:pt idx="145">
                  <c:v>0.82449627689330829</c:v>
                </c:pt>
                <c:pt idx="146">
                  <c:v>0.81299629170261567</c:v>
                </c:pt>
                <c:pt idx="147">
                  <c:v>0.84351067639237653</c:v>
                </c:pt>
                <c:pt idx="148">
                  <c:v>0.91048107651651589</c:v>
                </c:pt>
                <c:pt idx="149">
                  <c:v>0.92060676694830446</c:v>
                </c:pt>
                <c:pt idx="150">
                  <c:v>0.90142636768629991</c:v>
                </c:pt>
                <c:pt idx="151">
                  <c:v>0.89389105588166096</c:v>
                </c:pt>
                <c:pt idx="152">
                  <c:v>0.84785998401553264</c:v>
                </c:pt>
                <c:pt idx="153">
                  <c:v>0.8370664959912163</c:v>
                </c:pt>
                <c:pt idx="154">
                  <c:v>0.83134174970147201</c:v>
                </c:pt>
                <c:pt idx="155">
                  <c:v>0.8595863736103504</c:v>
                </c:pt>
                <c:pt idx="156">
                  <c:v>0.93139066087684375</c:v>
                </c:pt>
                <c:pt idx="157">
                  <c:v>0.94704799604412504</c:v>
                </c:pt>
                <c:pt idx="158">
                  <c:v>0.92879527232714976</c:v>
                </c:pt>
                <c:pt idx="159">
                  <c:v>0.92186553134495353</c:v>
                </c:pt>
                <c:pt idx="160">
                  <c:v>0.84706245057966556</c:v>
                </c:pt>
                <c:pt idx="161">
                  <c:v>0.85567071240966586</c:v>
                </c:pt>
                <c:pt idx="162">
                  <c:v>0.86520348219316823</c:v>
                </c:pt>
                <c:pt idx="163">
                  <c:v>0.89383974865964633</c:v>
                </c:pt>
                <c:pt idx="164">
                  <c:v>0.97367220460602155</c:v>
                </c:pt>
                <c:pt idx="165">
                  <c:v>0.99576978757300949</c:v>
                </c:pt>
                <c:pt idx="166">
                  <c:v>0.97814217998978514</c:v>
                </c:pt>
                <c:pt idx="167">
                  <c:v>0.97139913814416157</c:v>
                </c:pt>
                <c:pt idx="168">
                  <c:v>0.84596454413262578</c:v>
                </c:pt>
                <c:pt idx="169">
                  <c:v>0.88257937452915725</c:v>
                </c:pt>
                <c:pt idx="170">
                  <c:v>0.93576123694296987</c:v>
                </c:pt>
                <c:pt idx="171">
                  <c:v>0.98238690576220455</c:v>
                </c:pt>
                <c:pt idx="172">
                  <c:v>1.0974482125569518</c:v>
                </c:pt>
                <c:pt idx="173">
                  <c:v>1.1480209872637253</c:v>
                </c:pt>
                <c:pt idx="174">
                  <c:v>1.1357394122621103</c:v>
                </c:pt>
                <c:pt idx="175">
                  <c:v>1.1304768205433189</c:v>
                </c:pt>
                <c:pt idx="176">
                  <c:v>0.83314956468108226</c:v>
                </c:pt>
                <c:pt idx="177">
                  <c:v>0.85352107158563217</c:v>
                </c:pt>
                <c:pt idx="178">
                  <c:v>0.87736375873089634</c:v>
                </c:pt>
                <c:pt idx="179">
                  <c:v>0.92525670234520063</c:v>
                </c:pt>
                <c:pt idx="180">
                  <c:v>1.0917282721502326</c:v>
                </c:pt>
                <c:pt idx="181">
                  <c:v>1.2223474736185891</c:v>
                </c:pt>
                <c:pt idx="182">
                  <c:v>1.2692385897168403</c:v>
                </c:pt>
                <c:pt idx="183">
                  <c:v>1.2906260520306219</c:v>
                </c:pt>
                <c:pt idx="184">
                  <c:v>0.82133822462154926</c:v>
                </c:pt>
                <c:pt idx="185">
                  <c:v>0.84477386040973035</c:v>
                </c:pt>
                <c:pt idx="186">
                  <c:v>0.8286195718191105</c:v>
                </c:pt>
                <c:pt idx="187">
                  <c:v>0.8223863969000359</c:v>
                </c:pt>
                <c:pt idx="188">
                  <c:v>0.93291259228828505</c:v>
                </c:pt>
                <c:pt idx="189">
                  <c:v>1.0572664948872892</c:v>
                </c:pt>
                <c:pt idx="190">
                  <c:v>1.1382879242426307</c:v>
                </c:pt>
                <c:pt idx="191">
                  <c:v>1.2161616816880965</c:v>
                </c:pt>
                <c:pt idx="192">
                  <c:v>0.89590123199620175</c:v>
                </c:pt>
                <c:pt idx="193">
                  <c:v>0.89126471711312749</c:v>
                </c:pt>
                <c:pt idx="194">
                  <c:v>0.98156200977668562</c:v>
                </c:pt>
                <c:pt idx="195">
                  <c:v>0.99420048998826238</c:v>
                </c:pt>
                <c:pt idx="196">
                  <c:v>0.96472956746318728</c:v>
                </c:pt>
                <c:pt idx="197">
                  <c:v>0.96276174571254525</c:v>
                </c:pt>
                <c:pt idx="198">
                  <c:v>0.99798867004350678</c:v>
                </c:pt>
                <c:pt idx="199">
                  <c:v>1.0246496441711372</c:v>
                </c:pt>
                <c:pt idx="200">
                  <c:v>0.92564800800691716</c:v>
                </c:pt>
                <c:pt idx="201">
                  <c:v>0.93237394901727189</c:v>
                </c:pt>
                <c:pt idx="202">
                  <c:v>1.0178065995708752</c:v>
                </c:pt>
                <c:pt idx="203">
                  <c:v>1.0260653090109739</c:v>
                </c:pt>
                <c:pt idx="204">
                  <c:v>1.0013591878646941</c:v>
                </c:pt>
                <c:pt idx="205">
                  <c:v>0.99551076415674766</c:v>
                </c:pt>
                <c:pt idx="206">
                  <c:v>1.0234111022040302</c:v>
                </c:pt>
                <c:pt idx="207">
                  <c:v>1.0438346064004513</c:v>
                </c:pt>
                <c:pt idx="208">
                  <c:v>0.93833769965854519</c:v>
                </c:pt>
                <c:pt idx="209">
                  <c:v>0.96378207424253404</c:v>
                </c:pt>
                <c:pt idx="210">
                  <c:v>1.04311164590338</c:v>
                </c:pt>
                <c:pt idx="211">
                  <c:v>1.0503976865290658</c:v>
                </c:pt>
                <c:pt idx="212">
                  <c:v>1.0284211916956814</c:v>
                </c:pt>
                <c:pt idx="213">
                  <c:v>1.02254722835955</c:v>
                </c:pt>
                <c:pt idx="214">
                  <c:v>1.0458773686793514</c:v>
                </c:pt>
                <c:pt idx="215">
                  <c:v>1.0628278106967588</c:v>
                </c:pt>
                <c:pt idx="216">
                  <c:v>0.94351114235224676</c:v>
                </c:pt>
                <c:pt idx="217">
                  <c:v>1.012714394352777</c:v>
                </c:pt>
                <c:pt idx="218">
                  <c:v>1.1020313006750613</c:v>
                </c:pt>
                <c:pt idx="219">
                  <c:v>1.118016388816679</c:v>
                </c:pt>
                <c:pt idx="220">
                  <c:v>1.1044012593785235</c:v>
                </c:pt>
                <c:pt idx="221">
                  <c:v>1.1004039066269315</c:v>
                </c:pt>
                <c:pt idx="222">
                  <c:v>1.1195897775821431</c:v>
                </c:pt>
                <c:pt idx="223">
                  <c:v>1.1331585102993571</c:v>
                </c:pt>
                <c:pt idx="224">
                  <c:v>0.93847947525215347</c:v>
                </c:pt>
                <c:pt idx="225">
                  <c:v>0.98862744420548465</c:v>
                </c:pt>
                <c:pt idx="226">
                  <c:v>1.0653015435735493</c:v>
                </c:pt>
                <c:pt idx="227">
                  <c:v>1.0964597040050403</c:v>
                </c:pt>
                <c:pt idx="228">
                  <c:v>1.1167466385637022</c:v>
                </c:pt>
                <c:pt idx="229">
                  <c:v>1.1240117618866656</c:v>
                </c:pt>
                <c:pt idx="230">
                  <c:v>1.1391435181259117</c:v>
                </c:pt>
                <c:pt idx="231">
                  <c:v>1.1492786070576391</c:v>
                </c:pt>
                <c:pt idx="232">
                  <c:v>0.93693946977928155</c:v>
                </c:pt>
                <c:pt idx="233">
                  <c:v>0.97950184719836975</c:v>
                </c:pt>
                <c:pt idx="234">
                  <c:v>1.0385534410869524</c:v>
                </c:pt>
                <c:pt idx="235">
                  <c:v>1.0632239308499436</c:v>
                </c:pt>
                <c:pt idx="236">
                  <c:v>1.0995847929737468</c:v>
                </c:pt>
                <c:pt idx="237">
                  <c:v>1.1249801196397238</c:v>
                </c:pt>
                <c:pt idx="238">
                  <c:v>1.1391353240320332</c:v>
                </c:pt>
                <c:pt idx="239">
                  <c:v>1.1470478771454244</c:v>
                </c:pt>
                <c:pt idx="240">
                  <c:v>0.92049283031901918</c:v>
                </c:pt>
                <c:pt idx="241">
                  <c:v>0.93483771478174127</c:v>
                </c:pt>
                <c:pt idx="242">
                  <c:v>0.98958977592293884</c:v>
                </c:pt>
                <c:pt idx="243">
                  <c:v>0.97895187433665853</c:v>
                </c:pt>
                <c:pt idx="244">
                  <c:v>0.9696908010021813</c:v>
                </c:pt>
                <c:pt idx="245">
                  <c:v>0.96881287773722113</c:v>
                </c:pt>
                <c:pt idx="246">
                  <c:v>0.97698480468864513</c:v>
                </c:pt>
                <c:pt idx="247">
                  <c:v>0.98284201874430033</c:v>
                </c:pt>
                <c:pt idx="248">
                  <c:v>0.92166768178591219</c:v>
                </c:pt>
                <c:pt idx="249">
                  <c:v>0.94242058924416172</c:v>
                </c:pt>
                <c:pt idx="250">
                  <c:v>1.006973222345221</c:v>
                </c:pt>
                <c:pt idx="251">
                  <c:v>0.99278992592970972</c:v>
                </c:pt>
                <c:pt idx="252">
                  <c:v>0.98697263397425183</c:v>
                </c:pt>
                <c:pt idx="253">
                  <c:v>0.99202000335418505</c:v>
                </c:pt>
                <c:pt idx="254">
                  <c:v>1.0017132469377052</c:v>
                </c:pt>
                <c:pt idx="255">
                  <c:v>1.0079239117261005</c:v>
                </c:pt>
                <c:pt idx="256">
                  <c:v>0.91777932371063076</c:v>
                </c:pt>
                <c:pt idx="257">
                  <c:v>0.96056536692138594</c:v>
                </c:pt>
                <c:pt idx="258">
                  <c:v>1.0467202973612959</c:v>
                </c:pt>
                <c:pt idx="259">
                  <c:v>1.0300213026055376</c:v>
                </c:pt>
                <c:pt idx="260">
                  <c:v>1.029700439437472</c:v>
                </c:pt>
                <c:pt idx="261">
                  <c:v>1.0414833685872376</c:v>
                </c:pt>
                <c:pt idx="262">
                  <c:v>1.0532056816853614</c:v>
                </c:pt>
                <c:pt idx="263">
                  <c:v>1.0602730202836754</c:v>
                </c:pt>
                <c:pt idx="264">
                  <c:v>0.91635642729348599</c:v>
                </c:pt>
                <c:pt idx="265">
                  <c:v>0.98629337369463688</c:v>
                </c:pt>
                <c:pt idx="266">
                  <c:v>1.1231194383044436</c:v>
                </c:pt>
                <c:pt idx="267">
                  <c:v>1.1242063653776238</c:v>
                </c:pt>
                <c:pt idx="268">
                  <c:v>1.1520124340321165</c:v>
                </c:pt>
                <c:pt idx="269">
                  <c:v>1.1925998574674825</c:v>
                </c:pt>
                <c:pt idx="270">
                  <c:v>1.214742640324906</c:v>
                </c:pt>
                <c:pt idx="271">
                  <c:v>1.2260389029208716</c:v>
                </c:pt>
                <c:pt idx="272">
                  <c:v>0.9035324720711867</c:v>
                </c:pt>
                <c:pt idx="273">
                  <c:v>0.95471008280857828</c:v>
                </c:pt>
                <c:pt idx="274">
                  <c:v>1.0659703277222221</c:v>
                </c:pt>
                <c:pt idx="275">
                  <c:v>1.0649548146904824</c:v>
                </c:pt>
                <c:pt idx="276">
                  <c:v>1.1451899920653652</c:v>
                </c:pt>
                <c:pt idx="277">
                  <c:v>1.2624826177411099</c:v>
                </c:pt>
                <c:pt idx="278">
                  <c:v>1.3402610346866022</c:v>
                </c:pt>
                <c:pt idx="279">
                  <c:v>1.381056009325754</c:v>
                </c:pt>
                <c:pt idx="280">
                  <c:v>0.88835673589373487</c:v>
                </c:pt>
                <c:pt idx="281">
                  <c:v>0.94337482669613149</c:v>
                </c:pt>
                <c:pt idx="282">
                  <c:v>1.0000146676122608</c:v>
                </c:pt>
                <c:pt idx="283">
                  <c:v>0.95174144385102488</c:v>
                </c:pt>
                <c:pt idx="284">
                  <c:v>0.98834589686798691</c:v>
                </c:pt>
                <c:pt idx="285">
                  <c:v>1.100992707579211</c:v>
                </c:pt>
                <c:pt idx="286">
                  <c:v>1.2067395141170196</c:v>
                </c:pt>
                <c:pt idx="287">
                  <c:v>1.2987572866233761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058-95D7-974375B06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49152"/>
        <c:axId val="116498592"/>
      </c:scatterChart>
      <c:valAx>
        <c:axId val="11644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8592"/>
        <c:crosses val="autoZero"/>
        <c:crossBetween val="midCat"/>
      </c:valAx>
      <c:valAx>
        <c:axId val="1164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Sheet1!$G$5:$G$52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Sheet1!$H$5:$H$52</c:f>
              <c:numCache>
                <c:formatCode>General</c:formatCode>
                <c:ptCount val="48"/>
                <c:pt idx="0">
                  <c:v>0.83573275569877326</c:v>
                </c:pt>
                <c:pt idx="1">
                  <c:v>0.83958350115608693</c:v>
                </c:pt>
                <c:pt idx="2">
                  <c:v>0.87394191465324378</c:v>
                </c:pt>
                <c:pt idx="3">
                  <c:v>0.87698301612798524</c:v>
                </c:pt>
                <c:pt idx="4">
                  <c:v>0.87039574024754796</c:v>
                </c:pt>
                <c:pt idx="5">
                  <c:v>0.8662289031913859</c:v>
                </c:pt>
                <c:pt idx="6">
                  <c:v>0.86463555700762518</c:v>
                </c:pt>
                <c:pt idx="7">
                  <c:v>0.8611742522994239</c:v>
                </c:pt>
                <c:pt idx="8">
                  <c:v>0.92481179998245888</c:v>
                </c:pt>
                <c:pt idx="9">
                  <c:v>0.93476949670524334</c:v>
                </c:pt>
                <c:pt idx="10">
                  <c:v>0.97016048641206398</c:v>
                </c:pt>
                <c:pt idx="11">
                  <c:v>0.9755301771143805</c:v>
                </c:pt>
                <c:pt idx="12">
                  <c:v>0.96780304473474543</c:v>
                </c:pt>
                <c:pt idx="13">
                  <c:v>0.96376475504348258</c:v>
                </c:pt>
                <c:pt idx="14">
                  <c:v>0.9624009103237704</c:v>
                </c:pt>
                <c:pt idx="15">
                  <c:v>0.95836628325951279</c:v>
                </c:pt>
                <c:pt idx="16">
                  <c:v>0.93708444925492129</c:v>
                </c:pt>
                <c:pt idx="17">
                  <c:v>0.94923693703329826</c:v>
                </c:pt>
                <c:pt idx="18">
                  <c:v>0.99532950715100099</c:v>
                </c:pt>
                <c:pt idx="19">
                  <c:v>0.9934021246471596</c:v>
                </c:pt>
                <c:pt idx="20">
                  <c:v>0.98558080078586285</c:v>
                </c:pt>
                <c:pt idx="21">
                  <c:v>0.98234046934903363</c:v>
                </c:pt>
                <c:pt idx="22">
                  <c:v>0.98115749414995379</c:v>
                </c:pt>
                <c:pt idx="23">
                  <c:v>0.977164138280044</c:v>
                </c:pt>
                <c:pt idx="24">
                  <c:v>1.0030500553571471</c:v>
                </c:pt>
                <c:pt idx="25">
                  <c:v>1.0461504181072769</c:v>
                </c:pt>
                <c:pt idx="26">
                  <c:v>1.1167694034247846</c:v>
                </c:pt>
                <c:pt idx="27">
                  <c:v>1.1232110015575614</c:v>
                </c:pt>
                <c:pt idx="28">
                  <c:v>1.120401705403997</c:v>
                </c:pt>
                <c:pt idx="29">
                  <c:v>1.1190628727815295</c:v>
                </c:pt>
                <c:pt idx="30">
                  <c:v>1.1186678010135134</c:v>
                </c:pt>
                <c:pt idx="31">
                  <c:v>1.1155727406746716</c:v>
                </c:pt>
                <c:pt idx="32">
                  <c:v>0.98892643761899113</c:v>
                </c:pt>
                <c:pt idx="33">
                  <c:v>1.0282455922945244</c:v>
                </c:pt>
                <c:pt idx="34">
                  <c:v>1.1073114704521434</c:v>
                </c:pt>
                <c:pt idx="35">
                  <c:v>1.1508551166059751</c:v>
                </c:pt>
                <c:pt idx="36">
                  <c:v>1.1972922734217872</c:v>
                </c:pt>
                <c:pt idx="37">
                  <c:v>1.2038405163539616</c:v>
                </c:pt>
                <c:pt idx="38">
                  <c:v>1.2049918559937227</c:v>
                </c:pt>
                <c:pt idx="39">
                  <c:v>1.2051051845869043</c:v>
                </c:pt>
                <c:pt idx="40">
                  <c:v>0.97861977603142059</c:v>
                </c:pt>
                <c:pt idx="41">
                  <c:v>1.0067060303637687</c:v>
                </c:pt>
                <c:pt idx="42">
                  <c:v>1.0617454183345896</c:v>
                </c:pt>
                <c:pt idx="43">
                  <c:v>1.0989619391165721</c:v>
                </c:pt>
                <c:pt idx="44">
                  <c:v>1.174609243829341</c:v>
                </c:pt>
                <c:pt idx="45">
                  <c:v>1.1980226345355027</c:v>
                </c:pt>
                <c:pt idx="46">
                  <c:v>1.2036948102411857</c:v>
                </c:pt>
                <c:pt idx="47">
                  <c:v>1.2074691623621778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C84-419A-9F83-00ACC97FE15D}"/>
            </c:ext>
          </c:extLst>
        </c:ser>
        <c:ser>
          <c:idx val="1"/>
          <c:order val="1"/>
          <c:tx>
            <c:v>H-690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Sheet1!$G$53:$G$100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Sheet1!$H$53:$H$100</c:f>
              <c:numCache>
                <c:formatCode>General</c:formatCode>
                <c:ptCount val="48"/>
                <c:pt idx="0">
                  <c:v>0.87289151915531404</c:v>
                </c:pt>
                <c:pt idx="1">
                  <c:v>0.8853523129028783</c:v>
                </c:pt>
                <c:pt idx="2">
                  <c:v>0.90266712960277251</c:v>
                </c:pt>
                <c:pt idx="3">
                  <c:v>0.8991421724817229</c:v>
                </c:pt>
                <c:pt idx="4">
                  <c:v>0.90554635554863661</c:v>
                </c:pt>
                <c:pt idx="5">
                  <c:v>0.9057240408295345</c:v>
                </c:pt>
                <c:pt idx="6">
                  <c:v>0.90575310680391585</c:v>
                </c:pt>
                <c:pt idx="7">
                  <c:v>0.90653448624848376</c:v>
                </c:pt>
                <c:pt idx="8">
                  <c:v>0.92211665552241473</c:v>
                </c:pt>
                <c:pt idx="9">
                  <c:v>0.96938172784610721</c:v>
                </c:pt>
                <c:pt idx="10">
                  <c:v>0.95914295669548744</c:v>
                </c:pt>
                <c:pt idx="11">
                  <c:v>0.95320802681564964</c:v>
                </c:pt>
                <c:pt idx="12">
                  <c:v>0.96611952818699298</c:v>
                </c:pt>
                <c:pt idx="13">
                  <c:v>0.96857363590908974</c:v>
                </c:pt>
                <c:pt idx="14">
                  <c:v>0.96931342947052057</c:v>
                </c:pt>
                <c:pt idx="15">
                  <c:v>0.97149634309696564</c:v>
                </c:pt>
                <c:pt idx="16">
                  <c:v>0.95057753033403525</c:v>
                </c:pt>
                <c:pt idx="17">
                  <c:v>0.99167728679837241</c:v>
                </c:pt>
                <c:pt idx="18">
                  <c:v>0.99186163640006553</c:v>
                </c:pt>
                <c:pt idx="19">
                  <c:v>0.98482505718835411</c:v>
                </c:pt>
                <c:pt idx="20">
                  <c:v>1.0041620709536518</c:v>
                </c:pt>
                <c:pt idx="21">
                  <c:v>1.0091222702907683</c:v>
                </c:pt>
                <c:pt idx="22">
                  <c:v>1.0107589885719299</c:v>
                </c:pt>
                <c:pt idx="23">
                  <c:v>1.0144089241179186</c:v>
                </c:pt>
                <c:pt idx="24">
                  <c:v>1.0095527533479247</c:v>
                </c:pt>
                <c:pt idx="25">
                  <c:v>1.0741800183280819</c:v>
                </c:pt>
                <c:pt idx="26">
                  <c:v>1.1070084257668173</c:v>
                </c:pt>
                <c:pt idx="27">
                  <c:v>1.1240519947733281</c:v>
                </c:pt>
                <c:pt idx="28">
                  <c:v>1.1642691975311368</c:v>
                </c:pt>
                <c:pt idx="29">
                  <c:v>1.1823656809107386</c:v>
                </c:pt>
                <c:pt idx="30">
                  <c:v>1.188610935836643</c:v>
                </c:pt>
                <c:pt idx="31">
                  <c:v>1.1950526707499711</c:v>
                </c:pt>
                <c:pt idx="32">
                  <c:v>0.97980400391029798</c:v>
                </c:pt>
                <c:pt idx="33">
                  <c:v>1.0205911188655339</c:v>
                </c:pt>
                <c:pt idx="34">
                  <c:v>1.0704030952011978</c:v>
                </c:pt>
                <c:pt idx="35">
                  <c:v>1.1102326249433569</c:v>
                </c:pt>
                <c:pt idx="36">
                  <c:v>1.2443519659723461</c:v>
                </c:pt>
                <c:pt idx="37">
                  <c:v>1.3321724578481891</c:v>
                </c:pt>
                <c:pt idx="38">
                  <c:v>1.3685131282767748</c:v>
                </c:pt>
                <c:pt idx="39">
                  <c:v>1.3963421087933217</c:v>
                </c:pt>
                <c:pt idx="40">
                  <c:v>0.94268637734571137</c:v>
                </c:pt>
                <c:pt idx="41">
                  <c:v>0.97497020534097545</c:v>
                </c:pt>
                <c:pt idx="42">
                  <c:v>0.98385264208557266</c:v>
                </c:pt>
                <c:pt idx="43">
                  <c:v>0.97378735322300991</c:v>
                </c:pt>
                <c:pt idx="44">
                  <c:v>1.0827948117655137</c:v>
                </c:pt>
                <c:pt idx="45">
                  <c:v>1.218715174879007</c:v>
                </c:pt>
                <c:pt idx="46">
                  <c:v>1.3132921918665295</c:v>
                </c:pt>
                <c:pt idx="47">
                  <c:v>1.4047764335741024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84-419A-9F83-00ACC97FE15D}"/>
            </c:ext>
          </c:extLst>
        </c:ser>
        <c:ser>
          <c:idx val="2"/>
          <c:order val="2"/>
          <c:tx>
            <c:v>I-460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Sheet1!$G$101:$G$148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Sheet1!$H$101:$H$148</c:f>
              <c:numCache>
                <c:formatCode>General</c:formatCode>
                <c:ptCount val="48"/>
                <c:pt idx="0">
                  <c:v>0.78822948602151488</c:v>
                </c:pt>
                <c:pt idx="1">
                  <c:v>0.78432670634655777</c:v>
                </c:pt>
                <c:pt idx="2">
                  <c:v>0.8228673022855062</c:v>
                </c:pt>
                <c:pt idx="3">
                  <c:v>0.83279933205598267</c:v>
                </c:pt>
                <c:pt idx="4">
                  <c:v>0.8672061156014953</c:v>
                </c:pt>
                <c:pt idx="5">
                  <c:v>0.8692370672908275</c:v>
                </c:pt>
                <c:pt idx="6">
                  <c:v>0.86223480703988808</c:v>
                </c:pt>
                <c:pt idx="7">
                  <c:v>0.86500724296577236</c:v>
                </c:pt>
                <c:pt idx="8">
                  <c:v>0.85009150352089891</c:v>
                </c:pt>
                <c:pt idx="9">
                  <c:v>0.84561901306650444</c:v>
                </c:pt>
                <c:pt idx="10">
                  <c:v>0.88484482325131208</c:v>
                </c:pt>
                <c:pt idx="11">
                  <c:v>0.89462727368440642</c:v>
                </c:pt>
                <c:pt idx="12">
                  <c:v>0.93801851460489671</c:v>
                </c:pt>
                <c:pt idx="13">
                  <c:v>0.94010754749194447</c:v>
                </c:pt>
                <c:pt idx="14">
                  <c:v>0.92985620685936698</c:v>
                </c:pt>
                <c:pt idx="15">
                  <c:v>0.93035504322121132</c:v>
                </c:pt>
                <c:pt idx="16">
                  <c:v>0.86165880477826873</c:v>
                </c:pt>
                <c:pt idx="17">
                  <c:v>0.86221131904132309</c:v>
                </c:pt>
                <c:pt idx="18">
                  <c:v>0.8989387394905255</c:v>
                </c:pt>
                <c:pt idx="19">
                  <c:v>0.91169290174034723</c:v>
                </c:pt>
                <c:pt idx="20">
                  <c:v>0.96037152408315418</c:v>
                </c:pt>
                <c:pt idx="21">
                  <c:v>0.96332947814817604</c:v>
                </c:pt>
                <c:pt idx="22">
                  <c:v>0.95112042473177072</c:v>
                </c:pt>
                <c:pt idx="23">
                  <c:v>0.95037100071941527</c:v>
                </c:pt>
                <c:pt idx="24">
                  <c:v>0.87019082342736032</c:v>
                </c:pt>
                <c:pt idx="25">
                  <c:v>0.90522229116932607</c:v>
                </c:pt>
                <c:pt idx="26">
                  <c:v>0.96200992089599024</c:v>
                </c:pt>
                <c:pt idx="27">
                  <c:v>0.99188947409077644</c:v>
                </c:pt>
                <c:pt idx="28">
                  <c:v>1.0578184149745795</c:v>
                </c:pt>
                <c:pt idx="29">
                  <c:v>1.0648419888525475</c:v>
                </c:pt>
                <c:pt idx="30">
                  <c:v>1.0488344921021784</c:v>
                </c:pt>
                <c:pt idx="31">
                  <c:v>1.0455624762831761</c:v>
                </c:pt>
                <c:pt idx="32">
                  <c:v>0.86397130024629065</c:v>
                </c:pt>
                <c:pt idx="33">
                  <c:v>0.87469619546463095</c:v>
                </c:pt>
                <c:pt idx="34">
                  <c:v>0.91608055835076618</c:v>
                </c:pt>
                <c:pt idx="35">
                  <c:v>0.97062842091001766</c:v>
                </c:pt>
                <c:pt idx="36">
                  <c:v>1.0743794227667074</c:v>
                </c:pt>
                <c:pt idx="37">
                  <c:v>1.0925934508158242</c:v>
                </c:pt>
                <c:pt idx="38">
                  <c:v>1.0744024041475393</c:v>
                </c:pt>
                <c:pt idx="39">
                  <c:v>1.0691109869829696</c:v>
                </c:pt>
                <c:pt idx="40">
                  <c:v>0.86194494040745717</c:v>
                </c:pt>
                <c:pt idx="41">
                  <c:v>0.86133079136215129</c:v>
                </c:pt>
                <c:pt idx="42">
                  <c:v>0.87814700841647442</c:v>
                </c:pt>
                <c:pt idx="43">
                  <c:v>0.93199503520191707</c:v>
                </c:pt>
                <c:pt idx="44">
                  <c:v>1.0541571986381719</c:v>
                </c:pt>
                <c:pt idx="45">
                  <c:v>1.0947671563347796</c:v>
                </c:pt>
                <c:pt idx="46">
                  <c:v>1.077313042277523</c:v>
                </c:pt>
                <c:pt idx="47">
                  <c:v>1.070714315594522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C84-419A-9F83-00ACC97FE15D}"/>
            </c:ext>
          </c:extLst>
        </c:ser>
        <c:ser>
          <c:idx val="3"/>
          <c:order val="3"/>
          <c:tx>
            <c:v>H-460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Sheet1!$G$149:$G$195</c:f>
              <c:numCache>
                <c:formatCode>General</c:formatCode>
                <c:ptCount val="47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</c:numCache>
            </c:numRef>
          </c:xVal>
          <c:yVal>
            <c:numRef>
              <c:f>Sheet1!$H$149:$H$196</c:f>
              <c:numCache>
                <c:formatCode>General</c:formatCode>
                <c:ptCount val="48"/>
                <c:pt idx="0">
                  <c:v>0.84684422631016165</c:v>
                </c:pt>
                <c:pt idx="1">
                  <c:v>0.82449627689330829</c:v>
                </c:pt>
                <c:pt idx="2">
                  <c:v>0.81299629170261567</c:v>
                </c:pt>
                <c:pt idx="3">
                  <c:v>0.84351067639237653</c:v>
                </c:pt>
                <c:pt idx="4">
                  <c:v>0.91048107651651589</c:v>
                </c:pt>
                <c:pt idx="5">
                  <c:v>0.92060676694830446</c:v>
                </c:pt>
                <c:pt idx="6">
                  <c:v>0.90142636768629991</c:v>
                </c:pt>
                <c:pt idx="7">
                  <c:v>0.89389105588166096</c:v>
                </c:pt>
                <c:pt idx="8">
                  <c:v>0.84785998401553264</c:v>
                </c:pt>
                <c:pt idx="9">
                  <c:v>0.8370664959912163</c:v>
                </c:pt>
                <c:pt idx="10">
                  <c:v>0.83134174970147201</c:v>
                </c:pt>
                <c:pt idx="11">
                  <c:v>0.8595863736103504</c:v>
                </c:pt>
                <c:pt idx="12">
                  <c:v>0.93139066087684375</c:v>
                </c:pt>
                <c:pt idx="13">
                  <c:v>0.94704799604412504</c:v>
                </c:pt>
                <c:pt idx="14">
                  <c:v>0.92879527232714976</c:v>
                </c:pt>
                <c:pt idx="15">
                  <c:v>0.92186553134495353</c:v>
                </c:pt>
                <c:pt idx="16">
                  <c:v>0.84706245057966556</c:v>
                </c:pt>
                <c:pt idx="17">
                  <c:v>0.85567071240966586</c:v>
                </c:pt>
                <c:pt idx="18">
                  <c:v>0.86520348219316823</c:v>
                </c:pt>
                <c:pt idx="19">
                  <c:v>0.89383974865964633</c:v>
                </c:pt>
                <c:pt idx="20">
                  <c:v>0.97367220460602155</c:v>
                </c:pt>
                <c:pt idx="21">
                  <c:v>0.99576978757300949</c:v>
                </c:pt>
                <c:pt idx="22">
                  <c:v>0.97814217998978514</c:v>
                </c:pt>
                <c:pt idx="23">
                  <c:v>0.97139913814416157</c:v>
                </c:pt>
                <c:pt idx="24">
                  <c:v>0.84596454413262578</c:v>
                </c:pt>
                <c:pt idx="25">
                  <c:v>0.88257937452915725</c:v>
                </c:pt>
                <c:pt idx="26">
                  <c:v>0.93576123694296987</c:v>
                </c:pt>
                <c:pt idx="27">
                  <c:v>0.98238690576220455</c:v>
                </c:pt>
                <c:pt idx="28">
                  <c:v>1.0974482125569518</c:v>
                </c:pt>
                <c:pt idx="29">
                  <c:v>1.1480209872637253</c:v>
                </c:pt>
                <c:pt idx="30">
                  <c:v>1.1357394122621103</c:v>
                </c:pt>
                <c:pt idx="31">
                  <c:v>1.1304768205433189</c:v>
                </c:pt>
                <c:pt idx="32">
                  <c:v>0.83314956468108226</c:v>
                </c:pt>
                <c:pt idx="33">
                  <c:v>0.85352107158563217</c:v>
                </c:pt>
                <c:pt idx="34">
                  <c:v>0.87736375873089634</c:v>
                </c:pt>
                <c:pt idx="35">
                  <c:v>0.92525670234520063</c:v>
                </c:pt>
                <c:pt idx="36">
                  <c:v>1.0917282721502326</c:v>
                </c:pt>
                <c:pt idx="37">
                  <c:v>1.2223474736185891</c:v>
                </c:pt>
                <c:pt idx="38">
                  <c:v>1.2692385897168403</c:v>
                </c:pt>
                <c:pt idx="39">
                  <c:v>1.2906260520306219</c:v>
                </c:pt>
                <c:pt idx="40">
                  <c:v>0.82133822462154926</c:v>
                </c:pt>
                <c:pt idx="41">
                  <c:v>0.84477386040973035</c:v>
                </c:pt>
                <c:pt idx="42">
                  <c:v>0.8286195718191105</c:v>
                </c:pt>
                <c:pt idx="43">
                  <c:v>0.8223863969000359</c:v>
                </c:pt>
                <c:pt idx="44">
                  <c:v>0.93291259228828505</c:v>
                </c:pt>
                <c:pt idx="45">
                  <c:v>1.0572664948872892</c:v>
                </c:pt>
                <c:pt idx="46">
                  <c:v>1.1382879242426307</c:v>
                </c:pt>
                <c:pt idx="47">
                  <c:v>1.2161616816880965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84-419A-9F83-00ACC97FE15D}"/>
            </c:ext>
          </c:extLst>
        </c:ser>
        <c:ser>
          <c:idx val="4"/>
          <c:order val="4"/>
          <c:tx>
            <c:v>I-355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Sheet1!$G$197:$G$244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Sheet1!$H$197:$H$244</c:f>
              <c:numCache>
                <c:formatCode>General</c:formatCode>
                <c:ptCount val="48"/>
                <c:pt idx="0">
                  <c:v>0.89590123199620175</c:v>
                </c:pt>
                <c:pt idx="1">
                  <c:v>0.89126471711312749</c:v>
                </c:pt>
                <c:pt idx="2">
                  <c:v>0.98156200977668562</c:v>
                </c:pt>
                <c:pt idx="3">
                  <c:v>0.99420048998826238</c:v>
                </c:pt>
                <c:pt idx="4">
                  <c:v>0.96472956746318728</c:v>
                </c:pt>
                <c:pt idx="5">
                  <c:v>0.96276174571254525</c:v>
                </c:pt>
                <c:pt idx="6">
                  <c:v>0.99798867004350678</c:v>
                </c:pt>
                <c:pt idx="7">
                  <c:v>1.0246496441711372</c:v>
                </c:pt>
                <c:pt idx="8">
                  <c:v>0.92564800800691716</c:v>
                </c:pt>
                <c:pt idx="9">
                  <c:v>0.93237394901727189</c:v>
                </c:pt>
                <c:pt idx="10">
                  <c:v>1.0178065995708752</c:v>
                </c:pt>
                <c:pt idx="11">
                  <c:v>1.0260653090109739</c:v>
                </c:pt>
                <c:pt idx="12">
                  <c:v>1.0013591878646941</c:v>
                </c:pt>
                <c:pt idx="13">
                  <c:v>0.99551076415674766</c:v>
                </c:pt>
                <c:pt idx="14">
                  <c:v>1.0234111022040302</c:v>
                </c:pt>
                <c:pt idx="15">
                  <c:v>1.0438346064004513</c:v>
                </c:pt>
                <c:pt idx="16">
                  <c:v>0.93833769965854519</c:v>
                </c:pt>
                <c:pt idx="17">
                  <c:v>0.96378207424253404</c:v>
                </c:pt>
                <c:pt idx="18">
                  <c:v>1.04311164590338</c:v>
                </c:pt>
                <c:pt idx="19">
                  <c:v>1.0503976865290658</c:v>
                </c:pt>
                <c:pt idx="20">
                  <c:v>1.0284211916956814</c:v>
                </c:pt>
                <c:pt idx="21">
                  <c:v>1.02254722835955</c:v>
                </c:pt>
                <c:pt idx="22">
                  <c:v>1.0458773686793514</c:v>
                </c:pt>
                <c:pt idx="23">
                  <c:v>1.0628278106967588</c:v>
                </c:pt>
                <c:pt idx="24">
                  <c:v>0.94351114235224676</c:v>
                </c:pt>
                <c:pt idx="25">
                  <c:v>1.012714394352777</c:v>
                </c:pt>
                <c:pt idx="26">
                  <c:v>1.1020313006750613</c:v>
                </c:pt>
                <c:pt idx="27">
                  <c:v>1.118016388816679</c:v>
                </c:pt>
                <c:pt idx="28">
                  <c:v>1.1044012593785235</c:v>
                </c:pt>
                <c:pt idx="29">
                  <c:v>1.1004039066269315</c:v>
                </c:pt>
                <c:pt idx="30">
                  <c:v>1.1195897775821431</c:v>
                </c:pt>
                <c:pt idx="31">
                  <c:v>1.1331585102993571</c:v>
                </c:pt>
                <c:pt idx="32">
                  <c:v>0.93847947525215347</c:v>
                </c:pt>
                <c:pt idx="33">
                  <c:v>0.98862744420548465</c:v>
                </c:pt>
                <c:pt idx="34">
                  <c:v>1.0653015435735493</c:v>
                </c:pt>
                <c:pt idx="35">
                  <c:v>1.0964597040050403</c:v>
                </c:pt>
                <c:pt idx="36">
                  <c:v>1.1167466385637022</c:v>
                </c:pt>
                <c:pt idx="37">
                  <c:v>1.1240117618866656</c:v>
                </c:pt>
                <c:pt idx="38">
                  <c:v>1.1391435181259117</c:v>
                </c:pt>
                <c:pt idx="39">
                  <c:v>1.1492786070576391</c:v>
                </c:pt>
                <c:pt idx="40">
                  <c:v>0.93693946977928155</c:v>
                </c:pt>
                <c:pt idx="41">
                  <c:v>0.97950184719836975</c:v>
                </c:pt>
                <c:pt idx="42">
                  <c:v>1.0385534410869524</c:v>
                </c:pt>
                <c:pt idx="43">
                  <c:v>1.0632239308499436</c:v>
                </c:pt>
                <c:pt idx="44">
                  <c:v>1.0995847929737468</c:v>
                </c:pt>
                <c:pt idx="45">
                  <c:v>1.1249801196397238</c:v>
                </c:pt>
                <c:pt idx="46">
                  <c:v>1.1391353240320332</c:v>
                </c:pt>
                <c:pt idx="47">
                  <c:v>1.1470478771454244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C84-419A-9F83-00ACC97FE15D}"/>
            </c:ext>
          </c:extLst>
        </c:ser>
        <c:ser>
          <c:idx val="5"/>
          <c:order val="5"/>
          <c:tx>
            <c:v>H-355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Sheet1!$G$245:$G$292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Sheet1!$H$245:$H$292</c:f>
              <c:numCache>
                <c:formatCode>General</c:formatCode>
                <c:ptCount val="48"/>
                <c:pt idx="0">
                  <c:v>0.92049283031901918</c:v>
                </c:pt>
                <c:pt idx="1">
                  <c:v>0.93483771478174127</c:v>
                </c:pt>
                <c:pt idx="2">
                  <c:v>0.98958977592293884</c:v>
                </c:pt>
                <c:pt idx="3">
                  <c:v>0.97895187433665853</c:v>
                </c:pt>
                <c:pt idx="4">
                  <c:v>0.9696908010021813</c:v>
                </c:pt>
                <c:pt idx="5">
                  <c:v>0.96881287773722113</c:v>
                </c:pt>
                <c:pt idx="6">
                  <c:v>0.97698480468864513</c:v>
                </c:pt>
                <c:pt idx="7">
                  <c:v>0.98284201874430033</c:v>
                </c:pt>
                <c:pt idx="8">
                  <c:v>0.92166768178591219</c:v>
                </c:pt>
                <c:pt idx="9">
                  <c:v>0.94242058924416172</c:v>
                </c:pt>
                <c:pt idx="10">
                  <c:v>1.006973222345221</c:v>
                </c:pt>
                <c:pt idx="11">
                  <c:v>0.99278992592970972</c:v>
                </c:pt>
                <c:pt idx="12">
                  <c:v>0.98697263397425183</c:v>
                </c:pt>
                <c:pt idx="13">
                  <c:v>0.99202000335418505</c:v>
                </c:pt>
                <c:pt idx="14">
                  <c:v>1.0017132469377052</c:v>
                </c:pt>
                <c:pt idx="15">
                  <c:v>1.0079239117261005</c:v>
                </c:pt>
                <c:pt idx="16">
                  <c:v>0.91777932371063076</c:v>
                </c:pt>
                <c:pt idx="17">
                  <c:v>0.96056536692138594</c:v>
                </c:pt>
                <c:pt idx="18">
                  <c:v>1.0467202973612959</c:v>
                </c:pt>
                <c:pt idx="19">
                  <c:v>1.0300213026055376</c:v>
                </c:pt>
                <c:pt idx="20">
                  <c:v>1.029700439437472</c:v>
                </c:pt>
                <c:pt idx="21">
                  <c:v>1.0414833685872376</c:v>
                </c:pt>
                <c:pt idx="22">
                  <c:v>1.0532056816853614</c:v>
                </c:pt>
                <c:pt idx="23">
                  <c:v>1.0602730202836754</c:v>
                </c:pt>
                <c:pt idx="24">
                  <c:v>0.91635642729348599</c:v>
                </c:pt>
                <c:pt idx="25">
                  <c:v>0.98629337369463688</c:v>
                </c:pt>
                <c:pt idx="26">
                  <c:v>1.1231194383044436</c:v>
                </c:pt>
                <c:pt idx="27">
                  <c:v>1.1242063653776238</c:v>
                </c:pt>
                <c:pt idx="28">
                  <c:v>1.1520124340321165</c:v>
                </c:pt>
                <c:pt idx="29">
                  <c:v>1.1925998574674825</c:v>
                </c:pt>
                <c:pt idx="30">
                  <c:v>1.214742640324906</c:v>
                </c:pt>
                <c:pt idx="31">
                  <c:v>1.2260389029208716</c:v>
                </c:pt>
                <c:pt idx="32">
                  <c:v>0.9035324720711867</c:v>
                </c:pt>
                <c:pt idx="33">
                  <c:v>0.95471008280857828</c:v>
                </c:pt>
                <c:pt idx="34">
                  <c:v>1.0659703277222221</c:v>
                </c:pt>
                <c:pt idx="35">
                  <c:v>1.0649548146904824</c:v>
                </c:pt>
                <c:pt idx="36">
                  <c:v>1.1451899920653652</c:v>
                </c:pt>
                <c:pt idx="37">
                  <c:v>1.2624826177411099</c:v>
                </c:pt>
                <c:pt idx="38">
                  <c:v>1.3402610346866022</c:v>
                </c:pt>
                <c:pt idx="39">
                  <c:v>1.381056009325754</c:v>
                </c:pt>
                <c:pt idx="40">
                  <c:v>0.88835673589373487</c:v>
                </c:pt>
                <c:pt idx="41">
                  <c:v>0.94337482669613149</c:v>
                </c:pt>
                <c:pt idx="42">
                  <c:v>1.0000146676122608</c:v>
                </c:pt>
                <c:pt idx="43">
                  <c:v>0.95174144385102488</c:v>
                </c:pt>
                <c:pt idx="44">
                  <c:v>0.98834589686798691</c:v>
                </c:pt>
                <c:pt idx="45">
                  <c:v>1.100992707579211</c:v>
                </c:pt>
                <c:pt idx="46">
                  <c:v>1.2067395141170196</c:v>
                </c:pt>
                <c:pt idx="47">
                  <c:v>1.2987572866233761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84-419A-9F83-00ACC97F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9552"/>
        <c:axId val="116500032"/>
        <c:extLst/>
      </c:scatterChart>
      <c:valAx>
        <c:axId val="1164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0032"/>
        <c:crosses val="autoZero"/>
        <c:crossBetween val="midCat"/>
      </c:valAx>
      <c:valAx>
        <c:axId val="11650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654825111155622E-2"/>
          <c:y val="0.12490307433486912"/>
          <c:w val="0.8087383547435083"/>
          <c:h val="0.76072496798590272"/>
        </c:manualLayout>
      </c:layout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Local!$AN$6:$AN$101</c:f>
              <c:numCache>
                <c:formatCode>General</c:formatCode>
                <c:ptCount val="96"/>
                <c:pt idx="0">
                  <c:v>0.37287791981449947</c:v>
                </c:pt>
                <c:pt idx="1">
                  <c:v>0.37287791981449947</c:v>
                </c:pt>
                <c:pt idx="2">
                  <c:v>0.37287791981449947</c:v>
                </c:pt>
                <c:pt idx="3">
                  <c:v>0.37287791981449947</c:v>
                </c:pt>
                <c:pt idx="4">
                  <c:v>0.37287791981449947</c:v>
                </c:pt>
                <c:pt idx="5">
                  <c:v>0.37287791981449947</c:v>
                </c:pt>
                <c:pt idx="6">
                  <c:v>0.37287791981449947</c:v>
                </c:pt>
                <c:pt idx="7">
                  <c:v>0.37287791981449947</c:v>
                </c:pt>
                <c:pt idx="8">
                  <c:v>0.48507221880909546</c:v>
                </c:pt>
                <c:pt idx="9">
                  <c:v>0.48507221880909546</c:v>
                </c:pt>
                <c:pt idx="10">
                  <c:v>0.48507221880909546</c:v>
                </c:pt>
                <c:pt idx="11">
                  <c:v>0.48507221880909546</c:v>
                </c:pt>
                <c:pt idx="12">
                  <c:v>0.48507221880909546</c:v>
                </c:pt>
                <c:pt idx="13">
                  <c:v>0.48507221880909546</c:v>
                </c:pt>
                <c:pt idx="14">
                  <c:v>0.48507221880909546</c:v>
                </c:pt>
                <c:pt idx="15">
                  <c:v>0.48507221880909546</c:v>
                </c:pt>
                <c:pt idx="16">
                  <c:v>0.58067325520309199</c:v>
                </c:pt>
                <c:pt idx="17">
                  <c:v>0.58067325520309199</c:v>
                </c:pt>
                <c:pt idx="18">
                  <c:v>0.58067325520309199</c:v>
                </c:pt>
                <c:pt idx="19">
                  <c:v>0.58067325520309199</c:v>
                </c:pt>
                <c:pt idx="20">
                  <c:v>0.58067325520309199</c:v>
                </c:pt>
                <c:pt idx="21">
                  <c:v>0.58067325520309199</c:v>
                </c:pt>
                <c:pt idx="22">
                  <c:v>0.58067325520309199</c:v>
                </c:pt>
                <c:pt idx="23">
                  <c:v>0.58067325520309199</c:v>
                </c:pt>
                <c:pt idx="24">
                  <c:v>0.77554473092109466</c:v>
                </c:pt>
                <c:pt idx="25">
                  <c:v>0.77554473092109466</c:v>
                </c:pt>
                <c:pt idx="26">
                  <c:v>0.77554473092109466</c:v>
                </c:pt>
                <c:pt idx="27">
                  <c:v>0.77554473092109466</c:v>
                </c:pt>
                <c:pt idx="28">
                  <c:v>0.77554473092109466</c:v>
                </c:pt>
                <c:pt idx="29">
                  <c:v>0.77554473092109466</c:v>
                </c:pt>
                <c:pt idx="30">
                  <c:v>0.77554473092109466</c:v>
                </c:pt>
                <c:pt idx="31">
                  <c:v>0.77554473092109466</c:v>
                </c:pt>
                <c:pt idx="32">
                  <c:v>1.0610035614340119</c:v>
                </c:pt>
                <c:pt idx="33">
                  <c:v>1.0610035614340119</c:v>
                </c:pt>
                <c:pt idx="34">
                  <c:v>1.0610035614340119</c:v>
                </c:pt>
                <c:pt idx="35">
                  <c:v>1.0610035614340119</c:v>
                </c:pt>
                <c:pt idx="36">
                  <c:v>1.0610035614340119</c:v>
                </c:pt>
                <c:pt idx="37">
                  <c:v>1.0610035614340119</c:v>
                </c:pt>
                <c:pt idx="38">
                  <c:v>1.0610035614340119</c:v>
                </c:pt>
                <c:pt idx="39">
                  <c:v>1.0610035614340119</c:v>
                </c:pt>
                <c:pt idx="40">
                  <c:v>1.4341594762040402</c:v>
                </c:pt>
                <c:pt idx="41">
                  <c:v>1.4341594762040402</c:v>
                </c:pt>
                <c:pt idx="42">
                  <c:v>1.4341594762040402</c:v>
                </c:pt>
                <c:pt idx="43">
                  <c:v>1.4341594762040402</c:v>
                </c:pt>
                <c:pt idx="44">
                  <c:v>1.4341594762040402</c:v>
                </c:pt>
                <c:pt idx="45">
                  <c:v>1.4341594762040402</c:v>
                </c:pt>
                <c:pt idx="46">
                  <c:v>1.4341594762040402</c:v>
                </c:pt>
                <c:pt idx="47">
                  <c:v>1.4341594762040402</c:v>
                </c:pt>
                <c:pt idx="48">
                  <c:v>0.35512608564181458</c:v>
                </c:pt>
                <c:pt idx="49">
                  <c:v>0.35512608564181458</c:v>
                </c:pt>
                <c:pt idx="50">
                  <c:v>0.35512608564181458</c:v>
                </c:pt>
                <c:pt idx="51">
                  <c:v>0.35512608564181458</c:v>
                </c:pt>
                <c:pt idx="52">
                  <c:v>0.35512608564181458</c:v>
                </c:pt>
                <c:pt idx="53">
                  <c:v>0.35512608564181458</c:v>
                </c:pt>
                <c:pt idx="54">
                  <c:v>0.35512608564181458</c:v>
                </c:pt>
                <c:pt idx="55">
                  <c:v>0.35512608564181458</c:v>
                </c:pt>
                <c:pt idx="56">
                  <c:v>0.50552767558026701</c:v>
                </c:pt>
                <c:pt idx="57">
                  <c:v>0.50552767558026701</c:v>
                </c:pt>
                <c:pt idx="58">
                  <c:v>0.50552767558026701</c:v>
                </c:pt>
                <c:pt idx="59">
                  <c:v>0.50552767558026701</c:v>
                </c:pt>
                <c:pt idx="60">
                  <c:v>0.50552767558026701</c:v>
                </c:pt>
                <c:pt idx="61">
                  <c:v>0.50552767558026701</c:v>
                </c:pt>
                <c:pt idx="62">
                  <c:v>0.50552767558026701</c:v>
                </c:pt>
                <c:pt idx="63">
                  <c:v>0.50552767558026701</c:v>
                </c:pt>
                <c:pt idx="64">
                  <c:v>0.60225226849324431</c:v>
                </c:pt>
                <c:pt idx="65">
                  <c:v>0.60225226849324431</c:v>
                </c:pt>
                <c:pt idx="66">
                  <c:v>0.60225226849324431</c:v>
                </c:pt>
                <c:pt idx="67">
                  <c:v>0.60225226849324431</c:v>
                </c:pt>
                <c:pt idx="68">
                  <c:v>0.60225226849324431</c:v>
                </c:pt>
                <c:pt idx="69">
                  <c:v>0.60225226849324431</c:v>
                </c:pt>
                <c:pt idx="70">
                  <c:v>0.60225226849324431</c:v>
                </c:pt>
                <c:pt idx="71">
                  <c:v>0.60225226849324431</c:v>
                </c:pt>
                <c:pt idx="72">
                  <c:v>0.80190632863472255</c:v>
                </c:pt>
                <c:pt idx="73">
                  <c:v>0.80190632863472255</c:v>
                </c:pt>
                <c:pt idx="74">
                  <c:v>0.80190632863472255</c:v>
                </c:pt>
                <c:pt idx="75">
                  <c:v>0.80190632863472255</c:v>
                </c:pt>
                <c:pt idx="76">
                  <c:v>0.80190632863472255</c:v>
                </c:pt>
                <c:pt idx="77">
                  <c:v>0.80190632863472255</c:v>
                </c:pt>
                <c:pt idx="78">
                  <c:v>0.80190632863472255</c:v>
                </c:pt>
                <c:pt idx="79">
                  <c:v>0.80190632863472255</c:v>
                </c:pt>
                <c:pt idx="80">
                  <c:v>1.1139970972174467</c:v>
                </c:pt>
                <c:pt idx="81">
                  <c:v>1.1139970972174467</c:v>
                </c:pt>
                <c:pt idx="82">
                  <c:v>1.1139970972174467</c:v>
                </c:pt>
                <c:pt idx="83">
                  <c:v>1.1139970972174467</c:v>
                </c:pt>
                <c:pt idx="84">
                  <c:v>1.1139970972174467</c:v>
                </c:pt>
                <c:pt idx="85">
                  <c:v>1.1139970972174467</c:v>
                </c:pt>
                <c:pt idx="86">
                  <c:v>1.1139970972174467</c:v>
                </c:pt>
                <c:pt idx="87">
                  <c:v>1.1139970972174467</c:v>
                </c:pt>
                <c:pt idx="88">
                  <c:v>1.5151943521701032</c:v>
                </c:pt>
                <c:pt idx="89">
                  <c:v>1.5151943521701032</c:v>
                </c:pt>
                <c:pt idx="90">
                  <c:v>1.5151943521701032</c:v>
                </c:pt>
                <c:pt idx="91">
                  <c:v>1.5151943521701032</c:v>
                </c:pt>
                <c:pt idx="92">
                  <c:v>1.5151943521701032</c:v>
                </c:pt>
                <c:pt idx="93">
                  <c:v>1.5151943521701032</c:v>
                </c:pt>
                <c:pt idx="94">
                  <c:v>1.5151943521701032</c:v>
                </c:pt>
                <c:pt idx="95">
                  <c:v>1.5151943521701032</c:v>
                </c:pt>
              </c:numCache>
            </c:numRef>
          </c:xVal>
          <c:yVal>
            <c:numRef>
              <c:f>Local!$AK$6:$AK$101</c:f>
              <c:numCache>
                <c:formatCode>General</c:formatCode>
                <c:ptCount val="96"/>
                <c:pt idx="0">
                  <c:v>1.1513392501083863</c:v>
                </c:pt>
                <c:pt idx="1">
                  <c:v>1.1513392501083863</c:v>
                </c:pt>
                <c:pt idx="2">
                  <c:v>1.1513392501083863</c:v>
                </c:pt>
                <c:pt idx="3">
                  <c:v>1.1513392501083863</c:v>
                </c:pt>
                <c:pt idx="4">
                  <c:v>1.1513392501083863</c:v>
                </c:pt>
                <c:pt idx="5">
                  <c:v>1.1513392501083863</c:v>
                </c:pt>
                <c:pt idx="6">
                  <c:v>1.1513392501083863</c:v>
                </c:pt>
                <c:pt idx="7">
                  <c:v>1.1513392501083863</c:v>
                </c:pt>
                <c:pt idx="8">
                  <c:v>1.0326179569210958</c:v>
                </c:pt>
                <c:pt idx="9">
                  <c:v>1.0326179569210958</c:v>
                </c:pt>
                <c:pt idx="10">
                  <c:v>1.0326179569210958</c:v>
                </c:pt>
                <c:pt idx="11">
                  <c:v>1.0326179569210958</c:v>
                </c:pt>
                <c:pt idx="12">
                  <c:v>1.0326179569210958</c:v>
                </c:pt>
                <c:pt idx="13">
                  <c:v>1.0326179569210958</c:v>
                </c:pt>
                <c:pt idx="14">
                  <c:v>1.0326179569210958</c:v>
                </c:pt>
                <c:pt idx="15">
                  <c:v>1.0326179569210958</c:v>
                </c:pt>
                <c:pt idx="16">
                  <c:v>1.011753934997377</c:v>
                </c:pt>
                <c:pt idx="17">
                  <c:v>1.011753934997377</c:v>
                </c:pt>
                <c:pt idx="18">
                  <c:v>1.011753934997377</c:v>
                </c:pt>
                <c:pt idx="19">
                  <c:v>1.011753934997377</c:v>
                </c:pt>
                <c:pt idx="20">
                  <c:v>1.011753934997377</c:v>
                </c:pt>
                <c:pt idx="21">
                  <c:v>1.011753934997377</c:v>
                </c:pt>
                <c:pt idx="22">
                  <c:v>1.011753934997377</c:v>
                </c:pt>
                <c:pt idx="23">
                  <c:v>1.011753934997377</c:v>
                </c:pt>
                <c:pt idx="24">
                  <c:v>0.88539732001610139</c:v>
                </c:pt>
                <c:pt idx="25">
                  <c:v>0.88539732001610139</c:v>
                </c:pt>
                <c:pt idx="26">
                  <c:v>0.88539732001610139</c:v>
                </c:pt>
                <c:pt idx="27">
                  <c:v>0.88539732001610139</c:v>
                </c:pt>
                <c:pt idx="28">
                  <c:v>0.88539732001610139</c:v>
                </c:pt>
                <c:pt idx="29">
                  <c:v>0.88539732001610139</c:v>
                </c:pt>
                <c:pt idx="30">
                  <c:v>0.88539732001610139</c:v>
                </c:pt>
                <c:pt idx="31">
                  <c:v>0.88539732001610139</c:v>
                </c:pt>
                <c:pt idx="32">
                  <c:v>0.81980691750807566</c:v>
                </c:pt>
                <c:pt idx="33">
                  <c:v>0.81980691750807566</c:v>
                </c:pt>
                <c:pt idx="34">
                  <c:v>0.81980691750807566</c:v>
                </c:pt>
                <c:pt idx="35">
                  <c:v>0.81980691750807566</c:v>
                </c:pt>
                <c:pt idx="36">
                  <c:v>0.81980691750807566</c:v>
                </c:pt>
                <c:pt idx="37">
                  <c:v>0.81980691750807566</c:v>
                </c:pt>
                <c:pt idx="38">
                  <c:v>0.81980691750807566</c:v>
                </c:pt>
                <c:pt idx="39">
                  <c:v>0.81980691750807566</c:v>
                </c:pt>
                <c:pt idx="40">
                  <c:v>0.81794598367806093</c:v>
                </c:pt>
                <c:pt idx="41">
                  <c:v>0.81794598367806093</c:v>
                </c:pt>
                <c:pt idx="42">
                  <c:v>0.81794598367806093</c:v>
                </c:pt>
                <c:pt idx="43">
                  <c:v>0.81794598367806093</c:v>
                </c:pt>
                <c:pt idx="44">
                  <c:v>0.81794598367806093</c:v>
                </c:pt>
                <c:pt idx="45">
                  <c:v>0.81794598367806093</c:v>
                </c:pt>
                <c:pt idx="46">
                  <c:v>0.81794598367806093</c:v>
                </c:pt>
                <c:pt idx="47">
                  <c:v>0.81794598367806093</c:v>
                </c:pt>
                <c:pt idx="48">
                  <c:v>1.093434418979423</c:v>
                </c:pt>
                <c:pt idx="49">
                  <c:v>1.093434418979423</c:v>
                </c:pt>
                <c:pt idx="50">
                  <c:v>1.093434418979423</c:v>
                </c:pt>
                <c:pt idx="51">
                  <c:v>1.093434418979423</c:v>
                </c:pt>
                <c:pt idx="52">
                  <c:v>1.093434418979423</c:v>
                </c:pt>
                <c:pt idx="53">
                  <c:v>1.093434418979423</c:v>
                </c:pt>
                <c:pt idx="54">
                  <c:v>1.093434418979423</c:v>
                </c:pt>
                <c:pt idx="55">
                  <c:v>1.093434418979423</c:v>
                </c:pt>
                <c:pt idx="56">
                  <c:v>1.0166220561537915</c:v>
                </c:pt>
                <c:pt idx="57">
                  <c:v>1.0166220561537915</c:v>
                </c:pt>
                <c:pt idx="58">
                  <c:v>1.0166220561537915</c:v>
                </c:pt>
                <c:pt idx="59">
                  <c:v>1.0166220561537915</c:v>
                </c:pt>
                <c:pt idx="60">
                  <c:v>1.0166220561537915</c:v>
                </c:pt>
                <c:pt idx="61">
                  <c:v>1.0166220561537915</c:v>
                </c:pt>
                <c:pt idx="62">
                  <c:v>1.0166220561537915</c:v>
                </c:pt>
                <c:pt idx="63">
                  <c:v>1.0166220561537915</c:v>
                </c:pt>
                <c:pt idx="64">
                  <c:v>0.97094580084000337</c:v>
                </c:pt>
                <c:pt idx="65">
                  <c:v>0.97094580084000337</c:v>
                </c:pt>
                <c:pt idx="66">
                  <c:v>0.97094580084000337</c:v>
                </c:pt>
                <c:pt idx="67">
                  <c:v>0.97094580084000337</c:v>
                </c:pt>
                <c:pt idx="68">
                  <c:v>0.97094580084000337</c:v>
                </c:pt>
                <c:pt idx="69">
                  <c:v>0.97094580084000337</c:v>
                </c:pt>
                <c:pt idx="70">
                  <c:v>0.97094580084000337</c:v>
                </c:pt>
                <c:pt idx="71">
                  <c:v>0.97094580084000337</c:v>
                </c:pt>
                <c:pt idx="72">
                  <c:v>0.81482727293442681</c:v>
                </c:pt>
                <c:pt idx="73">
                  <c:v>0.81482727293442681</c:v>
                </c:pt>
                <c:pt idx="74">
                  <c:v>0.81482727293442681</c:v>
                </c:pt>
                <c:pt idx="75">
                  <c:v>0.81482727293442681</c:v>
                </c:pt>
                <c:pt idx="76">
                  <c:v>0.81482727293442681</c:v>
                </c:pt>
                <c:pt idx="77">
                  <c:v>0.81482727293442681</c:v>
                </c:pt>
                <c:pt idx="78">
                  <c:v>0.81482727293442681</c:v>
                </c:pt>
                <c:pt idx="79">
                  <c:v>0.81482727293442681</c:v>
                </c:pt>
                <c:pt idx="80">
                  <c:v>0.66862420737717243</c:v>
                </c:pt>
                <c:pt idx="81">
                  <c:v>0.66862420737717243</c:v>
                </c:pt>
                <c:pt idx="82">
                  <c:v>0.66862420737717243</c:v>
                </c:pt>
                <c:pt idx="83">
                  <c:v>0.66862420737717243</c:v>
                </c:pt>
                <c:pt idx="84">
                  <c:v>0.66862420737717243</c:v>
                </c:pt>
                <c:pt idx="85">
                  <c:v>0.66862420737717243</c:v>
                </c:pt>
                <c:pt idx="86">
                  <c:v>0.66862420737717243</c:v>
                </c:pt>
                <c:pt idx="87">
                  <c:v>0.66862420737717243</c:v>
                </c:pt>
                <c:pt idx="88">
                  <c:v>0.58600394911666143</c:v>
                </c:pt>
                <c:pt idx="89">
                  <c:v>0.58600394911666143</c:v>
                </c:pt>
                <c:pt idx="90">
                  <c:v>0.58600394911666143</c:v>
                </c:pt>
                <c:pt idx="91">
                  <c:v>0.58600394911666143</c:v>
                </c:pt>
                <c:pt idx="92">
                  <c:v>0.58600394911666143</c:v>
                </c:pt>
                <c:pt idx="93">
                  <c:v>0.58600394911666143</c:v>
                </c:pt>
                <c:pt idx="94">
                  <c:v>0.58600394911666143</c:v>
                </c:pt>
                <c:pt idx="95">
                  <c:v>0.58600394911666143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E-4DB2-A201-A6BEFE451EF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Local!$AN$102:$AN$197</c:f>
              <c:numCache>
                <c:formatCode>General</c:formatCode>
                <c:ptCount val="96"/>
                <c:pt idx="0">
                  <c:v>0.36974773063441196</c:v>
                </c:pt>
                <c:pt idx="1">
                  <c:v>0.36974773063441196</c:v>
                </c:pt>
                <c:pt idx="2">
                  <c:v>0.36974773063441196</c:v>
                </c:pt>
                <c:pt idx="3">
                  <c:v>0.36974773063441196</c:v>
                </c:pt>
                <c:pt idx="4">
                  <c:v>0.36974773063441196</c:v>
                </c:pt>
                <c:pt idx="5">
                  <c:v>0.36974773063441196</c:v>
                </c:pt>
                <c:pt idx="6">
                  <c:v>0.36974773063441196</c:v>
                </c:pt>
                <c:pt idx="7">
                  <c:v>0.36974773063441196</c:v>
                </c:pt>
                <c:pt idx="8">
                  <c:v>0.48111950144396182</c:v>
                </c:pt>
                <c:pt idx="9">
                  <c:v>0.48111950144396182</c:v>
                </c:pt>
                <c:pt idx="10">
                  <c:v>0.48111950144396182</c:v>
                </c:pt>
                <c:pt idx="11">
                  <c:v>0.48111950144396182</c:v>
                </c:pt>
                <c:pt idx="12">
                  <c:v>0.48111950144396182</c:v>
                </c:pt>
                <c:pt idx="13">
                  <c:v>0.48111950144396182</c:v>
                </c:pt>
                <c:pt idx="14">
                  <c:v>0.48111950144396182</c:v>
                </c:pt>
                <c:pt idx="15">
                  <c:v>0.48111950144396182</c:v>
                </c:pt>
                <c:pt idx="16">
                  <c:v>0.57604332481658893</c:v>
                </c:pt>
                <c:pt idx="17">
                  <c:v>0.57604332481658893</c:v>
                </c:pt>
                <c:pt idx="18">
                  <c:v>0.57604332481658893</c:v>
                </c:pt>
                <c:pt idx="19">
                  <c:v>0.57604332481658893</c:v>
                </c:pt>
                <c:pt idx="20">
                  <c:v>0.57604332481658893</c:v>
                </c:pt>
                <c:pt idx="21">
                  <c:v>0.57604332481658893</c:v>
                </c:pt>
                <c:pt idx="22">
                  <c:v>0.57604332481658893</c:v>
                </c:pt>
                <c:pt idx="23">
                  <c:v>0.57604332481658893</c:v>
                </c:pt>
                <c:pt idx="24">
                  <c:v>0.76972675927706968</c:v>
                </c:pt>
                <c:pt idx="25">
                  <c:v>0.76972675927706968</c:v>
                </c:pt>
                <c:pt idx="26">
                  <c:v>0.76972675927706968</c:v>
                </c:pt>
                <c:pt idx="27">
                  <c:v>0.76972675927706968</c:v>
                </c:pt>
                <c:pt idx="28">
                  <c:v>0.76972675927706968</c:v>
                </c:pt>
                <c:pt idx="29">
                  <c:v>0.76972675927706968</c:v>
                </c:pt>
                <c:pt idx="30">
                  <c:v>0.76972675927706968</c:v>
                </c:pt>
                <c:pt idx="31">
                  <c:v>0.76972675927706968</c:v>
                </c:pt>
                <c:pt idx="32">
                  <c:v>1.0537681505147192</c:v>
                </c:pt>
                <c:pt idx="33">
                  <c:v>1.0537681505147192</c:v>
                </c:pt>
                <c:pt idx="34">
                  <c:v>1.0537681505147192</c:v>
                </c:pt>
                <c:pt idx="35">
                  <c:v>1.0537681505147192</c:v>
                </c:pt>
                <c:pt idx="36">
                  <c:v>1.0537681505147192</c:v>
                </c:pt>
                <c:pt idx="37">
                  <c:v>1.0537681505147192</c:v>
                </c:pt>
                <c:pt idx="38">
                  <c:v>1.0537681505147192</c:v>
                </c:pt>
                <c:pt idx="39">
                  <c:v>1.0537681505147192</c:v>
                </c:pt>
                <c:pt idx="40">
                  <c:v>1.4248631927699065</c:v>
                </c:pt>
                <c:pt idx="41">
                  <c:v>1.4248631927699065</c:v>
                </c:pt>
                <c:pt idx="42">
                  <c:v>1.4248631927699065</c:v>
                </c:pt>
                <c:pt idx="43">
                  <c:v>1.4248631927699065</c:v>
                </c:pt>
                <c:pt idx="44">
                  <c:v>1.4248631927699065</c:v>
                </c:pt>
                <c:pt idx="45">
                  <c:v>1.4248631927699065</c:v>
                </c:pt>
                <c:pt idx="46">
                  <c:v>1.4248631927699065</c:v>
                </c:pt>
                <c:pt idx="47">
                  <c:v>1.4248631927699065</c:v>
                </c:pt>
                <c:pt idx="48">
                  <c:v>0.35274872362356979</c:v>
                </c:pt>
                <c:pt idx="49">
                  <c:v>0.35274872362356979</c:v>
                </c:pt>
                <c:pt idx="50">
                  <c:v>0.35274872362356979</c:v>
                </c:pt>
                <c:pt idx="51">
                  <c:v>0.35274872362356979</c:v>
                </c:pt>
                <c:pt idx="52">
                  <c:v>0.35274872362356979</c:v>
                </c:pt>
                <c:pt idx="53">
                  <c:v>0.35274872362356979</c:v>
                </c:pt>
                <c:pt idx="54">
                  <c:v>0.35274872362356979</c:v>
                </c:pt>
                <c:pt idx="55">
                  <c:v>0.35274872362356979</c:v>
                </c:pt>
                <c:pt idx="56">
                  <c:v>0.50230989157260186</c:v>
                </c:pt>
                <c:pt idx="57">
                  <c:v>0.50230989157260186</c:v>
                </c:pt>
                <c:pt idx="58">
                  <c:v>0.50230989157260186</c:v>
                </c:pt>
                <c:pt idx="59">
                  <c:v>0.50230989157260186</c:v>
                </c:pt>
                <c:pt idx="60">
                  <c:v>0.50230989157260186</c:v>
                </c:pt>
                <c:pt idx="61">
                  <c:v>0.50230989157260186</c:v>
                </c:pt>
                <c:pt idx="62">
                  <c:v>0.50230989157260186</c:v>
                </c:pt>
                <c:pt idx="63">
                  <c:v>0.50230989157260186</c:v>
                </c:pt>
                <c:pt idx="64">
                  <c:v>0.59850393707821425</c:v>
                </c:pt>
                <c:pt idx="65">
                  <c:v>0.59850393707821425</c:v>
                </c:pt>
                <c:pt idx="66">
                  <c:v>0.59850393707821425</c:v>
                </c:pt>
                <c:pt idx="67">
                  <c:v>0.59850393707821425</c:v>
                </c:pt>
                <c:pt idx="68">
                  <c:v>0.59850393707821425</c:v>
                </c:pt>
                <c:pt idx="69">
                  <c:v>0.59850393707821425</c:v>
                </c:pt>
                <c:pt idx="70">
                  <c:v>0.59850393707821425</c:v>
                </c:pt>
                <c:pt idx="71">
                  <c:v>0.59850393707821425</c:v>
                </c:pt>
                <c:pt idx="72">
                  <c:v>0.79736474772342081</c:v>
                </c:pt>
                <c:pt idx="73">
                  <c:v>0.79736474772342081</c:v>
                </c:pt>
                <c:pt idx="74">
                  <c:v>0.79736474772342081</c:v>
                </c:pt>
                <c:pt idx="75">
                  <c:v>0.79736474772342081</c:v>
                </c:pt>
                <c:pt idx="76">
                  <c:v>0.79736474772342081</c:v>
                </c:pt>
                <c:pt idx="77">
                  <c:v>0.79736474772342081</c:v>
                </c:pt>
                <c:pt idx="78">
                  <c:v>0.79736474772342081</c:v>
                </c:pt>
                <c:pt idx="79">
                  <c:v>0.79736474772342081</c:v>
                </c:pt>
                <c:pt idx="80">
                  <c:v>1.1084862818305572</c:v>
                </c:pt>
                <c:pt idx="81">
                  <c:v>1.1084862818305572</c:v>
                </c:pt>
                <c:pt idx="82">
                  <c:v>1.1084862818305572</c:v>
                </c:pt>
                <c:pt idx="83">
                  <c:v>1.1084862818305572</c:v>
                </c:pt>
                <c:pt idx="84">
                  <c:v>1.1084862818305572</c:v>
                </c:pt>
                <c:pt idx="85">
                  <c:v>1.1084862818305572</c:v>
                </c:pt>
                <c:pt idx="86">
                  <c:v>1.1084862818305572</c:v>
                </c:pt>
                <c:pt idx="87">
                  <c:v>1.1084862818305572</c:v>
                </c:pt>
                <c:pt idx="88">
                  <c:v>1.508711845590718</c:v>
                </c:pt>
                <c:pt idx="89">
                  <c:v>1.508711845590718</c:v>
                </c:pt>
                <c:pt idx="90">
                  <c:v>1.508711845590718</c:v>
                </c:pt>
                <c:pt idx="91">
                  <c:v>1.508711845590718</c:v>
                </c:pt>
                <c:pt idx="92">
                  <c:v>1.508711845590718</c:v>
                </c:pt>
                <c:pt idx="93">
                  <c:v>1.508711845590718</c:v>
                </c:pt>
                <c:pt idx="94">
                  <c:v>1.508711845590718</c:v>
                </c:pt>
                <c:pt idx="95">
                  <c:v>1.508711845590718</c:v>
                </c:pt>
              </c:numCache>
            </c:numRef>
          </c:xVal>
          <c:yVal>
            <c:numRef>
              <c:f>Local!$AK$102:$AK$197</c:f>
              <c:numCache>
                <c:formatCode>General</c:formatCode>
                <c:ptCount val="96"/>
                <c:pt idx="0">
                  <c:v>1.1097256933415107</c:v>
                </c:pt>
                <c:pt idx="1">
                  <c:v>1.1097256933415107</c:v>
                </c:pt>
                <c:pt idx="2">
                  <c:v>1.1097256933415107</c:v>
                </c:pt>
                <c:pt idx="3">
                  <c:v>1.1097256933415107</c:v>
                </c:pt>
                <c:pt idx="4">
                  <c:v>1.1097256933415107</c:v>
                </c:pt>
                <c:pt idx="5">
                  <c:v>1.1097256933415107</c:v>
                </c:pt>
                <c:pt idx="6">
                  <c:v>1.1097256933415107</c:v>
                </c:pt>
                <c:pt idx="7">
                  <c:v>1.1097256933415107</c:v>
                </c:pt>
                <c:pt idx="8">
                  <c:v>1.0215187844376274</c:v>
                </c:pt>
                <c:pt idx="9">
                  <c:v>1.0215187844376274</c:v>
                </c:pt>
                <c:pt idx="10">
                  <c:v>1.0215187844376274</c:v>
                </c:pt>
                <c:pt idx="11">
                  <c:v>1.0215187844376274</c:v>
                </c:pt>
                <c:pt idx="12">
                  <c:v>1.0215187844376274</c:v>
                </c:pt>
                <c:pt idx="13">
                  <c:v>1.0215187844376274</c:v>
                </c:pt>
                <c:pt idx="14">
                  <c:v>1.0215187844376274</c:v>
                </c:pt>
                <c:pt idx="15">
                  <c:v>1.0215187844376274</c:v>
                </c:pt>
                <c:pt idx="16">
                  <c:v>0.99455998951003011</c:v>
                </c:pt>
                <c:pt idx="17">
                  <c:v>0.99455998951003011</c:v>
                </c:pt>
                <c:pt idx="18">
                  <c:v>0.99455998951003011</c:v>
                </c:pt>
                <c:pt idx="19">
                  <c:v>0.99455998951003011</c:v>
                </c:pt>
                <c:pt idx="20">
                  <c:v>0.99455998951003011</c:v>
                </c:pt>
                <c:pt idx="21">
                  <c:v>0.99455998951003011</c:v>
                </c:pt>
                <c:pt idx="22">
                  <c:v>0.99455998951003011</c:v>
                </c:pt>
                <c:pt idx="23">
                  <c:v>0.99455998951003011</c:v>
                </c:pt>
                <c:pt idx="24">
                  <c:v>0.8964760272778769</c:v>
                </c:pt>
                <c:pt idx="25">
                  <c:v>0.8964760272778769</c:v>
                </c:pt>
                <c:pt idx="26">
                  <c:v>0.8964760272778769</c:v>
                </c:pt>
                <c:pt idx="27">
                  <c:v>0.8964760272778769</c:v>
                </c:pt>
                <c:pt idx="28">
                  <c:v>0.8964760272778769</c:v>
                </c:pt>
                <c:pt idx="29">
                  <c:v>0.8964760272778769</c:v>
                </c:pt>
                <c:pt idx="30">
                  <c:v>0.8964760272778769</c:v>
                </c:pt>
                <c:pt idx="31">
                  <c:v>0.8964760272778769</c:v>
                </c:pt>
                <c:pt idx="32">
                  <c:v>0.87128800210660096</c:v>
                </c:pt>
                <c:pt idx="33">
                  <c:v>0.87128800210660096</c:v>
                </c:pt>
                <c:pt idx="34">
                  <c:v>0.87128800210660096</c:v>
                </c:pt>
                <c:pt idx="35">
                  <c:v>0.87128800210660096</c:v>
                </c:pt>
                <c:pt idx="36">
                  <c:v>0.87128800210660096</c:v>
                </c:pt>
                <c:pt idx="37">
                  <c:v>0.87128800210660096</c:v>
                </c:pt>
                <c:pt idx="38">
                  <c:v>0.87128800210660096</c:v>
                </c:pt>
                <c:pt idx="39">
                  <c:v>0.87128800210660096</c:v>
                </c:pt>
                <c:pt idx="40">
                  <c:v>0.86587161690105752</c:v>
                </c:pt>
                <c:pt idx="41">
                  <c:v>0.86587161690105752</c:v>
                </c:pt>
                <c:pt idx="42">
                  <c:v>0.86587161690105752</c:v>
                </c:pt>
                <c:pt idx="43">
                  <c:v>0.86587161690105752</c:v>
                </c:pt>
                <c:pt idx="44">
                  <c:v>0.86587161690105752</c:v>
                </c:pt>
                <c:pt idx="45">
                  <c:v>0.86587161690105752</c:v>
                </c:pt>
                <c:pt idx="46">
                  <c:v>0.86587161690105752</c:v>
                </c:pt>
                <c:pt idx="47">
                  <c:v>0.86587161690105752</c:v>
                </c:pt>
                <c:pt idx="48">
                  <c:v>1.0341744345176882</c:v>
                </c:pt>
                <c:pt idx="49">
                  <c:v>1.0341744345176882</c:v>
                </c:pt>
                <c:pt idx="50">
                  <c:v>1.0341744345176882</c:v>
                </c:pt>
                <c:pt idx="51">
                  <c:v>1.0341744345176882</c:v>
                </c:pt>
                <c:pt idx="52">
                  <c:v>1.0341744345176882</c:v>
                </c:pt>
                <c:pt idx="53">
                  <c:v>1.0341744345176882</c:v>
                </c:pt>
                <c:pt idx="54">
                  <c:v>1.0341744345176882</c:v>
                </c:pt>
                <c:pt idx="55">
                  <c:v>1.0341744345176882</c:v>
                </c:pt>
                <c:pt idx="56">
                  <c:v>0.99750509680050548</c:v>
                </c:pt>
                <c:pt idx="57">
                  <c:v>0.99750509680050548</c:v>
                </c:pt>
                <c:pt idx="58">
                  <c:v>0.99750509680050548</c:v>
                </c:pt>
                <c:pt idx="59">
                  <c:v>0.99750509680050548</c:v>
                </c:pt>
                <c:pt idx="60">
                  <c:v>0.99750509680050548</c:v>
                </c:pt>
                <c:pt idx="61">
                  <c:v>0.99750509680050548</c:v>
                </c:pt>
                <c:pt idx="62">
                  <c:v>0.99750509680050548</c:v>
                </c:pt>
                <c:pt idx="63">
                  <c:v>0.99750509680050548</c:v>
                </c:pt>
                <c:pt idx="64">
                  <c:v>0.9426544378140097</c:v>
                </c:pt>
                <c:pt idx="65">
                  <c:v>0.9426544378140097</c:v>
                </c:pt>
                <c:pt idx="66">
                  <c:v>0.9426544378140097</c:v>
                </c:pt>
                <c:pt idx="67">
                  <c:v>0.9426544378140097</c:v>
                </c:pt>
                <c:pt idx="68">
                  <c:v>0.9426544378140097</c:v>
                </c:pt>
                <c:pt idx="69">
                  <c:v>0.9426544378140097</c:v>
                </c:pt>
                <c:pt idx="70">
                  <c:v>0.9426544378140097</c:v>
                </c:pt>
                <c:pt idx="71">
                  <c:v>0.9426544378140097</c:v>
                </c:pt>
                <c:pt idx="72">
                  <c:v>0.79953283252729768</c:v>
                </c:pt>
                <c:pt idx="73">
                  <c:v>0.79953283252729768</c:v>
                </c:pt>
                <c:pt idx="74">
                  <c:v>0.79953283252729768</c:v>
                </c:pt>
                <c:pt idx="75">
                  <c:v>0.79953283252729768</c:v>
                </c:pt>
                <c:pt idx="76">
                  <c:v>0.79953283252729768</c:v>
                </c:pt>
                <c:pt idx="77">
                  <c:v>0.79953283252729768</c:v>
                </c:pt>
                <c:pt idx="78">
                  <c:v>0.79953283252729768</c:v>
                </c:pt>
                <c:pt idx="79">
                  <c:v>0.79953283252729768</c:v>
                </c:pt>
                <c:pt idx="80">
                  <c:v>0.66206942736160623</c:v>
                </c:pt>
                <c:pt idx="81">
                  <c:v>0.66206942736160623</c:v>
                </c:pt>
                <c:pt idx="82">
                  <c:v>0.66206942736160623</c:v>
                </c:pt>
                <c:pt idx="83">
                  <c:v>0.66206942736160623</c:v>
                </c:pt>
                <c:pt idx="84">
                  <c:v>0.66206942736160623</c:v>
                </c:pt>
                <c:pt idx="85">
                  <c:v>0.66206942736160623</c:v>
                </c:pt>
                <c:pt idx="86">
                  <c:v>0.66206942736160623</c:v>
                </c:pt>
                <c:pt idx="87">
                  <c:v>0.66206942736160623</c:v>
                </c:pt>
                <c:pt idx="88">
                  <c:v>0.58036876948907201</c:v>
                </c:pt>
                <c:pt idx="89">
                  <c:v>0.58036876948907201</c:v>
                </c:pt>
                <c:pt idx="90">
                  <c:v>0.58036876948907201</c:v>
                </c:pt>
                <c:pt idx="91">
                  <c:v>0.58036876948907201</c:v>
                </c:pt>
                <c:pt idx="92">
                  <c:v>0.58036876948907201</c:v>
                </c:pt>
                <c:pt idx="93">
                  <c:v>0.58036876948907201</c:v>
                </c:pt>
                <c:pt idx="94">
                  <c:v>0.58036876948907201</c:v>
                </c:pt>
                <c:pt idx="95">
                  <c:v>0.58036876948907201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E-4DB2-A201-A6BEFE451EF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Local!$AN$198:$AN$293</c:f>
              <c:numCache>
                <c:formatCode>General</c:formatCode>
                <c:ptCount val="96"/>
                <c:pt idx="0">
                  <c:v>0.36809482005128952</c:v>
                </c:pt>
                <c:pt idx="1">
                  <c:v>0.36809482005128952</c:v>
                </c:pt>
                <c:pt idx="2">
                  <c:v>0.36809482005128952</c:v>
                </c:pt>
                <c:pt idx="3">
                  <c:v>0.36809482005128952</c:v>
                </c:pt>
                <c:pt idx="4">
                  <c:v>0.36809482005128952</c:v>
                </c:pt>
                <c:pt idx="5">
                  <c:v>0.36809482005128952</c:v>
                </c:pt>
                <c:pt idx="6">
                  <c:v>0.36809482005128952</c:v>
                </c:pt>
                <c:pt idx="7">
                  <c:v>0.36809482005128952</c:v>
                </c:pt>
                <c:pt idx="8">
                  <c:v>0.47906140055312674</c:v>
                </c:pt>
                <c:pt idx="9">
                  <c:v>0.47906140055312674</c:v>
                </c:pt>
                <c:pt idx="10">
                  <c:v>0.47906140055312674</c:v>
                </c:pt>
                <c:pt idx="11">
                  <c:v>0.47906140055312674</c:v>
                </c:pt>
                <c:pt idx="12">
                  <c:v>0.47906140055312674</c:v>
                </c:pt>
                <c:pt idx="13">
                  <c:v>0.47906140055312674</c:v>
                </c:pt>
                <c:pt idx="14">
                  <c:v>0.47906140055312674</c:v>
                </c:pt>
                <c:pt idx="15">
                  <c:v>0.47906140055312674</c:v>
                </c:pt>
                <c:pt idx="16">
                  <c:v>0.57358323407761658</c:v>
                </c:pt>
                <c:pt idx="17">
                  <c:v>0.57358323407761658</c:v>
                </c:pt>
                <c:pt idx="18">
                  <c:v>0.57358323407761658</c:v>
                </c:pt>
                <c:pt idx="19">
                  <c:v>0.57358323407761658</c:v>
                </c:pt>
                <c:pt idx="20">
                  <c:v>0.57358323407761658</c:v>
                </c:pt>
                <c:pt idx="21">
                  <c:v>0.57358323407761658</c:v>
                </c:pt>
                <c:pt idx="22">
                  <c:v>0.57358323407761658</c:v>
                </c:pt>
                <c:pt idx="23">
                  <c:v>0.57358323407761658</c:v>
                </c:pt>
                <c:pt idx="24">
                  <c:v>0.76674108727760359</c:v>
                </c:pt>
                <c:pt idx="25">
                  <c:v>0.76674108727760359</c:v>
                </c:pt>
                <c:pt idx="26">
                  <c:v>0.76674108727760359</c:v>
                </c:pt>
                <c:pt idx="27">
                  <c:v>0.76674108727760359</c:v>
                </c:pt>
                <c:pt idx="28">
                  <c:v>0.76674108727760359</c:v>
                </c:pt>
                <c:pt idx="29">
                  <c:v>0.76674108727760359</c:v>
                </c:pt>
                <c:pt idx="30">
                  <c:v>0.76674108727760359</c:v>
                </c:pt>
                <c:pt idx="31">
                  <c:v>0.76674108727760359</c:v>
                </c:pt>
                <c:pt idx="32">
                  <c:v>1.0499309212385566</c:v>
                </c:pt>
                <c:pt idx="33">
                  <c:v>1.0499309212385566</c:v>
                </c:pt>
                <c:pt idx="34">
                  <c:v>1.0499309212385566</c:v>
                </c:pt>
                <c:pt idx="35">
                  <c:v>1.0499309212385566</c:v>
                </c:pt>
                <c:pt idx="36">
                  <c:v>1.0499309212385566</c:v>
                </c:pt>
                <c:pt idx="37">
                  <c:v>1.0499309212385566</c:v>
                </c:pt>
                <c:pt idx="38">
                  <c:v>1.0499309212385566</c:v>
                </c:pt>
                <c:pt idx="39">
                  <c:v>1.0499309212385566</c:v>
                </c:pt>
                <c:pt idx="40">
                  <c:v>1.4199737598176907</c:v>
                </c:pt>
                <c:pt idx="41">
                  <c:v>1.4199737598176907</c:v>
                </c:pt>
                <c:pt idx="42">
                  <c:v>1.4199737598176907</c:v>
                </c:pt>
                <c:pt idx="43">
                  <c:v>1.4199737598176907</c:v>
                </c:pt>
                <c:pt idx="44">
                  <c:v>1.4199737598176907</c:v>
                </c:pt>
                <c:pt idx="45">
                  <c:v>1.4199737598176907</c:v>
                </c:pt>
                <c:pt idx="46">
                  <c:v>1.4199737598176907</c:v>
                </c:pt>
                <c:pt idx="47">
                  <c:v>1.4199737598176907</c:v>
                </c:pt>
                <c:pt idx="48">
                  <c:v>0.35149815102468268</c:v>
                </c:pt>
                <c:pt idx="49">
                  <c:v>0.35149815102468268</c:v>
                </c:pt>
                <c:pt idx="50">
                  <c:v>0.35149815102468268</c:v>
                </c:pt>
                <c:pt idx="51">
                  <c:v>0.35149815102468268</c:v>
                </c:pt>
                <c:pt idx="52">
                  <c:v>0.35149815102468268</c:v>
                </c:pt>
                <c:pt idx="53">
                  <c:v>0.35149815102468268</c:v>
                </c:pt>
                <c:pt idx="54">
                  <c:v>0.35149815102468268</c:v>
                </c:pt>
                <c:pt idx="55">
                  <c:v>0.35149815102468268</c:v>
                </c:pt>
                <c:pt idx="56">
                  <c:v>0.50063528279327463</c:v>
                </c:pt>
                <c:pt idx="57">
                  <c:v>0.50063528279327463</c:v>
                </c:pt>
                <c:pt idx="58">
                  <c:v>0.50063528279327463</c:v>
                </c:pt>
                <c:pt idx="59">
                  <c:v>0.50063528279327463</c:v>
                </c:pt>
                <c:pt idx="60">
                  <c:v>0.50063528279327463</c:v>
                </c:pt>
                <c:pt idx="61">
                  <c:v>0.50063528279327463</c:v>
                </c:pt>
                <c:pt idx="62">
                  <c:v>0.50063528279327463</c:v>
                </c:pt>
                <c:pt idx="63">
                  <c:v>0.50063528279327463</c:v>
                </c:pt>
                <c:pt idx="64">
                  <c:v>0.59653621105277554</c:v>
                </c:pt>
                <c:pt idx="65">
                  <c:v>0.59653621105277554</c:v>
                </c:pt>
                <c:pt idx="66">
                  <c:v>0.59653621105277554</c:v>
                </c:pt>
                <c:pt idx="67">
                  <c:v>0.59653621105277554</c:v>
                </c:pt>
                <c:pt idx="68">
                  <c:v>0.59653621105277554</c:v>
                </c:pt>
                <c:pt idx="69">
                  <c:v>0.59653621105277554</c:v>
                </c:pt>
                <c:pt idx="70">
                  <c:v>0.59653621105277554</c:v>
                </c:pt>
                <c:pt idx="71">
                  <c:v>0.59653621105277554</c:v>
                </c:pt>
                <c:pt idx="72">
                  <c:v>0.79504838081632234</c:v>
                </c:pt>
                <c:pt idx="73">
                  <c:v>0.79504838081632234</c:v>
                </c:pt>
                <c:pt idx="74">
                  <c:v>0.79504838081632234</c:v>
                </c:pt>
                <c:pt idx="75">
                  <c:v>0.79504838081632234</c:v>
                </c:pt>
                <c:pt idx="76">
                  <c:v>0.79504838081632234</c:v>
                </c:pt>
                <c:pt idx="77">
                  <c:v>0.79504838081632234</c:v>
                </c:pt>
                <c:pt idx="78">
                  <c:v>0.79504838081632234</c:v>
                </c:pt>
                <c:pt idx="79">
                  <c:v>0.79504838081632234</c:v>
                </c:pt>
                <c:pt idx="80">
                  <c:v>1.1057373964136243</c:v>
                </c:pt>
                <c:pt idx="81">
                  <c:v>1.1057373964136243</c:v>
                </c:pt>
                <c:pt idx="82">
                  <c:v>1.1057373964136243</c:v>
                </c:pt>
                <c:pt idx="83">
                  <c:v>1.1057373964136243</c:v>
                </c:pt>
                <c:pt idx="84">
                  <c:v>1.1057373964136243</c:v>
                </c:pt>
                <c:pt idx="85">
                  <c:v>1.1057373964136243</c:v>
                </c:pt>
                <c:pt idx="86">
                  <c:v>1.1057373964136243</c:v>
                </c:pt>
                <c:pt idx="87">
                  <c:v>1.1057373964136243</c:v>
                </c:pt>
                <c:pt idx="88">
                  <c:v>1.5053478981373021</c:v>
                </c:pt>
                <c:pt idx="89">
                  <c:v>1.5053478981373021</c:v>
                </c:pt>
                <c:pt idx="90">
                  <c:v>1.5053478981373021</c:v>
                </c:pt>
                <c:pt idx="91">
                  <c:v>1.5053478981373021</c:v>
                </c:pt>
                <c:pt idx="92">
                  <c:v>1.5053478981373021</c:v>
                </c:pt>
                <c:pt idx="93">
                  <c:v>1.5053478981373021</c:v>
                </c:pt>
                <c:pt idx="94">
                  <c:v>1.5053478981373021</c:v>
                </c:pt>
                <c:pt idx="95">
                  <c:v>1.5053478981373021</c:v>
                </c:pt>
              </c:numCache>
            </c:numRef>
          </c:xVal>
          <c:yVal>
            <c:numRef>
              <c:f>Local!$AK$198:$AK$293</c:f>
              <c:numCache>
                <c:formatCode>General</c:formatCode>
                <c:ptCount val="96"/>
                <c:pt idx="0">
                  <c:v>1.0598341778761915</c:v>
                </c:pt>
                <c:pt idx="1">
                  <c:v>1.0598341778761915</c:v>
                </c:pt>
                <c:pt idx="2">
                  <c:v>1.0598341778761915</c:v>
                </c:pt>
                <c:pt idx="3">
                  <c:v>1.0598341778761915</c:v>
                </c:pt>
                <c:pt idx="4">
                  <c:v>1.0598341778761915</c:v>
                </c:pt>
                <c:pt idx="5">
                  <c:v>1.0598341778761915</c:v>
                </c:pt>
                <c:pt idx="6">
                  <c:v>1.0598341778761915</c:v>
                </c:pt>
                <c:pt idx="7">
                  <c:v>1.0598341778761915</c:v>
                </c:pt>
                <c:pt idx="8">
                  <c:v>1.0163686273422265</c:v>
                </c:pt>
                <c:pt idx="9">
                  <c:v>1.0163686273422265</c:v>
                </c:pt>
                <c:pt idx="10">
                  <c:v>1.0163686273422265</c:v>
                </c:pt>
                <c:pt idx="11">
                  <c:v>1.0163686273422265</c:v>
                </c:pt>
                <c:pt idx="12">
                  <c:v>1.0163686273422265</c:v>
                </c:pt>
                <c:pt idx="13">
                  <c:v>1.0163686273422265</c:v>
                </c:pt>
                <c:pt idx="14">
                  <c:v>1.0163686273422265</c:v>
                </c:pt>
                <c:pt idx="15">
                  <c:v>1.0163686273422265</c:v>
                </c:pt>
                <c:pt idx="16">
                  <c:v>0.98460415584026495</c:v>
                </c:pt>
                <c:pt idx="17">
                  <c:v>0.98460415584026495</c:v>
                </c:pt>
                <c:pt idx="18">
                  <c:v>0.98460415584026495</c:v>
                </c:pt>
                <c:pt idx="19">
                  <c:v>0.98460415584026495</c:v>
                </c:pt>
                <c:pt idx="20">
                  <c:v>0.98460415584026495</c:v>
                </c:pt>
                <c:pt idx="21">
                  <c:v>0.98460415584026495</c:v>
                </c:pt>
                <c:pt idx="22">
                  <c:v>0.98460415584026495</c:v>
                </c:pt>
                <c:pt idx="23">
                  <c:v>0.98460415584026495</c:v>
                </c:pt>
                <c:pt idx="24">
                  <c:v>0.90992969508953903</c:v>
                </c:pt>
                <c:pt idx="25">
                  <c:v>0.90992969508953903</c:v>
                </c:pt>
                <c:pt idx="26">
                  <c:v>0.90992969508953903</c:v>
                </c:pt>
                <c:pt idx="27">
                  <c:v>0.90992969508953903</c:v>
                </c:pt>
                <c:pt idx="28">
                  <c:v>0.90992969508953903</c:v>
                </c:pt>
                <c:pt idx="29">
                  <c:v>0.90992969508953903</c:v>
                </c:pt>
                <c:pt idx="30">
                  <c:v>0.90992969508953903</c:v>
                </c:pt>
                <c:pt idx="31">
                  <c:v>0.90992969508953903</c:v>
                </c:pt>
                <c:pt idx="32">
                  <c:v>0.8869245612332064</c:v>
                </c:pt>
                <c:pt idx="33">
                  <c:v>0.8869245612332064</c:v>
                </c:pt>
                <c:pt idx="34">
                  <c:v>0.8869245612332064</c:v>
                </c:pt>
                <c:pt idx="35">
                  <c:v>0.8869245612332064</c:v>
                </c:pt>
                <c:pt idx="36">
                  <c:v>0.8869245612332064</c:v>
                </c:pt>
                <c:pt idx="37">
                  <c:v>0.8869245612332064</c:v>
                </c:pt>
                <c:pt idx="38">
                  <c:v>0.8869245612332064</c:v>
                </c:pt>
                <c:pt idx="39">
                  <c:v>0.8869245612332064</c:v>
                </c:pt>
                <c:pt idx="40">
                  <c:v>0.88162604206864925</c:v>
                </c:pt>
                <c:pt idx="41">
                  <c:v>0.88162604206864925</c:v>
                </c:pt>
                <c:pt idx="42">
                  <c:v>0.88162604206864925</c:v>
                </c:pt>
                <c:pt idx="43">
                  <c:v>0.88162604206864925</c:v>
                </c:pt>
                <c:pt idx="44">
                  <c:v>0.88162604206864925</c:v>
                </c:pt>
                <c:pt idx="45">
                  <c:v>0.88162604206864925</c:v>
                </c:pt>
                <c:pt idx="46">
                  <c:v>0.88162604206864925</c:v>
                </c:pt>
                <c:pt idx="47">
                  <c:v>0.88162604206864925</c:v>
                </c:pt>
                <c:pt idx="48">
                  <c:v>1.0238961113393781</c:v>
                </c:pt>
                <c:pt idx="49">
                  <c:v>1.0238961113393781</c:v>
                </c:pt>
                <c:pt idx="50">
                  <c:v>1.0238961113393781</c:v>
                </c:pt>
                <c:pt idx="51">
                  <c:v>1.0238961113393781</c:v>
                </c:pt>
                <c:pt idx="52">
                  <c:v>1.0238961113393781</c:v>
                </c:pt>
                <c:pt idx="53">
                  <c:v>1.0238961113393781</c:v>
                </c:pt>
                <c:pt idx="54">
                  <c:v>1.0238961113393781</c:v>
                </c:pt>
                <c:pt idx="55">
                  <c:v>1.0238961113393781</c:v>
                </c:pt>
                <c:pt idx="56">
                  <c:v>0.99229698518122766</c:v>
                </c:pt>
                <c:pt idx="57">
                  <c:v>0.99229698518122766</c:v>
                </c:pt>
                <c:pt idx="58">
                  <c:v>0.99229698518122766</c:v>
                </c:pt>
                <c:pt idx="59">
                  <c:v>0.99229698518122766</c:v>
                </c:pt>
                <c:pt idx="60">
                  <c:v>0.99229698518122766</c:v>
                </c:pt>
                <c:pt idx="61">
                  <c:v>0.99229698518122766</c:v>
                </c:pt>
                <c:pt idx="62">
                  <c:v>0.99229698518122766</c:v>
                </c:pt>
                <c:pt idx="63">
                  <c:v>0.99229698518122766</c:v>
                </c:pt>
                <c:pt idx="64">
                  <c:v>0.93814976278525242</c:v>
                </c:pt>
                <c:pt idx="65">
                  <c:v>0.93814976278525242</c:v>
                </c:pt>
                <c:pt idx="66">
                  <c:v>0.93814976278525242</c:v>
                </c:pt>
                <c:pt idx="67">
                  <c:v>0.93814976278525242</c:v>
                </c:pt>
                <c:pt idx="68">
                  <c:v>0.93814976278525242</c:v>
                </c:pt>
                <c:pt idx="69">
                  <c:v>0.93814976278525242</c:v>
                </c:pt>
                <c:pt idx="70">
                  <c:v>0.93814976278525242</c:v>
                </c:pt>
                <c:pt idx="71">
                  <c:v>0.93814976278525242</c:v>
                </c:pt>
                <c:pt idx="72">
                  <c:v>0.79819398974097666</c:v>
                </c:pt>
                <c:pt idx="73">
                  <c:v>0.79819398974097666</c:v>
                </c:pt>
                <c:pt idx="74">
                  <c:v>0.79819398974097666</c:v>
                </c:pt>
                <c:pt idx="75">
                  <c:v>0.79819398974097666</c:v>
                </c:pt>
                <c:pt idx="76">
                  <c:v>0.79819398974097666</c:v>
                </c:pt>
                <c:pt idx="77">
                  <c:v>0.79819398974097666</c:v>
                </c:pt>
                <c:pt idx="78">
                  <c:v>0.79819398974097666</c:v>
                </c:pt>
                <c:pt idx="79">
                  <c:v>0.79819398974097666</c:v>
                </c:pt>
                <c:pt idx="80">
                  <c:v>0.66500225422673287</c:v>
                </c:pt>
                <c:pt idx="81">
                  <c:v>0.66500225422673287</c:v>
                </c:pt>
                <c:pt idx="82">
                  <c:v>0.66500225422673287</c:v>
                </c:pt>
                <c:pt idx="83">
                  <c:v>0.66500225422673287</c:v>
                </c:pt>
                <c:pt idx="84">
                  <c:v>0.66500225422673287</c:v>
                </c:pt>
                <c:pt idx="85">
                  <c:v>0.66500225422673287</c:v>
                </c:pt>
                <c:pt idx="86">
                  <c:v>0.66500225422673287</c:v>
                </c:pt>
                <c:pt idx="87">
                  <c:v>0.66500225422673287</c:v>
                </c:pt>
                <c:pt idx="88">
                  <c:v>0.57989073631813981</c:v>
                </c:pt>
                <c:pt idx="89">
                  <c:v>0.57989073631813981</c:v>
                </c:pt>
                <c:pt idx="90">
                  <c:v>0.57989073631813981</c:v>
                </c:pt>
                <c:pt idx="91">
                  <c:v>0.57989073631813981</c:v>
                </c:pt>
                <c:pt idx="92">
                  <c:v>0.57989073631813981</c:v>
                </c:pt>
                <c:pt idx="93">
                  <c:v>0.57989073631813981</c:v>
                </c:pt>
                <c:pt idx="94">
                  <c:v>0.57989073631813981</c:v>
                </c:pt>
                <c:pt idx="95">
                  <c:v>0.57989073631813981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E-4DB2-A201-A6BEFE45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537231"/>
        <c:axId val="2044534831"/>
      </c:scatterChart>
      <c:valAx>
        <c:axId val="20445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4831"/>
        <c:crosses val="autoZero"/>
        <c:crossBetween val="midCat"/>
      </c:valAx>
      <c:valAx>
        <c:axId val="2044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7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Local!$AC$198:$AC$245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Local!$AO$198:$AO$245</c:f>
              <c:numCache>
                <c:formatCode>General</c:formatCode>
                <c:ptCount val="48"/>
                <c:pt idx="0">
                  <c:v>0.88662645090543746</c:v>
                </c:pt>
                <c:pt idx="1">
                  <c:v>0.89126471711312738</c:v>
                </c:pt>
                <c:pt idx="2">
                  <c:v>0.98156200977668562</c:v>
                </c:pt>
                <c:pt idx="3">
                  <c:v>0.99420048998826227</c:v>
                </c:pt>
                <c:pt idx="4">
                  <c:v>0.96472956746318728</c:v>
                </c:pt>
                <c:pt idx="5">
                  <c:v>0.96276174571254514</c:v>
                </c:pt>
                <c:pt idx="6">
                  <c:v>0.99798867004350666</c:v>
                </c:pt>
                <c:pt idx="7">
                  <c:v>1.0246496441711375</c:v>
                </c:pt>
                <c:pt idx="8">
                  <c:v>0.89293151009974903</c:v>
                </c:pt>
                <c:pt idx="9">
                  <c:v>0.932373949017272</c:v>
                </c:pt>
                <c:pt idx="10">
                  <c:v>1.0178065995708749</c:v>
                </c:pt>
                <c:pt idx="11">
                  <c:v>1.0260653090109737</c:v>
                </c:pt>
                <c:pt idx="12">
                  <c:v>1.0013591878646939</c:v>
                </c:pt>
                <c:pt idx="13">
                  <c:v>0.99551076415674766</c:v>
                </c:pt>
                <c:pt idx="14">
                  <c:v>1.0234111022040302</c:v>
                </c:pt>
                <c:pt idx="15">
                  <c:v>1.0438346064004513</c:v>
                </c:pt>
                <c:pt idx="16">
                  <c:v>0.92333842928102672</c:v>
                </c:pt>
                <c:pt idx="17">
                  <c:v>0.96378207424253393</c:v>
                </c:pt>
                <c:pt idx="18">
                  <c:v>1.04311164590338</c:v>
                </c:pt>
                <c:pt idx="19">
                  <c:v>1.0503976865290658</c:v>
                </c:pt>
                <c:pt idx="20">
                  <c:v>1.0284211916956814</c:v>
                </c:pt>
                <c:pt idx="21">
                  <c:v>1.0225472283595498</c:v>
                </c:pt>
                <c:pt idx="22">
                  <c:v>1.0458773686793514</c:v>
                </c:pt>
                <c:pt idx="23">
                  <c:v>1.062827810696759</c:v>
                </c:pt>
                <c:pt idx="24">
                  <c:v>0.83599101652045094</c:v>
                </c:pt>
                <c:pt idx="25">
                  <c:v>1.012714394352777</c:v>
                </c:pt>
                <c:pt idx="26">
                  <c:v>1.1020313006750611</c:v>
                </c:pt>
                <c:pt idx="27">
                  <c:v>1.118016388816679</c:v>
                </c:pt>
                <c:pt idx="28">
                  <c:v>1.1044012593785235</c:v>
                </c:pt>
                <c:pt idx="29">
                  <c:v>1.1004039066269315</c:v>
                </c:pt>
                <c:pt idx="30">
                  <c:v>1.1195897775821431</c:v>
                </c:pt>
                <c:pt idx="31">
                  <c:v>1.1331585102993571</c:v>
                </c:pt>
                <c:pt idx="32">
                  <c:v>0.77977852672145209</c:v>
                </c:pt>
                <c:pt idx="33">
                  <c:v>0.98862744420548476</c:v>
                </c:pt>
                <c:pt idx="34">
                  <c:v>1.0653015435735493</c:v>
                </c:pt>
                <c:pt idx="35">
                  <c:v>1.0964597040050403</c:v>
                </c:pt>
                <c:pt idx="36">
                  <c:v>1.1167466385637019</c:v>
                </c:pt>
                <c:pt idx="37">
                  <c:v>1.1240117618866661</c:v>
                </c:pt>
                <c:pt idx="38">
                  <c:v>1.1391435181259117</c:v>
                </c:pt>
                <c:pt idx="39">
                  <c:v>1.1492786070576391</c:v>
                </c:pt>
                <c:pt idx="40">
                  <c:v>0.81087915888280049</c:v>
                </c:pt>
                <c:pt idx="41">
                  <c:v>0.97950184719836964</c:v>
                </c:pt>
                <c:pt idx="42">
                  <c:v>1.0385534410869521</c:v>
                </c:pt>
                <c:pt idx="43">
                  <c:v>1.0632239308499436</c:v>
                </c:pt>
                <c:pt idx="44">
                  <c:v>1.0995847929737468</c:v>
                </c:pt>
                <c:pt idx="45">
                  <c:v>1.124980119639724</c:v>
                </c:pt>
                <c:pt idx="46">
                  <c:v>1.1391353240320332</c:v>
                </c:pt>
                <c:pt idx="47">
                  <c:v>1.1470478771454244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9-4574-8212-625AC2C28E55}"/>
            </c:ext>
          </c:extLst>
        </c:ser>
        <c:ser>
          <c:idx val="1"/>
          <c:order val="1"/>
          <c:tx>
            <c:v>H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Local!$AC$246:$AC$293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Local!$AO$246:$AO$293</c:f>
              <c:numCache>
                <c:formatCode>General</c:formatCode>
                <c:ptCount val="48"/>
                <c:pt idx="0">
                  <c:v>0.86225511872583405</c:v>
                </c:pt>
                <c:pt idx="1">
                  <c:v>0.93483771478174105</c:v>
                </c:pt>
                <c:pt idx="2">
                  <c:v>0.98958977592293884</c:v>
                </c:pt>
                <c:pt idx="3">
                  <c:v>0.97895187433665853</c:v>
                </c:pt>
                <c:pt idx="4">
                  <c:v>0.9696908010021813</c:v>
                </c:pt>
                <c:pt idx="5">
                  <c:v>0.96881287773722091</c:v>
                </c:pt>
                <c:pt idx="6">
                  <c:v>0.97698480468864501</c:v>
                </c:pt>
                <c:pt idx="7">
                  <c:v>0.98284201874430033</c:v>
                </c:pt>
                <c:pt idx="8">
                  <c:v>0.9378096564732058</c:v>
                </c:pt>
                <c:pt idx="9">
                  <c:v>0.94242058924416183</c:v>
                </c:pt>
                <c:pt idx="10">
                  <c:v>1.006973222345221</c:v>
                </c:pt>
                <c:pt idx="11">
                  <c:v>0.9927899259297096</c:v>
                </c:pt>
                <c:pt idx="12">
                  <c:v>0.98697263397425183</c:v>
                </c:pt>
                <c:pt idx="13">
                  <c:v>0.99202000335418516</c:v>
                </c:pt>
                <c:pt idx="14">
                  <c:v>1.001713246937705</c:v>
                </c:pt>
                <c:pt idx="15">
                  <c:v>1.0079239117261005</c:v>
                </c:pt>
                <c:pt idx="16">
                  <c:v>0.91773652338256428</c:v>
                </c:pt>
                <c:pt idx="17">
                  <c:v>0.96056536692138583</c:v>
                </c:pt>
                <c:pt idx="18">
                  <c:v>1.0467202973612959</c:v>
                </c:pt>
                <c:pt idx="19">
                  <c:v>1.0300213026055378</c:v>
                </c:pt>
                <c:pt idx="20">
                  <c:v>1.029700439437472</c:v>
                </c:pt>
                <c:pt idx="21">
                  <c:v>1.0414833685872376</c:v>
                </c:pt>
                <c:pt idx="22">
                  <c:v>1.0532056816853614</c:v>
                </c:pt>
                <c:pt idx="23">
                  <c:v>1.0602730202836752</c:v>
                </c:pt>
                <c:pt idx="24">
                  <c:v>0.91123775369811588</c:v>
                </c:pt>
                <c:pt idx="25">
                  <c:v>0.98629337369463699</c:v>
                </c:pt>
                <c:pt idx="26">
                  <c:v>1.1231194383044436</c:v>
                </c:pt>
                <c:pt idx="27">
                  <c:v>1.1242063653776235</c:v>
                </c:pt>
                <c:pt idx="28">
                  <c:v>1.1520124340321163</c:v>
                </c:pt>
                <c:pt idx="29">
                  <c:v>1.1925998574674825</c:v>
                </c:pt>
                <c:pt idx="30">
                  <c:v>1.2147426403249058</c:v>
                </c:pt>
                <c:pt idx="31">
                  <c:v>1.2260389029208716</c:v>
                </c:pt>
                <c:pt idx="32">
                  <c:v>0.90286568810375134</c:v>
                </c:pt>
                <c:pt idx="33">
                  <c:v>0.95471008280857805</c:v>
                </c:pt>
                <c:pt idx="34">
                  <c:v>1.0659703277222221</c:v>
                </c:pt>
                <c:pt idx="35">
                  <c:v>1.0649548146904826</c:v>
                </c:pt>
                <c:pt idx="36">
                  <c:v>1.1451899920653652</c:v>
                </c:pt>
                <c:pt idx="37">
                  <c:v>1.2624826177411097</c:v>
                </c:pt>
                <c:pt idx="38">
                  <c:v>1.3402610346866024</c:v>
                </c:pt>
                <c:pt idx="39">
                  <c:v>1.381056009325754</c:v>
                </c:pt>
                <c:pt idx="40" formatCode="0.00000000">
                  <c:v>0.78404684419923631</c:v>
                </c:pt>
                <c:pt idx="41">
                  <c:v>0.94337482669613137</c:v>
                </c:pt>
                <c:pt idx="42">
                  <c:v>1.0000146676122605</c:v>
                </c:pt>
                <c:pt idx="43">
                  <c:v>0.95174144385102488</c:v>
                </c:pt>
                <c:pt idx="44">
                  <c:v>0.98834589686798702</c:v>
                </c:pt>
                <c:pt idx="45">
                  <c:v>1.100992707579211</c:v>
                </c:pt>
                <c:pt idx="46">
                  <c:v>1.2067395141170196</c:v>
                </c:pt>
                <c:pt idx="47">
                  <c:v>1.2987572866233759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C9-4574-8212-625AC2C28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65792"/>
        <c:axId val="116566272"/>
      </c:scatterChart>
      <c:valAx>
        <c:axId val="11656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6272"/>
        <c:crosses val="autoZero"/>
        <c:crossBetween val="midCat"/>
      </c:valAx>
      <c:valAx>
        <c:axId val="1165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Buckling curves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</c:v>
          </c:tx>
          <c:xVal>
            <c:numRef>
              <c:f>curves!$A$2:$A$202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</c:v>
                </c:pt>
                <c:pt idx="11">
                  <c:v>0.16499999999999998</c:v>
                </c:pt>
                <c:pt idx="12">
                  <c:v>0.18</c:v>
                </c:pt>
                <c:pt idx="13">
                  <c:v>0.19500000000000001</c:v>
                </c:pt>
                <c:pt idx="14">
                  <c:v>0.21</c:v>
                </c:pt>
                <c:pt idx="15">
                  <c:v>0.22499999999999998</c:v>
                </c:pt>
                <c:pt idx="16">
                  <c:v>0.24</c:v>
                </c:pt>
                <c:pt idx="17">
                  <c:v>0.255</c:v>
                </c:pt>
                <c:pt idx="18">
                  <c:v>0.27</c:v>
                </c:pt>
                <c:pt idx="19">
                  <c:v>0.28499999999999998</c:v>
                </c:pt>
                <c:pt idx="20">
                  <c:v>0.3</c:v>
                </c:pt>
                <c:pt idx="21">
                  <c:v>0.315</c:v>
                </c:pt>
                <c:pt idx="22">
                  <c:v>0.32999999999999996</c:v>
                </c:pt>
                <c:pt idx="23">
                  <c:v>0.34499999999999997</c:v>
                </c:pt>
                <c:pt idx="24">
                  <c:v>0.36</c:v>
                </c:pt>
                <c:pt idx="25">
                  <c:v>0.375</c:v>
                </c:pt>
                <c:pt idx="26">
                  <c:v>0.39</c:v>
                </c:pt>
                <c:pt idx="27">
                  <c:v>0.40499999999999997</c:v>
                </c:pt>
                <c:pt idx="28">
                  <c:v>0.42</c:v>
                </c:pt>
                <c:pt idx="29">
                  <c:v>0.435</c:v>
                </c:pt>
                <c:pt idx="30">
                  <c:v>0.44999999999999996</c:v>
                </c:pt>
                <c:pt idx="31">
                  <c:v>0.46499999999999997</c:v>
                </c:pt>
                <c:pt idx="32">
                  <c:v>0.48</c:v>
                </c:pt>
                <c:pt idx="33">
                  <c:v>0.495</c:v>
                </c:pt>
                <c:pt idx="34">
                  <c:v>0.51</c:v>
                </c:pt>
                <c:pt idx="35">
                  <c:v>0.52500000000000002</c:v>
                </c:pt>
                <c:pt idx="36">
                  <c:v>0.54</c:v>
                </c:pt>
                <c:pt idx="37">
                  <c:v>0.55499999999999994</c:v>
                </c:pt>
                <c:pt idx="38">
                  <c:v>0.56999999999999995</c:v>
                </c:pt>
                <c:pt idx="39">
                  <c:v>0.58499999999999996</c:v>
                </c:pt>
                <c:pt idx="40">
                  <c:v>0.6</c:v>
                </c:pt>
                <c:pt idx="41">
                  <c:v>0.61499999999999999</c:v>
                </c:pt>
                <c:pt idx="42">
                  <c:v>0.63</c:v>
                </c:pt>
                <c:pt idx="43">
                  <c:v>0.64500000000000002</c:v>
                </c:pt>
                <c:pt idx="44">
                  <c:v>0.65999999999999992</c:v>
                </c:pt>
                <c:pt idx="45">
                  <c:v>0.67499999999999993</c:v>
                </c:pt>
                <c:pt idx="46">
                  <c:v>0.69</c:v>
                </c:pt>
                <c:pt idx="47">
                  <c:v>0.70499999999999996</c:v>
                </c:pt>
                <c:pt idx="48">
                  <c:v>0.72</c:v>
                </c:pt>
                <c:pt idx="49">
                  <c:v>0.73499999999999999</c:v>
                </c:pt>
                <c:pt idx="50">
                  <c:v>0.75</c:v>
                </c:pt>
                <c:pt idx="51">
                  <c:v>0.76500000000000001</c:v>
                </c:pt>
                <c:pt idx="52">
                  <c:v>0.78</c:v>
                </c:pt>
                <c:pt idx="53">
                  <c:v>0.79499999999999993</c:v>
                </c:pt>
                <c:pt idx="54">
                  <c:v>0.80999999999999994</c:v>
                </c:pt>
                <c:pt idx="55">
                  <c:v>0.82499999999999996</c:v>
                </c:pt>
                <c:pt idx="56">
                  <c:v>0.84</c:v>
                </c:pt>
                <c:pt idx="57">
                  <c:v>0.85499999999999998</c:v>
                </c:pt>
                <c:pt idx="58">
                  <c:v>0.87</c:v>
                </c:pt>
                <c:pt idx="59">
                  <c:v>0.88500000000000001</c:v>
                </c:pt>
                <c:pt idx="60">
                  <c:v>0.89999999999999991</c:v>
                </c:pt>
                <c:pt idx="61">
                  <c:v>0.91499999999999992</c:v>
                </c:pt>
                <c:pt idx="62">
                  <c:v>0.92999999999999994</c:v>
                </c:pt>
                <c:pt idx="63">
                  <c:v>0.94499999999999995</c:v>
                </c:pt>
                <c:pt idx="64">
                  <c:v>0.96</c:v>
                </c:pt>
                <c:pt idx="65">
                  <c:v>0.97499999999999998</c:v>
                </c:pt>
                <c:pt idx="66">
                  <c:v>0.99</c:v>
                </c:pt>
                <c:pt idx="67">
                  <c:v>1.0049999999999999</c:v>
                </c:pt>
                <c:pt idx="68">
                  <c:v>1.02</c:v>
                </c:pt>
                <c:pt idx="69">
                  <c:v>1.0349999999999999</c:v>
                </c:pt>
                <c:pt idx="70">
                  <c:v>1.05</c:v>
                </c:pt>
                <c:pt idx="71">
                  <c:v>1.0649999999999999</c:v>
                </c:pt>
                <c:pt idx="72">
                  <c:v>1.08</c:v>
                </c:pt>
                <c:pt idx="73">
                  <c:v>1.095</c:v>
                </c:pt>
                <c:pt idx="74">
                  <c:v>1.1099999999999999</c:v>
                </c:pt>
                <c:pt idx="75">
                  <c:v>1.125</c:v>
                </c:pt>
                <c:pt idx="76">
                  <c:v>1.1399999999999999</c:v>
                </c:pt>
                <c:pt idx="77">
                  <c:v>1.155</c:v>
                </c:pt>
                <c:pt idx="78">
                  <c:v>1.17</c:v>
                </c:pt>
                <c:pt idx="79">
                  <c:v>1.1850000000000001</c:v>
                </c:pt>
                <c:pt idx="80">
                  <c:v>1.2</c:v>
                </c:pt>
                <c:pt idx="81">
                  <c:v>1.2149999999999999</c:v>
                </c:pt>
                <c:pt idx="82">
                  <c:v>1.23</c:v>
                </c:pt>
                <c:pt idx="83">
                  <c:v>1.2449999999999999</c:v>
                </c:pt>
                <c:pt idx="84">
                  <c:v>1.26</c:v>
                </c:pt>
                <c:pt idx="85">
                  <c:v>1.2749999999999999</c:v>
                </c:pt>
                <c:pt idx="86">
                  <c:v>1.29</c:v>
                </c:pt>
                <c:pt idx="87">
                  <c:v>1.3049999999999999</c:v>
                </c:pt>
                <c:pt idx="88">
                  <c:v>1.3199999999999998</c:v>
                </c:pt>
                <c:pt idx="89">
                  <c:v>1.335</c:v>
                </c:pt>
                <c:pt idx="90">
                  <c:v>1.3499999999999999</c:v>
                </c:pt>
                <c:pt idx="91">
                  <c:v>1.365</c:v>
                </c:pt>
                <c:pt idx="92">
                  <c:v>1.38</c:v>
                </c:pt>
                <c:pt idx="93">
                  <c:v>1.395</c:v>
                </c:pt>
                <c:pt idx="94">
                  <c:v>1.41</c:v>
                </c:pt>
                <c:pt idx="95">
                  <c:v>1.425</c:v>
                </c:pt>
                <c:pt idx="96">
                  <c:v>1.44</c:v>
                </c:pt>
                <c:pt idx="97">
                  <c:v>1.4549999999999998</c:v>
                </c:pt>
                <c:pt idx="98">
                  <c:v>1.47</c:v>
                </c:pt>
                <c:pt idx="99">
                  <c:v>1.4849999999999999</c:v>
                </c:pt>
                <c:pt idx="100">
                  <c:v>1.5</c:v>
                </c:pt>
                <c:pt idx="101">
                  <c:v>1.5149999999999999</c:v>
                </c:pt>
                <c:pt idx="102">
                  <c:v>1.53</c:v>
                </c:pt>
                <c:pt idx="103">
                  <c:v>1.5449999999999999</c:v>
                </c:pt>
                <c:pt idx="104">
                  <c:v>1.56</c:v>
                </c:pt>
                <c:pt idx="105">
                  <c:v>1.575</c:v>
                </c:pt>
                <c:pt idx="106">
                  <c:v>1.5899999999999999</c:v>
                </c:pt>
                <c:pt idx="107">
                  <c:v>1.605</c:v>
                </c:pt>
                <c:pt idx="108">
                  <c:v>1.6199999999999999</c:v>
                </c:pt>
                <c:pt idx="109">
                  <c:v>1.635</c:v>
                </c:pt>
                <c:pt idx="110">
                  <c:v>1.65</c:v>
                </c:pt>
                <c:pt idx="111">
                  <c:v>1.665</c:v>
                </c:pt>
                <c:pt idx="112">
                  <c:v>1.68</c:v>
                </c:pt>
                <c:pt idx="113">
                  <c:v>1.6949999999999998</c:v>
                </c:pt>
                <c:pt idx="114">
                  <c:v>1.71</c:v>
                </c:pt>
                <c:pt idx="115">
                  <c:v>1.7249999999999999</c:v>
                </c:pt>
                <c:pt idx="116">
                  <c:v>1.74</c:v>
                </c:pt>
                <c:pt idx="117">
                  <c:v>1.7549999999999999</c:v>
                </c:pt>
                <c:pt idx="118">
                  <c:v>1.77</c:v>
                </c:pt>
                <c:pt idx="119">
                  <c:v>1.7849999999999999</c:v>
                </c:pt>
                <c:pt idx="120">
                  <c:v>1.7999999999999998</c:v>
                </c:pt>
                <c:pt idx="121">
                  <c:v>1.8149999999999999</c:v>
                </c:pt>
                <c:pt idx="122">
                  <c:v>1.8299999999999998</c:v>
                </c:pt>
                <c:pt idx="123">
                  <c:v>1.845</c:v>
                </c:pt>
                <c:pt idx="124">
                  <c:v>1.8599999999999999</c:v>
                </c:pt>
                <c:pt idx="125">
                  <c:v>1.875</c:v>
                </c:pt>
                <c:pt idx="126">
                  <c:v>1.89</c:v>
                </c:pt>
                <c:pt idx="127">
                  <c:v>1.905</c:v>
                </c:pt>
                <c:pt idx="128">
                  <c:v>1.92</c:v>
                </c:pt>
                <c:pt idx="129">
                  <c:v>1.9349999999999998</c:v>
                </c:pt>
                <c:pt idx="130">
                  <c:v>1.95</c:v>
                </c:pt>
                <c:pt idx="131">
                  <c:v>1.9649999999999999</c:v>
                </c:pt>
                <c:pt idx="132">
                  <c:v>1.98</c:v>
                </c:pt>
                <c:pt idx="133">
                  <c:v>1.9949999999999999</c:v>
                </c:pt>
                <c:pt idx="134">
                  <c:v>2.0099999999999998</c:v>
                </c:pt>
                <c:pt idx="135">
                  <c:v>2.0249999999999999</c:v>
                </c:pt>
                <c:pt idx="136">
                  <c:v>2.04</c:v>
                </c:pt>
                <c:pt idx="137">
                  <c:v>2.0549999999999997</c:v>
                </c:pt>
                <c:pt idx="138">
                  <c:v>2.0699999999999998</c:v>
                </c:pt>
                <c:pt idx="139">
                  <c:v>2.085</c:v>
                </c:pt>
                <c:pt idx="140">
                  <c:v>2.1</c:v>
                </c:pt>
                <c:pt idx="141">
                  <c:v>2.1149999999999998</c:v>
                </c:pt>
                <c:pt idx="142">
                  <c:v>2.13</c:v>
                </c:pt>
                <c:pt idx="143">
                  <c:v>2.145</c:v>
                </c:pt>
                <c:pt idx="144">
                  <c:v>2.16</c:v>
                </c:pt>
                <c:pt idx="145">
                  <c:v>2.1749999999999998</c:v>
                </c:pt>
                <c:pt idx="146">
                  <c:v>2.19</c:v>
                </c:pt>
                <c:pt idx="147">
                  <c:v>2.2050000000000001</c:v>
                </c:pt>
                <c:pt idx="148">
                  <c:v>2.2199999999999998</c:v>
                </c:pt>
                <c:pt idx="149">
                  <c:v>2.2349999999999999</c:v>
                </c:pt>
                <c:pt idx="150">
                  <c:v>2.25</c:v>
                </c:pt>
                <c:pt idx="151">
                  <c:v>2.2650000000000001</c:v>
                </c:pt>
                <c:pt idx="152">
                  <c:v>2.2799999999999998</c:v>
                </c:pt>
                <c:pt idx="153">
                  <c:v>2.2949999999999999</c:v>
                </c:pt>
                <c:pt idx="154">
                  <c:v>2.31</c:v>
                </c:pt>
                <c:pt idx="155">
                  <c:v>2.3249999999999997</c:v>
                </c:pt>
                <c:pt idx="156">
                  <c:v>2.34</c:v>
                </c:pt>
                <c:pt idx="157">
                  <c:v>2.355</c:v>
                </c:pt>
                <c:pt idx="158">
                  <c:v>2.37</c:v>
                </c:pt>
                <c:pt idx="159">
                  <c:v>2.3849999999999998</c:v>
                </c:pt>
                <c:pt idx="160">
                  <c:v>2.4</c:v>
                </c:pt>
                <c:pt idx="161">
                  <c:v>2.415</c:v>
                </c:pt>
                <c:pt idx="162">
                  <c:v>2.4299999999999997</c:v>
                </c:pt>
                <c:pt idx="163">
                  <c:v>2.4449999999999998</c:v>
                </c:pt>
                <c:pt idx="164">
                  <c:v>2.46</c:v>
                </c:pt>
                <c:pt idx="165">
                  <c:v>2.4750000000000001</c:v>
                </c:pt>
                <c:pt idx="166">
                  <c:v>2.4899999999999998</c:v>
                </c:pt>
                <c:pt idx="167">
                  <c:v>2.5049999999999999</c:v>
                </c:pt>
                <c:pt idx="168">
                  <c:v>2.52</c:v>
                </c:pt>
                <c:pt idx="169">
                  <c:v>2.5349999999999997</c:v>
                </c:pt>
                <c:pt idx="170">
                  <c:v>2.5499999999999998</c:v>
                </c:pt>
                <c:pt idx="171">
                  <c:v>2.5649999999999999</c:v>
                </c:pt>
                <c:pt idx="172">
                  <c:v>2.58</c:v>
                </c:pt>
                <c:pt idx="173">
                  <c:v>2.5949999999999998</c:v>
                </c:pt>
                <c:pt idx="174">
                  <c:v>2.61</c:v>
                </c:pt>
                <c:pt idx="175">
                  <c:v>2.625</c:v>
                </c:pt>
                <c:pt idx="176">
                  <c:v>2.6399999999999997</c:v>
                </c:pt>
                <c:pt idx="177">
                  <c:v>2.6549999999999998</c:v>
                </c:pt>
                <c:pt idx="178">
                  <c:v>2.67</c:v>
                </c:pt>
                <c:pt idx="179">
                  <c:v>2.6850000000000001</c:v>
                </c:pt>
                <c:pt idx="180">
                  <c:v>2.6999999999999997</c:v>
                </c:pt>
                <c:pt idx="181">
                  <c:v>2.7149999999999999</c:v>
                </c:pt>
                <c:pt idx="182">
                  <c:v>2.73</c:v>
                </c:pt>
                <c:pt idx="183">
                  <c:v>2.7450000000000001</c:v>
                </c:pt>
                <c:pt idx="184">
                  <c:v>2.76</c:v>
                </c:pt>
                <c:pt idx="185">
                  <c:v>2.7749999999999999</c:v>
                </c:pt>
                <c:pt idx="186">
                  <c:v>2.79</c:v>
                </c:pt>
                <c:pt idx="187">
                  <c:v>2.8049999999999997</c:v>
                </c:pt>
                <c:pt idx="188">
                  <c:v>2.82</c:v>
                </c:pt>
                <c:pt idx="189">
                  <c:v>2.835</c:v>
                </c:pt>
                <c:pt idx="190">
                  <c:v>2.85</c:v>
                </c:pt>
                <c:pt idx="191">
                  <c:v>2.8649999999999998</c:v>
                </c:pt>
                <c:pt idx="192">
                  <c:v>2.88</c:v>
                </c:pt>
                <c:pt idx="193">
                  <c:v>2.895</c:v>
                </c:pt>
                <c:pt idx="194">
                  <c:v>2.9099999999999997</c:v>
                </c:pt>
                <c:pt idx="195">
                  <c:v>2.9249999999999998</c:v>
                </c:pt>
                <c:pt idx="196">
                  <c:v>2.94</c:v>
                </c:pt>
                <c:pt idx="197">
                  <c:v>2.9550000000000001</c:v>
                </c:pt>
                <c:pt idx="198">
                  <c:v>2.9699999999999998</c:v>
                </c:pt>
                <c:pt idx="199">
                  <c:v>2.9849999999999999</c:v>
                </c:pt>
                <c:pt idx="200">
                  <c:v>3</c:v>
                </c:pt>
              </c:numCache>
            </c:numRef>
          </c:xVal>
          <c:yVal>
            <c:numRef>
              <c:f>curves!$D$2:$D$202</c:f>
              <c:numCache>
                <c:formatCode>General</c:formatCode>
                <c:ptCount val="201"/>
                <c:pt idx="0">
                  <c:v>1.0729613733905581</c:v>
                </c:pt>
                <c:pt idx="1">
                  <c:v>1.067139174623587</c:v>
                </c:pt>
                <c:pt idx="2">
                  <c:v>1.0614080461630939</c:v>
                </c:pt>
                <c:pt idx="3">
                  <c:v>1.0557576319588282</c:v>
                </c:pt>
                <c:pt idx="4">
                  <c:v>1.0501781874597262</c:v>
                </c:pt>
                <c:pt idx="5">
                  <c:v>1.0446605062687995</c:v>
                </c:pt>
                <c:pt idx="6">
                  <c:v>1.0391958555812126</c:v>
                </c:pt>
                <c:pt idx="7">
                  <c:v>1.0337759191576892</c:v>
                </c:pt>
                <c:pt idx="8">
                  <c:v>1.0283927467990603</c:v>
                </c:pt>
                <c:pt idx="9">
                  <c:v>1.0230387094635032</c:v>
                </c:pt>
                <c:pt idx="10">
                  <c:v>1.017706459313672</c:v>
                </c:pt>
                <c:pt idx="11">
                  <c:v>1.012388894102644</c:v>
                </c:pt>
                <c:pt idx="12">
                  <c:v>1.0070791254102174</c:v>
                </c:pt>
                <c:pt idx="13">
                  <c:v>1.0017704503284459</c:v>
                </c:pt>
                <c:pt idx="14">
                  <c:v>0.9964563262704017</c:v>
                </c:pt>
                <c:pt idx="15">
                  <c:v>0.99113034864148053</c:v>
                </c:pt>
                <c:pt idx="16">
                  <c:v>0.98578623117000286</c:v>
                </c:pt>
                <c:pt idx="17">
                  <c:v>0.98041778874503482</c:v>
                </c:pt>
                <c:pt idx="18">
                  <c:v>0.97501892265540446</c:v>
                </c:pt>
                <c:pt idx="19">
                  <c:v>0.96958360816584765</c:v>
                </c:pt>
                <c:pt idx="20">
                  <c:v>0.96410588440475942</c:v>
                </c:pt>
                <c:pt idx="21">
                  <c:v>0.95857984657366768</c:v>
                </c:pt>
                <c:pt idx="22">
                  <c:v>0.95299964052159802</c:v>
                </c:pt>
                <c:pt idx="23">
                  <c:v>0.94735945975805069</c:v>
                </c:pt>
                <c:pt idx="24">
                  <c:v>0.94165354500629239</c:v>
                </c:pt>
                <c:pt idx="25">
                  <c:v>0.9358761864237527</c:v>
                </c:pt>
                <c:pt idx="26">
                  <c:v>0.93002172863802024</c:v>
                </c:pt>
                <c:pt idx="27">
                  <c:v>0.92408457876448347</c:v>
                </c:pt>
                <c:pt idx="28">
                  <c:v>0.91805921758411024</c:v>
                </c:pt>
                <c:pt idx="29">
                  <c:v>0.91194021406595116</c:v>
                </c:pt>
                <c:pt idx="30">
                  <c:v>0.90572224341724772</c:v>
                </c:pt>
                <c:pt idx="31">
                  <c:v>0.89940010883282862</c:v>
                </c:pt>
                <c:pt idx="32">
                  <c:v>0.89296876709294204</c:v>
                </c:pt>
                <c:pt idx="33">
                  <c:v>0.88642335812278528</c:v>
                </c:pt>
                <c:pt idx="34">
                  <c:v>0.87975923857579308</c:v>
                </c:pt>
                <c:pt idx="35">
                  <c:v>0.87297201943430869</c:v>
                </c:pt>
                <c:pt idx="36">
                  <c:v>0.86605760753404759</c:v>
                </c:pt>
                <c:pt idx="37">
                  <c:v>0.85901225081165722</c:v>
                </c:pt>
                <c:pt idx="38">
                  <c:v>0.85183258694748443</c:v>
                </c:pt>
                <c:pt idx="39">
                  <c:v>0.8445156949291458</c:v>
                </c:pt>
                <c:pt idx="40">
                  <c:v>0.83705914889797306</c:v>
                </c:pt>
                <c:pt idx="41">
                  <c:v>0.82946107346376652</c:v>
                </c:pt>
                <c:pt idx="42">
                  <c:v>0.82172019948950659</c:v>
                </c:pt>
                <c:pt idx="43">
                  <c:v>0.813835919164692</c:v>
                </c:pt>
                <c:pt idx="44">
                  <c:v>0.80580833901389315</c:v>
                </c:pt>
                <c:pt idx="45">
                  <c:v>0.79763832933777834</c:v>
                </c:pt>
                <c:pt idx="46">
                  <c:v>0.78932756847047669</c:v>
                </c:pt>
                <c:pt idx="47">
                  <c:v>0.7808785801733541</c:v>
                </c:pt>
                <c:pt idx="48">
                  <c:v>0.77229476248420137</c:v>
                </c:pt>
                <c:pt idx="49">
                  <c:v>0.76358040641365232</c:v>
                </c:pt>
                <c:pt idx="50">
                  <c:v>0.75474070303528973</c:v>
                </c:pt>
                <c:pt idx="51">
                  <c:v>0.74578173775551426</c:v>
                </c:pt>
                <c:pt idx="52">
                  <c:v>0.73671047087120767</c:v>
                </c:pt>
                <c:pt idx="53">
                  <c:v>0.72753470391826525</c:v>
                </c:pt>
                <c:pt idx="54">
                  <c:v>0.71826303176626616</c:v>
                </c:pt>
                <c:pt idx="55">
                  <c:v>0.70890478090192133</c:v>
                </c:pt>
                <c:pt idx="56">
                  <c:v>0.699469934839825</c:v>
                </c:pt>
                <c:pt idx="57">
                  <c:v>0.68996904807422277</c:v>
                </c:pt>
                <c:pt idx="58">
                  <c:v>0.68041315041068062</c:v>
                </c:pt>
                <c:pt idx="59">
                  <c:v>0.67081364386508757</c:v>
                </c:pt>
                <c:pt idx="60">
                  <c:v>0.66118219456787619</c:v>
                </c:pt>
                <c:pt idx="61">
                  <c:v>0.65153062224947067</c:v>
                </c:pt>
                <c:pt idx="62">
                  <c:v>0.64187078990293445</c:v>
                </c:pt>
                <c:pt idx="63">
                  <c:v>0.63221449612450042</c:v>
                </c:pt>
                <c:pt idx="64">
                  <c:v>0.62257337243314637</c:v>
                </c:pt>
                <c:pt idx="65">
                  <c:v>0.61295878758423694</c:v>
                </c:pt>
                <c:pt idx="66">
                  <c:v>0.60338176054178261</c:v>
                </c:pt>
                <c:pt idx="67">
                  <c:v>0.59385288338361075</c:v>
                </c:pt>
                <c:pt idx="68">
                  <c:v>0.58438225500836105</c:v>
                </c:pt>
                <c:pt idx="69">
                  <c:v>0.57497942611534802</c:v>
                </c:pt>
                <c:pt idx="70">
                  <c:v>0.56565335555721841</c:v>
                </c:pt>
                <c:pt idx="71">
                  <c:v>0.55641237783576425</c:v>
                </c:pt>
                <c:pt idx="72">
                  <c:v>0.54726418123319276</c:v>
                </c:pt>
                <c:pt idx="73">
                  <c:v>0.53821579584992385</c:v>
                </c:pt>
                <c:pt idx="74">
                  <c:v>0.52927359065659441</c:v>
                </c:pt>
                <c:pt idx="75">
                  <c:v>0.52044327856006356</c:v>
                </c:pt>
                <c:pt idx="76">
                  <c:v>0.51172992842577114</c:v>
                </c:pt>
                <c:pt idx="77">
                  <c:v>0.50313798298514256</c:v>
                </c:pt>
                <c:pt idx="78">
                  <c:v>0.49467128157922019</c:v>
                </c:pt>
                <c:pt idx="79">
                  <c:v>0.48633308674046727</c:v>
                </c:pt>
                <c:pt idx="80">
                  <c:v>0.47812611368623387</c:v>
                </c:pt>
                <c:pt idx="81">
                  <c:v>0.47005256188277378</c:v>
                </c:pt>
                <c:pt idx="82">
                  <c:v>0.46211414793202898</c:v>
                </c:pt>
                <c:pt idx="83">
                  <c:v>0.45431213912965618</c:v>
                </c:pt>
                <c:pt idx="84">
                  <c:v>0.44664738713805141</c:v>
                </c:pt>
                <c:pt idx="85">
                  <c:v>0.43912036130943394</c:v>
                </c:pt>
                <c:pt idx="86">
                  <c:v>0.43173118127929588</c:v>
                </c:pt>
                <c:pt idx="87">
                  <c:v>0.42447964852833647</c:v>
                </c:pt>
                <c:pt idx="88">
                  <c:v>0.41736527668064283</c:v>
                </c:pt>
                <c:pt idx="89">
                  <c:v>0.41038732036708658</c:v>
                </c:pt>
                <c:pt idx="90">
                  <c:v>0.403544802535799</c:v>
                </c:pt>
                <c:pt idx="91">
                  <c:v>0.39683654013652059</c:v>
                </c:pt>
                <c:pt idx="92">
                  <c:v>0.39026116814318068</c:v>
                </c:pt>
                <c:pt idx="93">
                  <c:v>0.38381716190987036</c:v>
                </c:pt>
                <c:pt idx="94">
                  <c:v>0.37750285788018695</c:v>
                </c:pt>
                <c:pt idx="95">
                  <c:v>0.37131647268943579</c:v>
                </c:pt>
                <c:pt idx="96">
                  <c:v>0.36525612071411551</c:v>
                </c:pt>
                <c:pt idx="97">
                  <c:v>0.35931983013413499</c:v>
                </c:pt>
                <c:pt idx="98">
                  <c:v>0.35350555758093699</c:v>
                </c:pt>
                <c:pt idx="99">
                  <c:v>0.34781120144969641</c:v>
                </c:pt>
                <c:pt idx="100">
                  <c:v>0.3422346139564999</c:v>
                </c:pt>
                <c:pt idx="101">
                  <c:v>0.33677361202235717</c:v>
                </c:pt>
                <c:pt idx="102">
                  <c:v>0.33142598706538484</c:v>
                </c:pt>
                <c:pt idx="103">
                  <c:v>0.32618951378089733</c:v>
                </c:pt>
                <c:pt idx="104">
                  <c:v>0.32106195798667053</c:v>
                </c:pt>
                <c:pt idx="105">
                  <c:v>0.31604108360757144</c:v>
                </c:pt>
                <c:pt idx="106">
                  <c:v>0.31112465887022939</c:v>
                </c:pt>
                <c:pt idx="107">
                  <c:v>0.30631046177463694</c:v>
                </c:pt>
                <c:pt idx="108">
                  <c:v>0.30159628490561402</c:v>
                </c:pt>
                <c:pt idx="109">
                  <c:v>0.29697993964306119</c:v>
                </c:pt>
                <c:pt idx="110">
                  <c:v>0.29245925982593335</c:v>
                </c:pt>
                <c:pt idx="111">
                  <c:v>0.28803210492094594</c:v>
                </c:pt>
                <c:pt idx="112">
                  <c:v>0.28369636274322541</c:v>
                </c:pt>
                <c:pt idx="113">
                  <c:v>0.27944995177246401</c:v>
                </c:pt>
                <c:pt idx="114">
                  <c:v>0.27529082310466518</c:v>
                </c:pt>
                <c:pt idx="115">
                  <c:v>0.27121696207627088</c:v>
                </c:pt>
                <c:pt idx="116">
                  <c:v>0.26722638959436629</c:v>
                </c:pt>
                <c:pt idx="117">
                  <c:v>0.26331716320376097</c:v>
                </c:pt>
                <c:pt idx="118">
                  <c:v>0.25948737791903631</c:v>
                </c:pt>
                <c:pt idx="119">
                  <c:v>0.2557351668471422</c:v>
                </c:pt>
                <c:pt idx="120">
                  <c:v>0.25205870162379834</c:v>
                </c:pt>
                <c:pt idx="121">
                  <c:v>0.24845619268480829</c:v>
                </c:pt>
                <c:pt idx="122">
                  <c:v>0.24492588939142054</c:v>
                </c:pt>
                <c:pt idx="123">
                  <c:v>0.24146608002704778</c:v>
                </c:pt>
                <c:pt idx="124">
                  <c:v>0.2380750916809988</c:v>
                </c:pt>
                <c:pt idx="125">
                  <c:v>0.23475129003334438</c:v>
                </c:pt>
                <c:pt idx="126">
                  <c:v>0.23149307905365396</c:v>
                </c:pt>
                <c:pt idx="127">
                  <c:v>0.22829890062506178</c:v>
                </c:pt>
                <c:pt idx="128">
                  <c:v>0.22516723410397027</c:v>
                </c:pt>
                <c:pt idx="129">
                  <c:v>0.22209659582464106</c:v>
                </c:pt>
                <c:pt idx="130">
                  <c:v>0.21908553855696924</c:v>
                </c:pt>
                <c:pt idx="131">
                  <c:v>0.21613265092486802</c:v>
                </c:pt>
                <c:pt idx="132">
                  <c:v>0.21323655679190051</c:v>
                </c:pt>
                <c:pt idx="133">
                  <c:v>0.21039591462008694</c:v>
                </c:pt>
                <c:pt idx="134">
                  <c:v>0.20760941680716458</c:v>
                </c:pt>
                <c:pt idx="135">
                  <c:v>0.20487578900699754</c:v>
                </c:pt>
                <c:pt idx="136">
                  <c:v>0.20219378943730484</c:v>
                </c:pt>
                <c:pt idx="137">
                  <c:v>0.19956220817839829</c:v>
                </c:pt>
                <c:pt idx="138">
                  <c:v>0.1969798664661942</c:v>
                </c:pt>
                <c:pt idx="139">
                  <c:v>0.19444561598237489</c:v>
                </c:pt>
                <c:pt idx="140">
                  <c:v>0.19195833814422772</c:v>
                </c:pt>
                <c:pt idx="141">
                  <c:v>0.1895169433963759</c:v>
                </c:pt>
                <c:pt idx="142">
                  <c:v>0.18712037050633482</c:v>
                </c:pt>
                <c:pt idx="143">
                  <c:v>0.18476758586557401</c:v>
                </c:pt>
                <c:pt idx="144">
                  <c:v>0.18245758279753718</c:v>
                </c:pt>
                <c:pt idx="145">
                  <c:v>0.18018938087387193</c:v>
                </c:pt>
                <c:pt idx="146">
                  <c:v>0.17796202523993543</c:v>
                </c:pt>
                <c:pt idx="147">
                  <c:v>0.17577458595048387</c:v>
                </c:pt>
                <c:pt idx="148">
                  <c:v>0.17362615731630376</c:v>
                </c:pt>
                <c:pt idx="149">
                  <c:v>0.17151585726241644</c:v>
                </c:pt>
                <c:pt idx="150">
                  <c:v>0.1694428266983716</c:v>
                </c:pt>
                <c:pt idx="151">
                  <c:v>0.16740622890104068</c:v>
                </c:pt>
                <c:pt idx="152">
                  <c:v>0.16540524891023292</c:v>
                </c:pt>
                <c:pt idx="153">
                  <c:v>0.16343909293737377</c:v>
                </c:pt>
                <c:pt idx="154">
                  <c:v>0.16150698778741479</c:v>
                </c:pt>
                <c:pt idx="155">
                  <c:v>0.15960818029408153</c:v>
                </c:pt>
                <c:pt idx="156">
                  <c:v>0.15774193676850901</c:v>
                </c:pt>
                <c:pt idx="157">
                  <c:v>0.15590754246126776</c:v>
                </c:pt>
                <c:pt idx="158">
                  <c:v>0.1541043010377392</c:v>
                </c:pt>
                <c:pt idx="159">
                  <c:v>0.15233153406676186</c:v>
                </c:pt>
                <c:pt idx="160">
                  <c:v>0.15058858052243959</c:v>
                </c:pt>
                <c:pt idx="161">
                  <c:v>0.14887479629897327</c:v>
                </c:pt>
                <c:pt idx="162">
                  <c:v>0.14718955373835407</c:v>
                </c:pt>
                <c:pt idx="163">
                  <c:v>0.14553224117073643</c:v>
                </c:pt>
                <c:pt idx="164">
                  <c:v>0.14390226246729174</c:v>
                </c:pt>
                <c:pt idx="165">
                  <c:v>0.14229903660532842</c:v>
                </c:pt>
                <c:pt idx="166">
                  <c:v>0.14072199724545312</c:v>
                </c:pt>
                <c:pt idx="167">
                  <c:v>0.13917059232053747</c:v>
                </c:pt>
                <c:pt idx="168">
                  <c:v>0.13764428363624803</c:v>
                </c:pt>
                <c:pt idx="169">
                  <c:v>0.1361425464828897</c:v>
                </c:pt>
                <c:pt idx="170">
                  <c:v>0.13466486925830937</c:v>
                </c:pt>
                <c:pt idx="171">
                  <c:v>0.13321075310160396</c:v>
                </c:pt>
                <c:pt idx="172">
                  <c:v>0.13177971153737428</c:v>
                </c:pt>
                <c:pt idx="173">
                  <c:v>0.1303712701302655</c:v>
                </c:pt>
                <c:pt idx="174">
                  <c:v>0.12898496614953597</c:v>
                </c:pt>
                <c:pt idx="175">
                  <c:v>0.12762034824339635</c:v>
                </c:pt>
                <c:pt idx="176">
                  <c:v>0.1262769761228632</c:v>
                </c:pt>
                <c:pt idx="177">
                  <c:v>0.12495442025487262</c:v>
                </c:pt>
                <c:pt idx="178">
                  <c:v>0.12365226156440431</c:v>
                </c:pt>
                <c:pt idx="179">
                  <c:v>0.12237009114536712</c:v>
                </c:pt>
                <c:pt idx="180">
                  <c:v>0.12110750998000297</c:v>
                </c:pt>
                <c:pt idx="181">
                  <c:v>0.11986412866656895</c:v>
                </c:pt>
                <c:pt idx="182">
                  <c:v>0.11863956715506244</c:v>
                </c:pt>
                <c:pt idx="183">
                  <c:v>0.11743345449075737</c:v>
                </c:pt>
                <c:pt idx="184">
                  <c:v>0.11624542856532603</c:v>
                </c:pt>
                <c:pt idx="185">
                  <c:v>0.11507513587532406</c:v>
                </c:pt>
                <c:pt idx="186">
                  <c:v>0.11392223128782304</c:v>
                </c:pt>
                <c:pt idx="187">
                  <c:v>0.11278637781297782</c:v>
                </c:pt>
                <c:pt idx="188">
                  <c:v>0.11166724638332289</c:v>
                </c:pt>
                <c:pt idx="189">
                  <c:v>0.11056451563959617</c:v>
                </c:pt>
                <c:pt idx="190">
                  <c:v>0.1094778717228936</c:v>
                </c:pt>
                <c:pt idx="191">
                  <c:v>0.10840700807296373</c:v>
                </c:pt>
                <c:pt idx="192">
                  <c:v>0.10735162523245542</c:v>
                </c:pt>
                <c:pt idx="193">
                  <c:v>0.10631143065693853</c:v>
                </c:pt>
                <c:pt idx="194">
                  <c:v>0.10528613853052031</c:v>
                </c:pt>
                <c:pt idx="195">
                  <c:v>0.1042754695868871</c:v>
                </c:pt>
                <c:pt idx="196">
                  <c:v>0.10327915093560472</c:v>
                </c:pt>
                <c:pt idx="197">
                  <c:v>0.10229691589351535</c:v>
                </c:pt>
                <c:pt idx="198">
                  <c:v>0.10132850382107517</c:v>
                </c:pt>
                <c:pt idx="199">
                  <c:v>0.10037365996347919</c:v>
                </c:pt>
                <c:pt idx="200">
                  <c:v>9.9432135296426361E-2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D-4016-90DB-AEF58AB2056E}"/>
            </c:ext>
          </c:extLst>
        </c:ser>
        <c:ser>
          <c:idx val="1"/>
          <c:order val="1"/>
          <c:tx>
            <c:v>Global Only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ED7D31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'Global Only'!$AC$6:$AC$293</c:f>
              <c:numCache>
                <c:formatCode>0.00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  <c:pt idx="48">
                  <c:v>1.0136389211411383</c:v>
                </c:pt>
                <c:pt idx="49">
                  <c:v>0.87927475833839686</c:v>
                </c:pt>
                <c:pt idx="50">
                  <c:v>0.7210844981978688</c:v>
                </c:pt>
                <c:pt idx="51">
                  <c:v>0.6512974990708571</c:v>
                </c:pt>
                <c:pt idx="52">
                  <c:v>0.48197744449634278</c:v>
                </c:pt>
                <c:pt idx="53">
                  <c:v>0.32496578214121186</c:v>
                </c:pt>
                <c:pt idx="54">
                  <c:v>0.22415542605383473</c:v>
                </c:pt>
                <c:pt idx="55">
                  <c:v>0.14145261282710786</c:v>
                </c:pt>
                <c:pt idx="56">
                  <c:v>1.0238588967186413</c:v>
                </c:pt>
                <c:pt idx="57">
                  <c:v>0.88799757040382965</c:v>
                </c:pt>
                <c:pt idx="58">
                  <c:v>0.72515637957617529</c:v>
                </c:pt>
                <c:pt idx="59">
                  <c:v>0.65432919682863777</c:v>
                </c:pt>
                <c:pt idx="60">
                  <c:v>0.48481833222002502</c:v>
                </c:pt>
                <c:pt idx="61">
                  <c:v>0.32637780634722363</c:v>
                </c:pt>
                <c:pt idx="62">
                  <c:v>0.22502891169985859</c:v>
                </c:pt>
                <c:pt idx="63">
                  <c:v>0.14200067667657226</c:v>
                </c:pt>
                <c:pt idx="64">
                  <c:v>1.0300534446372873</c:v>
                </c:pt>
                <c:pt idx="65">
                  <c:v>0.89343539695107743</c:v>
                </c:pt>
                <c:pt idx="66">
                  <c:v>0.72766244190667728</c:v>
                </c:pt>
                <c:pt idx="67">
                  <c:v>0.65604148674678842</c:v>
                </c:pt>
                <c:pt idx="68">
                  <c:v>0.48613701198117854</c:v>
                </c:pt>
                <c:pt idx="69">
                  <c:v>0.32703216519703543</c:v>
                </c:pt>
                <c:pt idx="70">
                  <c:v>0.22544794080101771</c:v>
                </c:pt>
                <c:pt idx="71">
                  <c:v>0.14227621823863845</c:v>
                </c:pt>
                <c:pt idx="72">
                  <c:v>1.0439695080444971</c:v>
                </c:pt>
                <c:pt idx="73">
                  <c:v>0.90224705451700382</c:v>
                </c:pt>
                <c:pt idx="74">
                  <c:v>0.73256967725920108</c:v>
                </c:pt>
                <c:pt idx="75">
                  <c:v>0.65909210359471981</c:v>
                </c:pt>
                <c:pt idx="76">
                  <c:v>0.4883529446564287</c:v>
                </c:pt>
                <c:pt idx="77">
                  <c:v>0.32814099353527293</c:v>
                </c:pt>
                <c:pt idx="78">
                  <c:v>0.22621321446381135</c:v>
                </c:pt>
                <c:pt idx="79">
                  <c:v>0.14288106593124036</c:v>
                </c:pt>
                <c:pt idx="80">
                  <c:v>1.0561801493668677</c:v>
                </c:pt>
                <c:pt idx="81">
                  <c:v>0.91468361103515639</c:v>
                </c:pt>
                <c:pt idx="82">
                  <c:v>0.73974682621118848</c:v>
                </c:pt>
                <c:pt idx="83">
                  <c:v>0.66326503254470215</c:v>
                </c:pt>
                <c:pt idx="84">
                  <c:v>0.49102843923237816</c:v>
                </c:pt>
                <c:pt idx="85">
                  <c:v>0.32960948268280132</c:v>
                </c:pt>
                <c:pt idx="86">
                  <c:v>0.22727469286655613</c:v>
                </c:pt>
                <c:pt idx="87">
                  <c:v>0.14362894977452836</c:v>
                </c:pt>
                <c:pt idx="88">
                  <c:v>1.0691757237993755</c:v>
                </c:pt>
                <c:pt idx="89">
                  <c:v>0.92610550951961479</c:v>
                </c:pt>
                <c:pt idx="90">
                  <c:v>0.74784564950100896</c:v>
                </c:pt>
                <c:pt idx="91">
                  <c:v>0.66820553293099649</c:v>
                </c:pt>
                <c:pt idx="92">
                  <c:v>0.49392159911988315</c:v>
                </c:pt>
                <c:pt idx="93">
                  <c:v>0.3312837314758032</c:v>
                </c:pt>
                <c:pt idx="94">
                  <c:v>0.22846161791030137</c:v>
                </c:pt>
                <c:pt idx="95">
                  <c:v>0.14447196757265598</c:v>
                </c:pt>
                <c:pt idx="96">
                  <c:v>1.249536947007837</c:v>
                </c:pt>
                <c:pt idx="97">
                  <c:v>1.0567559483299949</c:v>
                </c:pt>
                <c:pt idx="98">
                  <c:v>0.90153884682400254</c:v>
                </c:pt>
                <c:pt idx="99">
                  <c:v>0.74953548211251608</c:v>
                </c:pt>
                <c:pt idx="100">
                  <c:v>0.51122078168800444</c:v>
                </c:pt>
                <c:pt idx="101">
                  <c:v>0.34345258617321206</c:v>
                </c:pt>
                <c:pt idx="102">
                  <c:v>0.2446056861018612</c:v>
                </c:pt>
                <c:pt idx="103">
                  <c:v>0.15739228831669186</c:v>
                </c:pt>
                <c:pt idx="104">
                  <c:v>1.1967777426078328</c:v>
                </c:pt>
                <c:pt idx="105">
                  <c:v>1.048138918840164</c:v>
                </c:pt>
                <c:pt idx="106">
                  <c:v>0.88856643339239971</c:v>
                </c:pt>
                <c:pt idx="107">
                  <c:v>0.74632223562401134</c:v>
                </c:pt>
                <c:pt idx="108">
                  <c:v>0.5109134833785498</c:v>
                </c:pt>
                <c:pt idx="109">
                  <c:v>0.34280014038351342</c:v>
                </c:pt>
                <c:pt idx="110">
                  <c:v>0.24394592307730428</c:v>
                </c:pt>
                <c:pt idx="111">
                  <c:v>0.15692762546383879</c:v>
                </c:pt>
                <c:pt idx="112">
                  <c:v>1.1058520957171876</c:v>
                </c:pt>
                <c:pt idx="113">
                  <c:v>1.0421825850749162</c:v>
                </c:pt>
                <c:pt idx="114">
                  <c:v>0.88300823658387562</c:v>
                </c:pt>
                <c:pt idx="115">
                  <c:v>0.74475486976212746</c:v>
                </c:pt>
                <c:pt idx="116">
                  <c:v>0.51024027790799487</c:v>
                </c:pt>
                <c:pt idx="117">
                  <c:v>0.34197012684268036</c:v>
                </c:pt>
                <c:pt idx="118">
                  <c:v>0.24323349627591812</c:v>
                </c:pt>
                <c:pt idx="119">
                  <c:v>0.15644847563221206</c:v>
                </c:pt>
                <c:pt idx="120">
                  <c:v>1.0209142154862862</c:v>
                </c:pt>
                <c:pt idx="121">
                  <c:v>1.0328422444596184</c:v>
                </c:pt>
                <c:pt idx="122">
                  <c:v>0.87611250578399513</c:v>
                </c:pt>
                <c:pt idx="123">
                  <c:v>0.74309802829001781</c:v>
                </c:pt>
                <c:pt idx="124">
                  <c:v>0.50923154511026247</c:v>
                </c:pt>
                <c:pt idx="125">
                  <c:v>0.3407406455977201</c:v>
                </c:pt>
                <c:pt idx="126">
                  <c:v>0.24216681791003478</c:v>
                </c:pt>
                <c:pt idx="127">
                  <c:v>0.1557479177030327</c:v>
                </c:pt>
                <c:pt idx="128">
                  <c:v>1.0479025550686092</c:v>
                </c:pt>
                <c:pt idx="129">
                  <c:v>1.0245809323630557</c:v>
                </c:pt>
                <c:pt idx="130">
                  <c:v>0.87122406673706843</c:v>
                </c:pt>
                <c:pt idx="131">
                  <c:v>0.74221252828537065</c:v>
                </c:pt>
                <c:pt idx="132">
                  <c:v>0.50822066149633049</c:v>
                </c:pt>
                <c:pt idx="133">
                  <c:v>0.33969081111913207</c:v>
                </c:pt>
                <c:pt idx="134">
                  <c:v>0.24132378887047165</c:v>
                </c:pt>
                <c:pt idx="135">
                  <c:v>0.15521615979352593</c:v>
                </c:pt>
                <c:pt idx="136">
                  <c:v>1.1025409258387697</c:v>
                </c:pt>
                <c:pt idx="137">
                  <c:v>1.0160594973200121</c:v>
                </c:pt>
                <c:pt idx="138">
                  <c:v>0.86766127249046365</c:v>
                </c:pt>
                <c:pt idx="139">
                  <c:v>0.74140107706160008</c:v>
                </c:pt>
                <c:pt idx="140">
                  <c:v>0.50719794839329879</c:v>
                </c:pt>
                <c:pt idx="141">
                  <c:v>0.33876528917086041</c:v>
                </c:pt>
                <c:pt idx="142">
                  <c:v>0.2406197699384961</c:v>
                </c:pt>
                <c:pt idx="143">
                  <c:v>0.15479832297352913</c:v>
                </c:pt>
                <c:pt idx="144">
                  <c:v>1.0778820661299613</c:v>
                </c:pt>
                <c:pt idx="145">
                  <c:v>1.013708756618483</c:v>
                </c:pt>
                <c:pt idx="146">
                  <c:v>0.87829813540246293</c:v>
                </c:pt>
                <c:pt idx="147">
                  <c:v>0.7476396868504378</c:v>
                </c:pt>
                <c:pt idx="148">
                  <c:v>0.51010477648740427</c:v>
                </c:pt>
                <c:pt idx="149">
                  <c:v>0.34092105036732595</c:v>
                </c:pt>
                <c:pt idx="150">
                  <c:v>0.24252106947453211</c:v>
                </c:pt>
                <c:pt idx="151">
                  <c:v>0.15625734556509394</c:v>
                </c:pt>
                <c:pt idx="152">
                  <c:v>1.1775995334512621</c:v>
                </c:pt>
                <c:pt idx="153">
                  <c:v>1.0182271885406846</c:v>
                </c:pt>
                <c:pt idx="154">
                  <c:v>0.87849827011820647</c:v>
                </c:pt>
                <c:pt idx="155">
                  <c:v>0.74608311976909802</c:v>
                </c:pt>
                <c:pt idx="156">
                  <c:v>0.50925412868036102</c:v>
                </c:pt>
                <c:pt idx="157">
                  <c:v>0.34020170529860377</c:v>
                </c:pt>
                <c:pt idx="158">
                  <c:v>0.24186077146349108</c:v>
                </c:pt>
                <c:pt idx="159">
                  <c:v>0.15573429258933713</c:v>
                </c:pt>
                <c:pt idx="160">
                  <c:v>1.2483083323127451</c:v>
                </c:pt>
                <c:pt idx="161">
                  <c:v>1.021748482501377</c:v>
                </c:pt>
                <c:pt idx="162">
                  <c:v>0.87982193338668913</c:v>
                </c:pt>
                <c:pt idx="163">
                  <c:v>0.74612631489127557</c:v>
                </c:pt>
                <c:pt idx="164">
                  <c:v>0.50923907296696169</c:v>
                </c:pt>
                <c:pt idx="165">
                  <c:v>0.34012590497523976</c:v>
                </c:pt>
                <c:pt idx="166">
                  <c:v>0.2417340928977057</c:v>
                </c:pt>
                <c:pt idx="167">
                  <c:v>0.15563021185971823</c:v>
                </c:pt>
                <c:pt idx="168">
                  <c:v>1.2111254192213585</c:v>
                </c:pt>
                <c:pt idx="169">
                  <c:v>1.0287905475805508</c:v>
                </c:pt>
                <c:pt idx="170">
                  <c:v>0.88330492091573898</c:v>
                </c:pt>
                <c:pt idx="171">
                  <c:v>0.7471066233190895</c:v>
                </c:pt>
                <c:pt idx="172">
                  <c:v>0.50972482009077624</c:v>
                </c:pt>
                <c:pt idx="173">
                  <c:v>0.34035318903088446</c:v>
                </c:pt>
                <c:pt idx="174">
                  <c:v>0.24178946291098924</c:v>
                </c:pt>
                <c:pt idx="175">
                  <c:v>0.15564472947856078</c:v>
                </c:pt>
                <c:pt idx="176">
                  <c:v>1.1392087564993905</c:v>
                </c:pt>
                <c:pt idx="177">
                  <c:v>1.0388483998377638</c:v>
                </c:pt>
                <c:pt idx="178">
                  <c:v>0.88932312692639359</c:v>
                </c:pt>
                <c:pt idx="179">
                  <c:v>0.74968425806393879</c:v>
                </c:pt>
                <c:pt idx="180">
                  <c:v>0.51095172964281299</c:v>
                </c:pt>
                <c:pt idx="181">
                  <c:v>0.34115683835467658</c:v>
                </c:pt>
                <c:pt idx="182">
                  <c:v>0.24225476482573904</c:v>
                </c:pt>
                <c:pt idx="183">
                  <c:v>0.15592593543012154</c:v>
                </c:pt>
                <c:pt idx="184">
                  <c:v>1.0690770128056741</c:v>
                </c:pt>
                <c:pt idx="185">
                  <c:v>1.0485559542163709</c:v>
                </c:pt>
                <c:pt idx="186">
                  <c:v>0.89607657884985892</c:v>
                </c:pt>
                <c:pt idx="187">
                  <c:v>0.75338774772404538</c:v>
                </c:pt>
                <c:pt idx="188">
                  <c:v>0.5128394270725648</c:v>
                </c:pt>
                <c:pt idx="189">
                  <c:v>0.34231417657122359</c:v>
                </c:pt>
                <c:pt idx="190">
                  <c:v>0.24303021306316197</c:v>
                </c:pt>
                <c:pt idx="191">
                  <c:v>0.15642704316798575</c:v>
                </c:pt>
                <c:pt idx="192">
                  <c:v>1.0488571265650899</c:v>
                </c:pt>
                <c:pt idx="193">
                  <c:v>0.96411920712689858</c:v>
                </c:pt>
                <c:pt idx="194">
                  <c:v>0.77809603336558075</c:v>
                </c:pt>
                <c:pt idx="195">
                  <c:v>0.64419662533195954</c:v>
                </c:pt>
                <c:pt idx="196">
                  <c:v>0.47310858703368386</c:v>
                </c:pt>
                <c:pt idx="197">
                  <c:v>0.32042767494269897</c:v>
                </c:pt>
                <c:pt idx="198">
                  <c:v>0.21888654856151413</c:v>
                </c:pt>
                <c:pt idx="199">
                  <c:v>0.13785322324083435</c:v>
                </c:pt>
                <c:pt idx="200">
                  <c:v>1.0780827430922897</c:v>
                </c:pt>
                <c:pt idx="201">
                  <c:v>0.94406565478987736</c:v>
                </c:pt>
                <c:pt idx="202">
                  <c:v>0.761470981235984</c:v>
                </c:pt>
                <c:pt idx="203">
                  <c:v>0.63938036920912278</c:v>
                </c:pt>
                <c:pt idx="204">
                  <c:v>0.47184498251626883</c:v>
                </c:pt>
                <c:pt idx="205">
                  <c:v>0.32032079648675615</c:v>
                </c:pt>
                <c:pt idx="206">
                  <c:v>0.2197553617339362</c:v>
                </c:pt>
                <c:pt idx="207">
                  <c:v>0.13889478748778278</c:v>
                </c:pt>
                <c:pt idx="208">
                  <c:v>1.0572611523253006</c:v>
                </c:pt>
                <c:pt idx="209">
                  <c:v>0.92792117228746873</c:v>
                </c:pt>
                <c:pt idx="210">
                  <c:v>0.75087374896076575</c:v>
                </c:pt>
                <c:pt idx="211">
                  <c:v>0.63711416797771725</c:v>
                </c:pt>
                <c:pt idx="212">
                  <c:v>0.47167399262838017</c:v>
                </c:pt>
                <c:pt idx="213">
                  <c:v>0.3202791063089061</c:v>
                </c:pt>
                <c:pt idx="214">
                  <c:v>0.22027384701425254</c:v>
                </c:pt>
                <c:pt idx="215">
                  <c:v>0.13948255975359344</c:v>
                </c:pt>
                <c:pt idx="216">
                  <c:v>1.1726232871556874</c:v>
                </c:pt>
                <c:pt idx="217">
                  <c:v>0.90216418349427829</c:v>
                </c:pt>
                <c:pt idx="218">
                  <c:v>0.7379779397522539</c:v>
                </c:pt>
                <c:pt idx="219">
                  <c:v>0.63502228991795895</c:v>
                </c:pt>
                <c:pt idx="220">
                  <c:v>0.47162990089628326</c:v>
                </c:pt>
                <c:pt idx="221">
                  <c:v>0.32019420994673858</c:v>
                </c:pt>
                <c:pt idx="222">
                  <c:v>0.22079569544233327</c:v>
                </c:pt>
                <c:pt idx="223">
                  <c:v>0.14009682529603437</c:v>
                </c:pt>
                <c:pt idx="224">
                  <c:v>1.246344952302938</c:v>
                </c:pt>
                <c:pt idx="225">
                  <c:v>0.89159307597479887</c:v>
                </c:pt>
                <c:pt idx="226">
                  <c:v>0.72668518980152996</c:v>
                </c:pt>
                <c:pt idx="227">
                  <c:v>0.63365393015468008</c:v>
                </c:pt>
                <c:pt idx="228">
                  <c:v>0.47157828130748669</c:v>
                </c:pt>
                <c:pt idx="229">
                  <c:v>0.32001380517713285</c:v>
                </c:pt>
                <c:pt idx="230">
                  <c:v>0.22113201021875475</c:v>
                </c:pt>
                <c:pt idx="231">
                  <c:v>0.14053207198353096</c:v>
                </c:pt>
                <c:pt idx="232">
                  <c:v>1.1913459053707551</c:v>
                </c:pt>
                <c:pt idx="233">
                  <c:v>0.88355575863770541</c:v>
                </c:pt>
                <c:pt idx="234">
                  <c:v>0.71839247905512249</c:v>
                </c:pt>
                <c:pt idx="235">
                  <c:v>0.63274683258894437</c:v>
                </c:pt>
                <c:pt idx="236">
                  <c:v>0.47127824244760685</c:v>
                </c:pt>
                <c:pt idx="237">
                  <c:v>0.31974471402919152</c:v>
                </c:pt>
                <c:pt idx="238">
                  <c:v>0.22126485455544118</c:v>
                </c:pt>
                <c:pt idx="239">
                  <c:v>0.14077845945619211</c:v>
                </c:pt>
                <c:pt idx="240">
                  <c:v>1.1037205809551591</c:v>
                </c:pt>
                <c:pt idx="241">
                  <c:v>0.89568278674446744</c:v>
                </c:pt>
                <c:pt idx="242">
                  <c:v>0.72003318741785238</c:v>
                </c:pt>
                <c:pt idx="243">
                  <c:v>0.63811999725128876</c:v>
                </c:pt>
                <c:pt idx="244">
                  <c:v>0.47507228222415249</c:v>
                </c:pt>
                <c:pt idx="245">
                  <c:v>0.32258419414239803</c:v>
                </c:pt>
                <c:pt idx="246">
                  <c:v>0.22357141339706507</c:v>
                </c:pt>
                <c:pt idx="247">
                  <c:v>0.14234421210503867</c:v>
                </c:pt>
                <c:pt idx="248">
                  <c:v>1.0234931856372902</c:v>
                </c:pt>
                <c:pt idx="249">
                  <c:v>0.90221717150189484</c:v>
                </c:pt>
                <c:pt idx="250">
                  <c:v>0.72078022492117311</c:v>
                </c:pt>
                <c:pt idx="251">
                  <c:v>0.63721444236848779</c:v>
                </c:pt>
                <c:pt idx="252">
                  <c:v>0.47441950950749628</c:v>
                </c:pt>
                <c:pt idx="253">
                  <c:v>0.32190123322889064</c:v>
                </c:pt>
                <c:pt idx="254">
                  <c:v>0.22307198595407918</c:v>
                </c:pt>
                <c:pt idx="255">
                  <c:v>0.14205354301286707</c:v>
                </c:pt>
                <c:pt idx="256">
                  <c:v>1.0467174762505347</c:v>
                </c:pt>
                <c:pt idx="257">
                  <c:v>0.90651401721042757</c:v>
                </c:pt>
                <c:pt idx="258">
                  <c:v>0.72159265297518183</c:v>
                </c:pt>
                <c:pt idx="259">
                  <c:v>0.63748441188209959</c:v>
                </c:pt>
                <c:pt idx="260">
                  <c:v>0.47447112909629291</c:v>
                </c:pt>
                <c:pt idx="261">
                  <c:v>0.32180875683438676</c:v>
                </c:pt>
                <c:pt idx="262">
                  <c:v>0.22302938608239906</c:v>
                </c:pt>
                <c:pt idx="263">
                  <c:v>0.1420410533253128</c:v>
                </c:pt>
                <c:pt idx="264">
                  <c:v>1.061652194867603</c:v>
                </c:pt>
                <c:pt idx="265">
                  <c:v>0.91435545672360263</c:v>
                </c:pt>
                <c:pt idx="266">
                  <c:v>0.72619171371937186</c:v>
                </c:pt>
                <c:pt idx="267">
                  <c:v>0.63869896113936353</c:v>
                </c:pt>
                <c:pt idx="268">
                  <c:v>0.47501053508408175</c:v>
                </c:pt>
                <c:pt idx="269">
                  <c:v>0.32205888788737613</c:v>
                </c:pt>
                <c:pt idx="270">
                  <c:v>0.22322129895775125</c:v>
                </c:pt>
                <c:pt idx="271">
                  <c:v>0.14220237315996784</c:v>
                </c:pt>
                <c:pt idx="272">
                  <c:v>1.0676297887249462</c:v>
                </c:pt>
                <c:pt idx="273">
                  <c:v>0.92449292062687372</c:v>
                </c:pt>
                <c:pt idx="274">
                  <c:v>0.7272317936445527</c:v>
                </c:pt>
                <c:pt idx="275">
                  <c:v>0.64148984599795222</c:v>
                </c:pt>
                <c:pt idx="276">
                  <c:v>0.47648057224986196</c:v>
                </c:pt>
                <c:pt idx="277">
                  <c:v>0.32282750637696261</c:v>
                </c:pt>
                <c:pt idx="278">
                  <c:v>0.2238573564203547</c:v>
                </c:pt>
                <c:pt idx="279">
                  <c:v>0.14264623796162224</c:v>
                </c:pt>
                <c:pt idx="280">
                  <c:v>1.2223646439536624</c:v>
                </c:pt>
                <c:pt idx="281">
                  <c:v>0.93465244226250221</c:v>
                </c:pt>
                <c:pt idx="282">
                  <c:v>0.74023901546435023</c:v>
                </c:pt>
                <c:pt idx="283">
                  <c:v>0.64524468622447506</c:v>
                </c:pt>
                <c:pt idx="284">
                  <c:v>0.47860450346298195</c:v>
                </c:pt>
                <c:pt idx="285">
                  <c:v>0.32406277938969347</c:v>
                </c:pt>
                <c:pt idx="286">
                  <c:v>0.22483118510972766</c:v>
                </c:pt>
                <c:pt idx="287">
                  <c:v>0.14331896647601899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D-4016-90DB-AEF58AB2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21808"/>
        <c:axId val="254223248"/>
      </c:scatterChart>
      <c:valAx>
        <c:axId val="254221808"/>
        <c:scaling>
          <c:orientation val="minMax"/>
          <c:max val="3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Non-dimensional slenderness (</a:t>
                </a:r>
                <a:r>
                  <a:rPr lang="el-GR"/>
                  <a:t>λ̄)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3248"/>
        <c:crosses val="autoZero"/>
        <c:crossBetween val="midCat"/>
        <c:majorUnit val="0.2"/>
        <c:minorUnit val="0.1"/>
      </c:valAx>
      <c:valAx>
        <c:axId val="254223248"/>
        <c:scaling>
          <c:orientation val="minMax"/>
          <c:max val="1.1000000000000001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Reduction factor (</a:t>
                </a:r>
                <a:r>
                  <a:rPr lang="el-GR"/>
                  <a:t>χ)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1808"/>
        <c:crosses val="autoZero"/>
        <c:crossBetween val="midCat"/>
        <c:majorUnit val="0.1"/>
        <c:minorUnit val="0.05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fmlaLink="I2" lockText="1" noThreeD="1"/>
</file>

<file path=xl/ctrlProps/ctrlProp21.xml><?xml version="1.0" encoding="utf-8"?>
<formControlPr xmlns="http://schemas.microsoft.com/office/spreadsheetml/2009/9/main" objectType="CheckBox" fmlaLink="I3" lockText="1" noThreeD="1"/>
</file>

<file path=xl/ctrlProps/ctrlProp22.xml><?xml version="1.0" encoding="utf-8"?>
<formControlPr xmlns="http://schemas.microsoft.com/office/spreadsheetml/2009/9/main" objectType="CheckBox" checked="Checked" fmlaLink="I4" lockText="1" noThreeD="1"/>
</file>

<file path=xl/ctrlProps/ctrlProp23.xml><?xml version="1.0" encoding="utf-8"?>
<formControlPr xmlns="http://schemas.microsoft.com/office/spreadsheetml/2009/9/main" objectType="CheckBox" fmlaLink="I5" lockText="1" noThreeD="1"/>
</file>

<file path=xl/ctrlProps/ctrlProp24.xml><?xml version="1.0" encoding="utf-8"?>
<formControlPr xmlns="http://schemas.microsoft.com/office/spreadsheetml/2009/9/main" objectType="CheckBox" fmlaLink="I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46590-2A83-4504-8F4D-55DBFEF3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6CD6DE-7DAD-4DC0-BEEF-6C29E447A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267881-991A-4C2B-9DDE-0776CC49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593725</xdr:colOff>
      <xdr:row>189</xdr:row>
      <xdr:rowOff>73025</xdr:rowOff>
    </xdr:from>
    <xdr:to>
      <xdr:col>44</xdr:col>
      <xdr:colOff>285750</xdr:colOff>
      <xdr:row>206</xdr:row>
      <xdr:rowOff>149225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BECD37-EFFE-48C6-A62C-94C48BF8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A9CCF-BA15-48FE-9C1B-0718DC17E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FCE64F-89BB-4A33-8E6F-CF6796ABD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1202872</xdr:colOff>
      <xdr:row>297</xdr:row>
      <xdr:rowOff>109765</xdr:rowOff>
    </xdr:from>
    <xdr:to>
      <xdr:col>42</xdr:col>
      <xdr:colOff>463550</xdr:colOff>
      <xdr:row>321</xdr:row>
      <xdr:rowOff>135171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180974</xdr:colOff>
      <xdr:row>1</xdr:row>
      <xdr:rowOff>85725</xdr:rowOff>
    </xdr:from>
    <xdr:to>
      <xdr:col>49</xdr:col>
      <xdr:colOff>438149</xdr:colOff>
      <xdr:row>4</xdr:row>
      <xdr:rowOff>288925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380999</xdr:colOff>
      <xdr:row>1</xdr:row>
      <xdr:rowOff>76200</xdr:rowOff>
    </xdr:from>
    <xdr:to>
      <xdr:col>47</xdr:col>
      <xdr:colOff>590550</xdr:colOff>
      <xdr:row>4</xdr:row>
      <xdr:rowOff>342899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65F154-88C0-494C-B051-E59EF8393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200</xdr:row>
      <xdr:rowOff>15875</xdr:rowOff>
    </xdr:from>
    <xdr:to>
      <xdr:col>45</xdr:col>
      <xdr:colOff>238125</xdr:colOff>
      <xdr:row>231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466724</xdr:colOff>
      <xdr:row>5</xdr:row>
      <xdr:rowOff>133350</xdr:rowOff>
    </xdr:from>
    <xdr:to>
      <xdr:col>54</xdr:col>
      <xdr:colOff>428625</xdr:colOff>
      <xdr:row>44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1202872</xdr:colOff>
      <xdr:row>297</xdr:row>
      <xdr:rowOff>109765</xdr:rowOff>
    </xdr:from>
    <xdr:to>
      <xdr:col>46</xdr:col>
      <xdr:colOff>463550</xdr:colOff>
      <xdr:row>321</xdr:row>
      <xdr:rowOff>135171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5CF713-80BE-457B-8BBF-64F8B40F8F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352424</xdr:colOff>
      <xdr:row>4</xdr:row>
      <xdr:rowOff>380999</xdr:rowOff>
    </xdr:from>
    <xdr:to>
      <xdr:col>54</xdr:col>
      <xdr:colOff>533400</xdr:colOff>
      <xdr:row>32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E65A4B-EF5A-4933-A563-3CFDC12AD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627DD1-8A1C-4D4B-BBDC-C19AFBDDE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123825</xdr:colOff>
      <xdr:row>200</xdr:row>
      <xdr:rowOff>15875</xdr:rowOff>
    </xdr:from>
    <xdr:to>
      <xdr:col>49</xdr:col>
      <xdr:colOff>238125</xdr:colOff>
      <xdr:row>231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D33343-CE35-4588-89CA-79FA5AA81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2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47626</xdr:colOff>
      <xdr:row>101</xdr:row>
      <xdr:rowOff>95250</xdr:rowOff>
    </xdr:from>
    <xdr:to>
      <xdr:col>41</xdr:col>
      <xdr:colOff>85725</xdr:colOff>
      <xdr:row>133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1FED31-A89A-4FEC-A832-8A08F5751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466725</xdr:colOff>
      <xdr:row>21</xdr:row>
      <xdr:rowOff>128587</xdr:rowOff>
    </xdr:from>
    <xdr:to>
      <xdr:col>45</xdr:col>
      <xdr:colOff>161925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1F6AC-355B-4954-A58F-EBB34EC5C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CAFA0-D053-451D-96BD-CF2205D38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38100</xdr:colOff>
      <xdr:row>192</xdr:row>
      <xdr:rowOff>66675</xdr:rowOff>
    </xdr:from>
    <xdr:to>
      <xdr:col>46</xdr:col>
      <xdr:colOff>342900</xdr:colOff>
      <xdr:row>209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136AC-D8C4-4426-B777-311F1D4D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E9724-D580-4B6A-B59F-87703763A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361950</xdr:colOff>
      <xdr:row>67</xdr:row>
      <xdr:rowOff>104775</xdr:rowOff>
    </xdr:from>
    <xdr:to>
      <xdr:col>49</xdr:col>
      <xdr:colOff>542924</xdr:colOff>
      <xdr:row>97</xdr:row>
      <xdr:rowOff>104774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AF825A-1ECF-432E-9536-EF6529779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49</xdr:col>
      <xdr:colOff>600075</xdr:colOff>
      <xdr:row>1</xdr:row>
      <xdr:rowOff>76200</xdr:rowOff>
    </xdr:from>
    <xdr:to>
      <xdr:col>53</xdr:col>
      <xdr:colOff>8164</xdr:colOff>
      <xdr:row>4</xdr:row>
      <xdr:rowOff>328846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84C2CD-B42C-494A-B67F-CB81D0A95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495299</xdr:colOff>
      <xdr:row>1</xdr:row>
      <xdr:rowOff>171449</xdr:rowOff>
    </xdr:from>
    <xdr:to>
      <xdr:col>46</xdr:col>
      <xdr:colOff>137214</xdr:colOff>
      <xdr:row>4</xdr:row>
      <xdr:rowOff>426346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5040C-D980-47DD-B1C7-B4297442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276224</xdr:colOff>
      <xdr:row>1</xdr:row>
      <xdr:rowOff>95249</xdr:rowOff>
    </xdr:from>
    <xdr:to>
      <xdr:col>48</xdr:col>
      <xdr:colOff>495300</xdr:colOff>
      <xdr:row>4</xdr:row>
      <xdr:rowOff>333374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3D7D54-9BC6-47D9-B8D3-6172F9376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57</xdr:col>
      <xdr:colOff>533399</xdr:colOff>
      <xdr:row>0</xdr:row>
      <xdr:rowOff>152400</xdr:rowOff>
    </xdr:from>
    <xdr:to>
      <xdr:col>60</xdr:col>
      <xdr:colOff>288924</xdr:colOff>
      <xdr:row>4</xdr:row>
      <xdr:rowOff>247649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9FDF5B-08F6-44EA-B8C1-97BB670C4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218</xdr:row>
      <xdr:rowOff>147637</xdr:rowOff>
    </xdr:from>
    <xdr:to>
      <xdr:col>3</xdr:col>
      <xdr:colOff>0</xdr:colOff>
      <xdr:row>240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99AB581-EAA5-A201-00A7-2A4BCF275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552450</xdr:colOff>
      <xdr:row>2</xdr:row>
      <xdr:rowOff>161925</xdr:rowOff>
    </xdr:from>
    <xdr:to>
      <xdr:col>26</xdr:col>
      <xdr:colOff>476250</xdr:colOff>
      <xdr:row>37</xdr:row>
      <xdr:rowOff>69850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EE0EB39-0123-0C55-4FDD-0C746C508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438151</xdr:colOff>
      <xdr:row>28</xdr:row>
      <xdr:rowOff>53975</xdr:rowOff>
    </xdr:from>
    <xdr:to>
      <xdr:col>60</xdr:col>
      <xdr:colOff>292100</xdr:colOff>
      <xdr:row>57</xdr:row>
      <xdr:rowOff>41274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27D551-63A7-F868-6895-C07C48178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352425</xdr:colOff>
      <xdr:row>183</xdr:row>
      <xdr:rowOff>104775</xdr:rowOff>
    </xdr:from>
    <xdr:to>
      <xdr:col>53</xdr:col>
      <xdr:colOff>409575</xdr:colOff>
      <xdr:row>209</xdr:row>
      <xdr:rowOff>157162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B723F5-3BE6-5F17-351C-296A72436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11</xdr:col>
          <xdr:colOff>361950</xdr:colOff>
          <xdr:row>3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142875</xdr:rowOff>
        </xdr:from>
        <xdr:to>
          <xdr:col>9</xdr:col>
          <xdr:colOff>85725</xdr:colOff>
          <xdr:row>2</xdr:row>
          <xdr:rowOff>85725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133350</xdr:rowOff>
        </xdr:from>
        <xdr:to>
          <xdr:col>8</xdr:col>
          <xdr:colOff>457200</xdr:colOff>
          <xdr:row>3</xdr:row>
          <xdr:rowOff>66675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</xdr:row>
          <xdr:rowOff>171450</xdr:rowOff>
        </xdr:from>
        <xdr:to>
          <xdr:col>8</xdr:col>
          <xdr:colOff>457200</xdr:colOff>
          <xdr:row>4</xdr:row>
          <xdr:rowOff>28575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8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161925</xdr:rowOff>
        </xdr:from>
        <xdr:to>
          <xdr:col>8</xdr:col>
          <xdr:colOff>381000</xdr:colOff>
          <xdr:row>5</xdr:row>
          <xdr:rowOff>47625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8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</xdr:row>
          <xdr:rowOff>161925</xdr:rowOff>
        </xdr:from>
        <xdr:to>
          <xdr:col>9</xdr:col>
          <xdr:colOff>266700</xdr:colOff>
          <xdr:row>6</xdr:row>
          <xdr:rowOff>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8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444745</xdr:colOff>
      <xdr:row>4</xdr:row>
      <xdr:rowOff>100135</xdr:rowOff>
    </xdr:from>
    <xdr:to>
      <xdr:col>20</xdr:col>
      <xdr:colOff>1711</xdr:colOff>
      <xdr:row>34</xdr:row>
      <xdr:rowOff>100135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E8FE5F-8B57-5E88-0D94-D5976EE5DF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Kokou\Kokou_Case_study_1_Steel_Column\Numerical%20model_validation\Result_new%20-%20Copy.xlsm" TargetMode="External"/><Relationship Id="rId1" Type="http://schemas.openxmlformats.org/officeDocument/2006/relationships/externalLinkPath" Target="Result_new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cal and Global"/>
      <sheetName val="Global Only"/>
      <sheetName val="HR_Local and Global"/>
      <sheetName val="HR_Global Only"/>
      <sheetName val="Sheet1"/>
      <sheetName val="Local"/>
      <sheetName val="Sheet2"/>
      <sheetName val="Result_new - Copy"/>
    </sheetNames>
    <definedNames>
      <definedName name="CreatCount"/>
      <definedName name="Get_R_b_L"/>
      <definedName name="Read_Filename_da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30A9-FF2C-4ED5-8D3F-AFE71EC31F2A}">
  <sheetPr codeName="Sheet9"/>
  <dimension ref="A1:AO297"/>
  <sheetViews>
    <sheetView topLeftCell="U1" zoomScaleNormal="100" workbookViewId="0">
      <pane ySplit="5" topLeftCell="A6" activePane="bottomLeft" state="frozen"/>
      <selection pane="bottomLeft" activeCell="Z193" sqref="Z1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111" t="s">
        <v>0</v>
      </c>
      <c r="J2" s="112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113" t="s">
        <v>1</v>
      </c>
      <c r="J3" s="114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110" t="s">
        <v>26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26" t="s">
        <v>27</v>
      </c>
      <c r="T4" s="115" t="s">
        <v>30</v>
      </c>
      <c r="U4" s="115"/>
      <c r="V4" s="115" t="s">
        <v>515</v>
      </c>
      <c r="W4" s="115"/>
      <c r="X4" s="115"/>
      <c r="Y4" s="115"/>
      <c r="Z4" s="115"/>
      <c r="AA4" s="115"/>
      <c r="AB4" s="115"/>
      <c r="AC4" s="115"/>
      <c r="AD4" s="115"/>
      <c r="AE4" s="110" t="s">
        <v>3</v>
      </c>
      <c r="AF4" s="110" t="s">
        <v>4</v>
      </c>
      <c r="AG4" s="110" t="s">
        <v>224</v>
      </c>
      <c r="AH4" s="110" t="s">
        <v>225</v>
      </c>
      <c r="AI4" s="110" t="s">
        <v>223</v>
      </c>
      <c r="AJ4" s="110" t="s">
        <v>525</v>
      </c>
      <c r="AK4" s="110" t="s">
        <v>526</v>
      </c>
      <c r="AL4" s="110" t="s">
        <v>914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0"/>
      <c r="AF5" s="110"/>
      <c r="AG5" s="110"/>
      <c r="AH5" s="110"/>
      <c r="AI5" s="110"/>
      <c r="AJ5" s="110"/>
      <c r="AK5" s="110"/>
      <c r="AL5" s="110"/>
      <c r="AM5" s="5" t="s">
        <v>918</v>
      </c>
      <c r="AN5" s="5" t="s">
        <v>916</v>
      </c>
      <c r="AO5" s="5" t="s">
        <v>919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3.7125599999999999</v>
      </c>
      <c r="X6" s="15"/>
      <c r="Y6" s="15"/>
      <c r="Z6" s="15"/>
      <c r="AA6" s="16">
        <f>AK6</f>
        <v>1.0067908962997172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1.0067908962997172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4.0071899999999996</v>
      </c>
      <c r="X7" s="15"/>
      <c r="Y7" s="15"/>
      <c r="Z7" s="15"/>
      <c r="AA7" s="16">
        <f t="shared" ref="AA7:AA70" si="3">AK7</f>
        <v>0.96515006472961806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0.96515006472961806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4.5187799999999996</v>
      </c>
      <c r="X8" s="15"/>
      <c r="Y8" s="15"/>
      <c r="Z8" s="15"/>
      <c r="AA8" s="16">
        <f t="shared" si="3"/>
        <v>0.89541064436446482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 t="shared" si="5"/>
        <v>8.9717346082796663</v>
      </c>
      <c r="AJ8" s="17">
        <f t="shared" si="6"/>
        <v>0.75000000000000011</v>
      </c>
      <c r="AK8" s="15">
        <f t="shared" si="7"/>
        <v>0.89541064436446482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4.9148500000000004</v>
      </c>
      <c r="X9" s="15"/>
      <c r="Y9" s="15"/>
      <c r="Z9" s="15"/>
      <c r="AA9" s="16">
        <f t="shared" si="3"/>
        <v>0.75820552227174076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 t="shared" si="5"/>
        <v>6.4822134047165623</v>
      </c>
      <c r="AJ9" s="17">
        <f t="shared" si="6"/>
        <v>1</v>
      </c>
      <c r="AK9" s="15">
        <f t="shared" si="7"/>
        <v>0.75820552227174076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4.8433799999999998</v>
      </c>
      <c r="X10" s="15"/>
      <c r="Y10" s="15"/>
      <c r="Z10" s="15"/>
      <c r="AA10" s="16">
        <f t="shared" si="3"/>
        <v>0.52086100830288262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 t="shared" si="5"/>
        <v>5.2568237321193827</v>
      </c>
      <c r="AJ10" s="17">
        <f t="shared" si="6"/>
        <v>1.3300000000000003</v>
      </c>
      <c r="AK10" s="15">
        <f t="shared" si="7"/>
        <v>0.52086100830288262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4.59415</v>
      </c>
      <c r="X11" s="15"/>
      <c r="Y11" s="15"/>
      <c r="Z11" s="15"/>
      <c r="AA11" s="16">
        <f t="shared" si="3"/>
        <v>0.34823805558162985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 t="shared" si="5"/>
        <v>4.730379668540408</v>
      </c>
      <c r="AJ11" s="17">
        <f t="shared" si="6"/>
        <v>1.6700000000000002</v>
      </c>
      <c r="AK11" s="15">
        <f t="shared" si="7"/>
        <v>0.34823805558162985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4.4222900000000003</v>
      </c>
      <c r="X12" s="15"/>
      <c r="Y12" s="15"/>
      <c r="Z12" s="15"/>
      <c r="AA12" s="16">
        <f t="shared" si="3"/>
        <v>0.24788024543680795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 t="shared" si="5"/>
        <v>4.4601073314728632</v>
      </c>
      <c r="AJ12" s="17">
        <f t="shared" si="6"/>
        <v>2</v>
      </c>
      <c r="AK12" s="15">
        <f t="shared" si="7"/>
        <v>0.24788024543680795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4.2349899999999998</v>
      </c>
      <c r="X13" s="15"/>
      <c r="Y13" s="15"/>
      <c r="Z13" s="15"/>
      <c r="AA13" s="16">
        <f t="shared" si="3"/>
        <v>0.16028394513750838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 t="shared" si="5"/>
        <v>4.2274876589709898</v>
      </c>
      <c r="AJ13" s="17">
        <f t="shared" si="6"/>
        <v>2.5</v>
      </c>
      <c r="AK13" s="15">
        <f t="shared" si="7"/>
        <v>0.16028394513750838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3.69326</v>
      </c>
      <c r="X14" s="15"/>
      <c r="Y14" s="15"/>
      <c r="Z14" s="15"/>
      <c r="AA14" s="16">
        <f t="shared" si="3"/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 t="shared" si="5"/>
        <v>40.972427162657333</v>
      </c>
      <c r="AJ14" s="17">
        <f t="shared" si="6"/>
        <v>0.30000000000000004</v>
      </c>
      <c r="AK14" s="15">
        <f t="shared" si="7"/>
        <v>1.0015570241741261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3.97132</v>
      </c>
      <c r="X15" s="15"/>
      <c r="Y15" s="15"/>
      <c r="Z15" s="15"/>
      <c r="AA15" s="16">
        <f t="shared" si="3"/>
        <v>0.95651061094233814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 t="shared" si="5"/>
        <v>16.607531394084678</v>
      </c>
      <c r="AJ15" s="17">
        <f t="shared" si="6"/>
        <v>0.5</v>
      </c>
      <c r="AK15" s="15">
        <f t="shared" si="7"/>
        <v>0.95651061094233814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4.4564399999999997</v>
      </c>
      <c r="X16" s="15"/>
      <c r="Y16" s="15"/>
      <c r="Z16" s="15"/>
      <c r="AA16" s="16">
        <f t="shared" si="3"/>
        <v>0.88305777487985138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 t="shared" si="5"/>
        <v>8.9717346082796663</v>
      </c>
      <c r="AJ16" s="17">
        <f t="shared" si="6"/>
        <v>0.75000000000000011</v>
      </c>
      <c r="AK16" s="15">
        <f t="shared" si="7"/>
        <v>0.88305777487985138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4.8750400000000003</v>
      </c>
      <c r="X17" s="15"/>
      <c r="Y17" s="15"/>
      <c r="Z17" s="15"/>
      <c r="AA17" s="16">
        <f t="shared" si="3"/>
        <v>0.75206410150780345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 t="shared" si="5"/>
        <v>6.4822134047165596</v>
      </c>
      <c r="AJ17" s="17">
        <f t="shared" si="6"/>
        <v>1</v>
      </c>
      <c r="AK17" s="15">
        <f t="shared" si="7"/>
        <v>0.75206410150780345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4.8126300000000004</v>
      </c>
      <c r="X18" s="15"/>
      <c r="Y18" s="15"/>
      <c r="Z18" s="15"/>
      <c r="AA18" s="16">
        <f t="shared" si="3"/>
        <v>0.51755412839560466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 t="shared" si="5"/>
        <v>5.2568237321193827</v>
      </c>
      <c r="AJ18" s="17">
        <f t="shared" si="6"/>
        <v>1.33</v>
      </c>
      <c r="AK18" s="15">
        <f t="shared" si="7"/>
        <v>0.51755412839560466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4.5620900000000004</v>
      </c>
      <c r="X19" s="15"/>
      <c r="Y19" s="15"/>
      <c r="Z19" s="15"/>
      <c r="AA19" s="16">
        <f t="shared" si="3"/>
        <v>0.34580789721458771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 t="shared" si="5"/>
        <v>4.7303796685404089</v>
      </c>
      <c r="AJ19" s="17">
        <f t="shared" si="6"/>
        <v>1.67</v>
      </c>
      <c r="AK19" s="15">
        <f t="shared" si="7"/>
        <v>0.34580789721458771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4.3897899999999996</v>
      </c>
      <c r="X20" s="15"/>
      <c r="Y20" s="15"/>
      <c r="Z20" s="15"/>
      <c r="AA20" s="16">
        <f t="shared" si="3"/>
        <v>0.24605854039785843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 t="shared" si="5"/>
        <v>4.4601073314728614</v>
      </c>
      <c r="AJ20" s="17">
        <f t="shared" si="6"/>
        <v>2</v>
      </c>
      <c r="AK20" s="15">
        <f t="shared" si="7"/>
        <v>0.24605854039785843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4.2003300000000001</v>
      </c>
      <c r="X21" s="15"/>
      <c r="Y21" s="15"/>
      <c r="Z21" s="15"/>
      <c r="AA21" s="16">
        <f t="shared" si="3"/>
        <v>0.15897214946893162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 t="shared" si="5"/>
        <v>4.2274876589709898</v>
      </c>
      <c r="AJ21" s="17">
        <f t="shared" si="6"/>
        <v>2.5</v>
      </c>
      <c r="AK21" s="15">
        <f t="shared" si="7"/>
        <v>0.15897214946893162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3.6704699999999999</v>
      </c>
      <c r="X22" s="15"/>
      <c r="Y22" s="15"/>
      <c r="Z22" s="15"/>
      <c r="AA22" s="16">
        <f t="shared" si="3"/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 t="shared" si="5"/>
        <v>40.972427162657333</v>
      </c>
      <c r="AJ22" s="17">
        <f t="shared" si="6"/>
        <v>0.30000000000000004</v>
      </c>
      <c r="AK22" s="15">
        <f t="shared" si="7"/>
        <v>0.99537671610458078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3.9418899999999999</v>
      </c>
      <c r="X23" s="15"/>
      <c r="Y23" s="15"/>
      <c r="Z23" s="15"/>
      <c r="AA23" s="16">
        <f t="shared" si="3"/>
        <v>0.94942226065073898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 t="shared" si="5"/>
        <v>16.607531394084681</v>
      </c>
      <c r="AJ23" s="17">
        <f t="shared" si="6"/>
        <v>0.5</v>
      </c>
      <c r="AK23" s="15">
        <f t="shared" si="7"/>
        <v>0.94942226065073898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4.4129300000000002</v>
      </c>
      <c r="X24" s="15"/>
      <c r="Y24" s="15"/>
      <c r="Z24" s="15"/>
      <c r="AA24" s="16">
        <f t="shared" si="3"/>
        <v>0.87443612984816188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 t="shared" si="5"/>
        <v>8.9717346082796681</v>
      </c>
      <c r="AJ24" s="17">
        <f t="shared" si="6"/>
        <v>0.75000000000000011</v>
      </c>
      <c r="AK24" s="15">
        <f t="shared" si="7"/>
        <v>0.87443612984816188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4.8507300000000004</v>
      </c>
      <c r="X25" s="15"/>
      <c r="Y25" s="15"/>
      <c r="Z25" s="15"/>
      <c r="AA25" s="16">
        <f t="shared" si="3"/>
        <v>0.74831383929299977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 t="shared" si="5"/>
        <v>6.4822134047165632</v>
      </c>
      <c r="AJ25" s="17">
        <f t="shared" si="6"/>
        <v>1</v>
      </c>
      <c r="AK25" s="15">
        <f t="shared" si="7"/>
        <v>0.74831383929299977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4.7945599999999997</v>
      </c>
      <c r="X26" s="15"/>
      <c r="Y26" s="15"/>
      <c r="Z26" s="15"/>
      <c r="AA26" s="16">
        <f t="shared" si="3"/>
        <v>0.51561086595903483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 t="shared" si="5"/>
        <v>5.2568237321193818</v>
      </c>
      <c r="AJ26" s="17">
        <f t="shared" si="6"/>
        <v>1.3300000000000003</v>
      </c>
      <c r="AK26" s="15">
        <f t="shared" si="7"/>
        <v>0.51561086595903483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4.5441500000000001</v>
      </c>
      <c r="X27" s="15"/>
      <c r="Y27" s="15"/>
      <c r="Z27" s="15"/>
      <c r="AA27" s="16">
        <f t="shared" si="3"/>
        <v>0.3444480394134416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 t="shared" si="5"/>
        <v>4.7303796685404089</v>
      </c>
      <c r="AJ27" s="17">
        <f t="shared" si="6"/>
        <v>1.6700000000000004</v>
      </c>
      <c r="AK27" s="15">
        <f t="shared" si="7"/>
        <v>0.3444480394134416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4.37134</v>
      </c>
      <c r="X28" s="15"/>
      <c r="Y28" s="15"/>
      <c r="Z28" s="15"/>
      <c r="AA28" s="16">
        <f t="shared" si="3"/>
        <v>0.24502437246036229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 t="shared" si="5"/>
        <v>4.460107331472865</v>
      </c>
      <c r="AJ28" s="17">
        <f t="shared" si="6"/>
        <v>2</v>
      </c>
      <c r="AK28" s="15">
        <f t="shared" si="7"/>
        <v>0.24502437246036229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4.1818200000000001</v>
      </c>
      <c r="X29" s="15"/>
      <c r="Y29" s="15"/>
      <c r="Z29" s="15"/>
      <c r="AA29" s="16">
        <f t="shared" si="3"/>
        <v>0.15827159153975226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 t="shared" si="5"/>
        <v>4.2274876589709889</v>
      </c>
      <c r="AJ29" s="17">
        <f t="shared" si="6"/>
        <v>2.5000000000000004</v>
      </c>
      <c r="AK29" s="15">
        <f t="shared" si="7"/>
        <v>0.15827159153975226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3.4416099999999998</v>
      </c>
      <c r="X30" s="15"/>
      <c r="Y30" s="15"/>
      <c r="Z30" s="15"/>
      <c r="AA30" s="16">
        <f t="shared" si="3"/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 t="shared" si="5"/>
        <v>40.972427162657347</v>
      </c>
      <c r="AJ30" s="17">
        <f t="shared" si="6"/>
        <v>0.3</v>
      </c>
      <c r="AK30" s="15">
        <f t="shared" si="7"/>
        <v>0.93331329772827099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3.7743099999999998</v>
      </c>
      <c r="X31" s="15"/>
      <c r="Y31" s="15"/>
      <c r="Z31" s="15"/>
      <c r="AA31" s="16">
        <f t="shared" si="3"/>
        <v>0.90905985012181756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 t="shared" si="5"/>
        <v>16.607531394084681</v>
      </c>
      <c r="AJ31" s="17">
        <f t="shared" si="6"/>
        <v>0.5</v>
      </c>
      <c r="AK31" s="15">
        <f t="shared" si="7"/>
        <v>0.90905985012181756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4.2838599999999998</v>
      </c>
      <c r="X32" s="15"/>
      <c r="Y32" s="15"/>
      <c r="Z32" s="15"/>
      <c r="AA32" s="16">
        <f t="shared" si="3"/>
        <v>0.84886049840159417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 t="shared" si="5"/>
        <v>8.9717346082796681</v>
      </c>
      <c r="AJ32" s="17">
        <f t="shared" si="6"/>
        <v>0.75</v>
      </c>
      <c r="AK32" s="15">
        <f t="shared" si="7"/>
        <v>0.84886049840159417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4.7848100000000002</v>
      </c>
      <c r="X33" s="15"/>
      <c r="Y33" s="15"/>
      <c r="Z33" s="15"/>
      <c r="AA33" s="16">
        <f t="shared" si="3"/>
        <v>0.73814447338597267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 t="shared" si="5"/>
        <v>6.4822134047165632</v>
      </c>
      <c r="AJ33" s="17">
        <f t="shared" si="6"/>
        <v>1</v>
      </c>
      <c r="AK33" s="15">
        <f t="shared" si="7"/>
        <v>0.73814447338597267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4.7570399999999999</v>
      </c>
      <c r="X34" s="15"/>
      <c r="Y34" s="15"/>
      <c r="Z34" s="15"/>
      <c r="AA34" s="16">
        <f t="shared" si="3"/>
        <v>0.51157593476810537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 t="shared" si="5"/>
        <v>5.2568237321193827</v>
      </c>
      <c r="AJ34" s="17">
        <f t="shared" si="6"/>
        <v>1.33</v>
      </c>
      <c r="AK34" s="15">
        <f t="shared" si="7"/>
        <v>0.51157593476810537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4.5103099999999996</v>
      </c>
      <c r="X35" s="15"/>
      <c r="Y35" s="15"/>
      <c r="Z35" s="15"/>
      <c r="AA35" s="16">
        <f t="shared" si="3"/>
        <v>0.34188295647081196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 t="shared" si="5"/>
        <v>4.7303796685404089</v>
      </c>
      <c r="AJ35" s="17">
        <f t="shared" si="6"/>
        <v>1.67</v>
      </c>
      <c r="AK35" s="15">
        <f t="shared" si="7"/>
        <v>0.34188295647081196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4.3391500000000001</v>
      </c>
      <c r="X36" s="15"/>
      <c r="Y36" s="15"/>
      <c r="Z36" s="15"/>
      <c r="AA36" s="16">
        <f t="shared" si="3"/>
        <v>0.24322004368486122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 t="shared" si="5"/>
        <v>4.460107331472865</v>
      </c>
      <c r="AJ36" s="17">
        <f t="shared" si="6"/>
        <v>2</v>
      </c>
      <c r="AK36" s="15">
        <f t="shared" si="7"/>
        <v>0.24322004368486122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4.1529100000000003</v>
      </c>
      <c r="X37" s="15"/>
      <c r="Y37" s="15"/>
      <c r="Z37" s="15"/>
      <c r="AA37" s="16">
        <f t="shared" si="3"/>
        <v>0.15717741921492379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 t="shared" si="5"/>
        <v>4.2274876589709898</v>
      </c>
      <c r="AJ37" s="17">
        <f t="shared" si="6"/>
        <v>2.5</v>
      </c>
      <c r="AK37" s="15">
        <f t="shared" si="7"/>
        <v>0.15717741921492379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3.1341800000000002</v>
      </c>
      <c r="X38" s="15"/>
      <c r="Y38" s="15"/>
      <c r="Z38" s="15"/>
      <c r="AA38" s="16">
        <f t="shared" si="3"/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 t="shared" si="5"/>
        <v>40.97242716265734</v>
      </c>
      <c r="AJ38" s="17">
        <f t="shared" si="6"/>
        <v>0.30000000000000004</v>
      </c>
      <c r="AK38" s="15">
        <f t="shared" si="7"/>
        <v>0.84994286728420476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3.4108299999999998</v>
      </c>
      <c r="X39" s="15"/>
      <c r="Y39" s="15"/>
      <c r="Z39" s="15"/>
      <c r="AA39" s="16">
        <f t="shared" si="3"/>
        <v>0.82151402735625823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 t="shared" si="5"/>
        <v>16.607531394084678</v>
      </c>
      <c r="AJ39" s="17">
        <f t="shared" si="6"/>
        <v>0.5</v>
      </c>
      <c r="AK39" s="15">
        <f t="shared" si="7"/>
        <v>0.82151402735625823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3.90219</v>
      </c>
      <c r="X40" s="15"/>
      <c r="Y40" s="15"/>
      <c r="Z40" s="15"/>
      <c r="AA40" s="16">
        <f t="shared" si="3"/>
        <v>0.7732313727007224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 t="shared" si="5"/>
        <v>8.9717346082796681</v>
      </c>
      <c r="AJ40" s="17">
        <f t="shared" si="6"/>
        <v>0.75</v>
      </c>
      <c r="AK40" s="15">
        <f t="shared" si="7"/>
        <v>0.7732313727007224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4.5278499999999999</v>
      </c>
      <c r="X41" s="15"/>
      <c r="Y41" s="15"/>
      <c r="Z41" s="15"/>
      <c r="AA41" s="16">
        <f t="shared" si="3"/>
        <v>0.6985036926901329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 t="shared" si="5"/>
        <v>6.482213404716564</v>
      </c>
      <c r="AJ41" s="17">
        <f t="shared" si="6"/>
        <v>1</v>
      </c>
      <c r="AK41" s="15">
        <f t="shared" si="7"/>
        <v>0.6985036926901329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4.6929600000000002</v>
      </c>
      <c r="X42" s="15"/>
      <c r="Y42" s="15"/>
      <c r="Z42" s="15"/>
      <c r="AA42" s="16">
        <f t="shared" si="3"/>
        <v>0.50468471966376738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 t="shared" si="5"/>
        <v>5.2568237321193818</v>
      </c>
      <c r="AJ42" s="17">
        <f t="shared" si="6"/>
        <v>1.33</v>
      </c>
      <c r="AK42" s="15">
        <f t="shared" si="7"/>
        <v>0.50468471966376738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4.4724700000000004</v>
      </c>
      <c r="X43" s="15"/>
      <c r="Y43" s="15"/>
      <c r="Z43" s="15"/>
      <c r="AA43" s="16">
        <f t="shared" si="3"/>
        <v>0.3390146722347272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 t="shared" si="5"/>
        <v>4.7303796685404098</v>
      </c>
      <c r="AJ43" s="17">
        <f t="shared" si="6"/>
        <v>1.67</v>
      </c>
      <c r="AK43" s="15">
        <f t="shared" si="7"/>
        <v>0.3390146722347272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4.3064600000000004</v>
      </c>
      <c r="X44" s="15"/>
      <c r="Y44" s="15"/>
      <c r="Z44" s="15"/>
      <c r="AA44" s="16">
        <f t="shared" si="3"/>
        <v>0.24138768867799157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 t="shared" si="5"/>
        <v>4.4601073314728659</v>
      </c>
      <c r="AJ44" s="17">
        <f t="shared" si="6"/>
        <v>2</v>
      </c>
      <c r="AK44" s="15">
        <f t="shared" si="7"/>
        <v>0.24138768867799157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4.1268500000000001</v>
      </c>
      <c r="X45" s="15"/>
      <c r="Y45" s="15"/>
      <c r="Z45" s="15"/>
      <c r="AA45" s="16">
        <f t="shared" si="3"/>
        <v>0.15619111237351838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 t="shared" si="5"/>
        <v>4.2274876589709898</v>
      </c>
      <c r="AJ45" s="17">
        <f t="shared" si="6"/>
        <v>2.5</v>
      </c>
      <c r="AK45" s="15">
        <f t="shared" si="7"/>
        <v>0.15619111237351838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3.0891999999999999</v>
      </c>
      <c r="X46" s="15"/>
      <c r="Y46" s="15"/>
      <c r="Z46" s="15"/>
      <c r="AA46" s="16">
        <f t="shared" si="3"/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 t="shared" si="5"/>
        <v>40.972427162657333</v>
      </c>
      <c r="AJ46" s="17">
        <f t="shared" si="6"/>
        <v>0.3</v>
      </c>
      <c r="AK46" s="15">
        <f t="shared" si="7"/>
        <v>0.83774496219565131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3.3028400000000002</v>
      </c>
      <c r="X47" s="15"/>
      <c r="Y47" s="15"/>
      <c r="Z47" s="15"/>
      <c r="AA47" s="16">
        <f t="shared" si="3"/>
        <v>0.79550414125398938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 t="shared" si="5"/>
        <v>16.607531394084678</v>
      </c>
      <c r="AJ47" s="17">
        <f t="shared" si="6"/>
        <v>0.5</v>
      </c>
      <c r="AK47" s="15">
        <f t="shared" si="7"/>
        <v>0.79550414125398938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3.7145100000000002</v>
      </c>
      <c r="X48" s="15"/>
      <c r="Y48" s="15"/>
      <c r="Z48" s="15"/>
      <c r="AA48" s="16">
        <f t="shared" si="3"/>
        <v>0.73604198314550606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 t="shared" si="5"/>
        <v>8.9717346082796645</v>
      </c>
      <c r="AJ48" s="17">
        <f t="shared" si="6"/>
        <v>0.75</v>
      </c>
      <c r="AK48" s="15">
        <f t="shared" si="7"/>
        <v>0.73604198314550606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4.3075599999999996</v>
      </c>
      <c r="X49" s="15"/>
      <c r="Y49" s="15"/>
      <c r="Z49" s="15"/>
      <c r="AA49" s="16">
        <f t="shared" si="3"/>
        <v>0.6645199303166649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 t="shared" si="5"/>
        <v>6.4822134047165605</v>
      </c>
      <c r="AJ49" s="17">
        <f t="shared" si="6"/>
        <v>1</v>
      </c>
      <c r="AK49" s="15">
        <f t="shared" si="7"/>
        <v>0.6645199303166649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4.5796299999999999</v>
      </c>
      <c r="X50" s="15"/>
      <c r="Y50" s="15"/>
      <c r="Z50" s="15"/>
      <c r="AA50" s="16">
        <f t="shared" si="3"/>
        <v>0.49249711966728449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 t="shared" si="5"/>
        <v>5.25682373211938</v>
      </c>
      <c r="AJ50" s="17">
        <f t="shared" si="6"/>
        <v>1.3300000000000003</v>
      </c>
      <c r="AK50" s="15">
        <f t="shared" si="7"/>
        <v>0.49249711966728449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4.4252500000000001</v>
      </c>
      <c r="X51" s="15"/>
      <c r="Y51" s="15"/>
      <c r="Z51" s="15"/>
      <c r="AA51" s="16">
        <f t="shared" si="3"/>
        <v>0.33543538096549053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 t="shared" si="5"/>
        <v>4.7303796685404071</v>
      </c>
      <c r="AJ51" s="17">
        <f t="shared" si="6"/>
        <v>1.67</v>
      </c>
      <c r="AK51" s="15">
        <f t="shared" si="7"/>
        <v>0.33543538096549053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4.2767299999999997</v>
      </c>
      <c r="X52" s="15"/>
      <c r="Y52" s="15"/>
      <c r="Z52" s="15"/>
      <c r="AA52" s="16">
        <f t="shared" si="3"/>
        <v>0.23972124896082345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 t="shared" si="5"/>
        <v>4.4601073314728623</v>
      </c>
      <c r="AJ52" s="17">
        <f t="shared" si="6"/>
        <v>2</v>
      </c>
      <c r="AK52" s="15">
        <f t="shared" si="7"/>
        <v>0.23972124896082345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4.1063099999999997</v>
      </c>
      <c r="X53" s="15"/>
      <c r="Y53" s="15"/>
      <c r="Z53" s="15"/>
      <c r="AA53" s="16">
        <f t="shared" si="3"/>
        <v>0.15541372394211139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 t="shared" si="5"/>
        <v>4.2274876589709889</v>
      </c>
      <c r="AJ53" s="17">
        <f t="shared" si="6"/>
        <v>2.5</v>
      </c>
      <c r="AK53" s="15">
        <f t="shared" si="7"/>
        <v>0.15541372394211139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3.6763300000000001</v>
      </c>
      <c r="X54" s="15"/>
      <c r="Y54" s="15"/>
      <c r="Z54" s="15"/>
      <c r="AA54" s="16">
        <f t="shared" si="3"/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 t="shared" si="5"/>
        <v>40.972427162657333</v>
      </c>
      <c r="AJ54" s="17">
        <f t="shared" si="6"/>
        <v>0.30000000000000004</v>
      </c>
      <c r="AK54" s="15">
        <f t="shared" si="7"/>
        <v>0.9969658606981544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3.8664999999999998</v>
      </c>
      <c r="X55" s="15"/>
      <c r="Y55" s="15"/>
      <c r="Z55" s="15"/>
      <c r="AA55" s="16">
        <f t="shared" si="3"/>
        <v>0.93126423385890578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 t="shared" si="5"/>
        <v>16.607531394084681</v>
      </c>
      <c r="AJ55" s="17">
        <f t="shared" si="6"/>
        <v>0.5</v>
      </c>
      <c r="AK55" s="15">
        <f t="shared" si="7"/>
        <v>0.93126423385890578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4.2662699999999996</v>
      </c>
      <c r="X56" s="15"/>
      <c r="Y56" s="15"/>
      <c r="Z56" s="15"/>
      <c r="AA56" s="16">
        <f t="shared" si="3"/>
        <v>0.84537498389671217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 t="shared" si="5"/>
        <v>8.9717346082796663</v>
      </c>
      <c r="AJ56" s="17">
        <f t="shared" si="6"/>
        <v>0.75000000000000011</v>
      </c>
      <c r="AK56" s="15">
        <f t="shared" si="7"/>
        <v>0.84537498389671217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4.7730800000000002</v>
      </c>
      <c r="X57" s="15"/>
      <c r="Y57" s="15"/>
      <c r="Z57" s="15"/>
      <c r="AA57" s="16">
        <f t="shared" si="3"/>
        <v>0.73633490630330534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 t="shared" si="5"/>
        <v>6.4822134047165623</v>
      </c>
      <c r="AJ57" s="17">
        <f t="shared" si="6"/>
        <v>1</v>
      </c>
      <c r="AK57" s="15">
        <f t="shared" si="7"/>
        <v>0.73633490630330534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4.7332999999999998</v>
      </c>
      <c r="X58" s="15"/>
      <c r="Y58" s="15"/>
      <c r="Z58" s="15"/>
      <c r="AA58" s="16">
        <f t="shared" si="3"/>
        <v>0.50902291593887639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 t="shared" si="5"/>
        <v>5.2568237321193845</v>
      </c>
      <c r="AJ58" s="17">
        <f t="shared" si="6"/>
        <v>1.33</v>
      </c>
      <c r="AK58" s="15">
        <f t="shared" si="7"/>
        <v>0.50902291593887639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4.4908799999999998</v>
      </c>
      <c r="X59" s="15"/>
      <c r="Y59" s="15"/>
      <c r="Z59" s="15"/>
      <c r="AA59" s="16">
        <f t="shared" si="3"/>
        <v>0.34041015618785403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 t="shared" si="5"/>
        <v>4.730379668540408</v>
      </c>
      <c r="AJ59" s="17">
        <f t="shared" si="6"/>
        <v>1.6700000000000002</v>
      </c>
      <c r="AK59" s="15">
        <f t="shared" si="7"/>
        <v>0.34041015618785403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4.3266999999999998</v>
      </c>
      <c r="X60" s="15"/>
      <c r="Y60" s="15"/>
      <c r="Z60" s="15"/>
      <c r="AA60" s="16">
        <f t="shared" si="3"/>
        <v>0.24252219052378668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 t="shared" si="5"/>
        <v>4.4601073314728641</v>
      </c>
      <c r="AJ60" s="17">
        <f t="shared" si="6"/>
        <v>2</v>
      </c>
      <c r="AK60" s="15">
        <f t="shared" si="7"/>
        <v>0.24252219052378668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4.1508900000000004</v>
      </c>
      <c r="X61" s="15"/>
      <c r="Y61" s="15"/>
      <c r="Z61" s="15"/>
      <c r="AA61" s="16">
        <f t="shared" si="3"/>
        <v>0.15710096718807653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 t="shared" si="5"/>
        <v>4.2274876589709889</v>
      </c>
      <c r="AJ61" s="17">
        <f t="shared" si="6"/>
        <v>2.5000000000000004</v>
      </c>
      <c r="AK61" s="15">
        <f t="shared" si="7"/>
        <v>0.15710096718807653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3.6179999999999999</v>
      </c>
      <c r="X62" s="15"/>
      <c r="Y62" s="15"/>
      <c r="Z62" s="15"/>
      <c r="AA62" s="16">
        <f t="shared" si="3"/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 t="shared" si="5"/>
        <v>40.972427162657333</v>
      </c>
      <c r="AJ62" s="17">
        <f t="shared" si="6"/>
        <v>0.30000000000000004</v>
      </c>
      <c r="AK62" s="15">
        <f t="shared" si="7"/>
        <v>0.98114763473516298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3.8237199999999998</v>
      </c>
      <c r="X63" s="15"/>
      <c r="Y63" s="15"/>
      <c r="Z63" s="15"/>
      <c r="AA63" s="16">
        <f t="shared" si="3"/>
        <v>0.92096047492330946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 t="shared" si="5"/>
        <v>16.607531394084681</v>
      </c>
      <c r="AJ63" s="17">
        <f t="shared" si="6"/>
        <v>0.5</v>
      </c>
      <c r="AK63" s="15">
        <f t="shared" si="7"/>
        <v>0.92096047492330946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4.2092799999999997</v>
      </c>
      <c r="X64" s="15"/>
      <c r="Y64" s="15"/>
      <c r="Z64" s="15"/>
      <c r="AA64" s="16">
        <f t="shared" si="3"/>
        <v>0.83408223394598857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 t="shared" si="5"/>
        <v>8.9717346082796681</v>
      </c>
      <c r="AJ64" s="17">
        <f t="shared" si="6"/>
        <v>0.75</v>
      </c>
      <c r="AK64" s="15">
        <f t="shared" si="7"/>
        <v>0.83408223394598857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4.6981400000000004</v>
      </c>
      <c r="X65" s="15"/>
      <c r="Y65" s="15"/>
      <c r="Z65" s="15"/>
      <c r="AA65" s="16">
        <f t="shared" si="3"/>
        <v>0.7247740403889753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 t="shared" si="5"/>
        <v>6.4822134047165632</v>
      </c>
      <c r="AJ65" s="17">
        <f t="shared" si="6"/>
        <v>1</v>
      </c>
      <c r="AK65" s="15">
        <f t="shared" si="7"/>
        <v>0.7247740403889753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4.6850500000000004</v>
      </c>
      <c r="X66" s="15"/>
      <c r="Y66" s="15"/>
      <c r="Z66" s="15"/>
      <c r="AA66" s="16">
        <f t="shared" si="3"/>
        <v>0.50383407185672446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 t="shared" si="5"/>
        <v>5.2568237321193818</v>
      </c>
      <c r="AJ66" s="17">
        <f t="shared" si="6"/>
        <v>1.33</v>
      </c>
      <c r="AK66" s="15">
        <f t="shared" si="7"/>
        <v>0.50383407185672446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4.4528699999999999</v>
      </c>
      <c r="X67" s="15"/>
      <c r="Y67" s="15"/>
      <c r="Z67" s="15"/>
      <c r="AA67" s="16">
        <f t="shared" si="3"/>
        <v>0.33752898589679736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 t="shared" si="5"/>
        <v>4.7303796685404098</v>
      </c>
      <c r="AJ67" s="17">
        <f t="shared" si="6"/>
        <v>1.67</v>
      </c>
      <c r="AK67" s="15">
        <f t="shared" si="7"/>
        <v>0.33752898589679736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4.2913699999999997</v>
      </c>
      <c r="X68" s="15"/>
      <c r="Y68" s="15"/>
      <c r="Z68" s="15"/>
      <c r="AA68" s="16">
        <f t="shared" si="3"/>
        <v>0.24054185701529165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 t="shared" si="5"/>
        <v>4.4601073314728641</v>
      </c>
      <c r="AJ68" s="17">
        <f t="shared" si="6"/>
        <v>2</v>
      </c>
      <c r="AK68" s="15">
        <f t="shared" si="7"/>
        <v>0.24054185701529165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4.1183199999999998</v>
      </c>
      <c r="X69" s="15"/>
      <c r="Y69" s="15"/>
      <c r="Z69" s="15"/>
      <c r="AA69" s="16">
        <f t="shared" si="3"/>
        <v>0.15586827287400998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 t="shared" si="5"/>
        <v>4.2274876589709907</v>
      </c>
      <c r="AJ69" s="17">
        <f t="shared" si="6"/>
        <v>2.5</v>
      </c>
      <c r="AK69" s="15">
        <f t="shared" si="7"/>
        <v>0.15586827287400998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3.57212</v>
      </c>
      <c r="X70" s="15"/>
      <c r="Y70" s="15"/>
      <c r="Z70" s="15"/>
      <c r="AA70" s="16">
        <f t="shared" si="3"/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 t="shared" si="5"/>
        <v>40.972427162657347</v>
      </c>
      <c r="AJ70" s="17">
        <f t="shared" si="6"/>
        <v>0.3</v>
      </c>
      <c r="AK70" s="15">
        <f t="shared" si="7"/>
        <v>0.96870566307080441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8">2*C71*F71+(E71-2*F71)*H71</f>
        <v>14974.155000000001</v>
      </c>
      <c r="M71" s="15"/>
      <c r="N71" s="15"/>
      <c r="O71" s="15"/>
      <c r="P71" s="15">
        <f t="shared" ref="P71:P134" si="9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0">L71*T71/(S71*1000)</f>
        <v>4.1518828485211712</v>
      </c>
      <c r="W71" s="15">
        <v>3.7747000000000002</v>
      </c>
      <c r="X71" s="15"/>
      <c r="Y71" s="15"/>
      <c r="Z71" s="15"/>
      <c r="AA71" s="16">
        <f t="shared" ref="AA71:AA134" si="11">AK71</f>
        <v>0.90915378340804653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2">W71*S71</f>
        <v>9393.5286733960784</v>
      </c>
      <c r="AH71" s="17">
        <v>8709.9240620145374</v>
      </c>
      <c r="AI71" s="15">
        <f t="shared" ref="AI71:AI134" si="13">(PI()^2*U71*P71/K71^2)/(S71*1000)</f>
        <v>16.607531394084681</v>
      </c>
      <c r="AJ71" s="17">
        <f t="shared" ref="AJ71:AJ134" si="14">(V71/AI71)^0.5</f>
        <v>0.5</v>
      </c>
      <c r="AK71" s="15">
        <f t="shared" ref="AK71:AK134" si="15">W71/V71</f>
        <v>0.90915378340804653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8"/>
        <v>14974.155000000001</v>
      </c>
      <c r="M72" s="15"/>
      <c r="N72" s="15"/>
      <c r="O72" s="15"/>
      <c r="P72" s="15">
        <f t="shared" si="9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0"/>
        <v>5.0466007171573137</v>
      </c>
      <c r="W72" s="15">
        <v>4.1605999999999996</v>
      </c>
      <c r="X72" s="15"/>
      <c r="Y72" s="15"/>
      <c r="Z72" s="15"/>
      <c r="AA72" s="16">
        <f t="shared" si="11"/>
        <v>0.82443613695351214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2"/>
        <v>8518.2118066167513</v>
      </c>
      <c r="AH72" s="17">
        <v>7165.7312222176215</v>
      </c>
      <c r="AI72" s="15">
        <f t="shared" si="13"/>
        <v>8.9717346082796663</v>
      </c>
      <c r="AJ72" s="17">
        <f t="shared" si="14"/>
        <v>0.75000000000000011</v>
      </c>
      <c r="AK72" s="15">
        <f t="shared" si="15"/>
        <v>0.82443613695351214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8"/>
        <v>14974.155000000001</v>
      </c>
      <c r="M73" s="15"/>
      <c r="N73" s="15"/>
      <c r="O73" s="15"/>
      <c r="P73" s="15">
        <f t="shared" si="9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0"/>
        <v>6.4822134047165623</v>
      </c>
      <c r="W73" s="15">
        <v>4.6377800000000002</v>
      </c>
      <c r="X73" s="15"/>
      <c r="Y73" s="15"/>
      <c r="Z73" s="15"/>
      <c r="AA73" s="16">
        <f t="shared" si="11"/>
        <v>0.71546240619376666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2"/>
        <v>7392.2770272427115</v>
      </c>
      <c r="AH73" s="17">
        <v>5578.7401720973157</v>
      </c>
      <c r="AI73" s="15">
        <f t="shared" si="13"/>
        <v>6.4822134047165614</v>
      </c>
      <c r="AJ73" s="17">
        <f t="shared" si="14"/>
        <v>1</v>
      </c>
      <c r="AK73" s="15">
        <f t="shared" si="15"/>
        <v>0.71546240619376666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8"/>
        <v>14974.155000000001</v>
      </c>
      <c r="M74" s="15"/>
      <c r="N74" s="15"/>
      <c r="O74" s="15"/>
      <c r="P74" s="15">
        <f t="shared" si="9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0"/>
        <v>9.2987954997459781</v>
      </c>
      <c r="W74" s="15">
        <v>4.6494299999999997</v>
      </c>
      <c r="X74" s="15"/>
      <c r="Y74" s="15"/>
      <c r="Z74" s="15"/>
      <c r="AA74" s="16">
        <f t="shared" si="11"/>
        <v>0.50000346820478114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2"/>
        <v>5166.1193090708157</v>
      </c>
      <c r="AH74" s="17">
        <v>3888.9536097430987</v>
      </c>
      <c r="AI74" s="15">
        <f t="shared" si="13"/>
        <v>5.2568237321193818</v>
      </c>
      <c r="AJ74" s="17">
        <f t="shared" si="14"/>
        <v>1.3300000000000003</v>
      </c>
      <c r="AK74" s="15">
        <f t="shared" si="15"/>
        <v>0.50000346820478114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8"/>
        <v>14974.155000000001</v>
      </c>
      <c r="M75" s="15"/>
      <c r="N75" s="15"/>
      <c r="O75" s="15"/>
      <c r="P75" s="15">
        <f t="shared" si="9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10"/>
        <v>13.192555857592348</v>
      </c>
      <c r="W75" s="15">
        <v>4.42821</v>
      </c>
      <c r="X75" s="15"/>
      <c r="Y75" s="15"/>
      <c r="Z75" s="15"/>
      <c r="AA75" s="16">
        <f t="shared" si="11"/>
        <v>0.33565974992264708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2"/>
        <v>3468.0925745960394</v>
      </c>
      <c r="AH75" s="17">
        <v>2741.1355855043321</v>
      </c>
      <c r="AI75" s="15">
        <f t="shared" si="13"/>
        <v>4.7303796685404098</v>
      </c>
      <c r="AJ75" s="17">
        <f t="shared" si="14"/>
        <v>1.67</v>
      </c>
      <c r="AK75" s="15">
        <f t="shared" si="15"/>
        <v>0.33565974992264708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8"/>
        <v>14974.155000000001</v>
      </c>
      <c r="M76" s="15"/>
      <c r="N76" s="15"/>
      <c r="O76" s="15"/>
      <c r="P76" s="15">
        <f t="shared" si="9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0"/>
        <v>17.840429325891453</v>
      </c>
      <c r="W76" s="15">
        <v>4.2704300000000002</v>
      </c>
      <c r="X76" s="15"/>
      <c r="Y76" s="15"/>
      <c r="Z76" s="15"/>
      <c r="AA76" s="16">
        <f t="shared" si="11"/>
        <v>0.2393681184455809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2"/>
        <v>2473.1913622871161</v>
      </c>
      <c r="AH76" s="17">
        <v>2027.001910347414</v>
      </c>
      <c r="AI76" s="15">
        <f t="shared" si="13"/>
        <v>4.4601073314728623</v>
      </c>
      <c r="AJ76" s="17">
        <f t="shared" si="14"/>
        <v>2</v>
      </c>
      <c r="AK76" s="15">
        <f t="shared" si="15"/>
        <v>0.2393681184455809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8"/>
        <v>14974.155000000001</v>
      </c>
      <c r="M77" s="15"/>
      <c r="N77" s="15"/>
      <c r="O77" s="15"/>
      <c r="P77" s="15">
        <f t="shared" si="9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0"/>
        <v>26.421797868568689</v>
      </c>
      <c r="W77" s="15">
        <v>4.1021799999999997</v>
      </c>
      <c r="X77" s="15"/>
      <c r="Y77" s="15"/>
      <c r="Z77" s="15"/>
      <c r="AA77" s="16">
        <f t="shared" si="11"/>
        <v>0.15525741360999298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2"/>
        <v>1604.14551764365</v>
      </c>
      <c r="AH77" s="17">
        <v>1368.6647859803263</v>
      </c>
      <c r="AI77" s="15">
        <f t="shared" si="13"/>
        <v>4.2274876589709898</v>
      </c>
      <c r="AJ77" s="17">
        <f t="shared" si="14"/>
        <v>2.5</v>
      </c>
      <c r="AK77" s="15">
        <f t="shared" si="15"/>
        <v>0.15525741360999298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8"/>
        <v>11352.126200000002</v>
      </c>
      <c r="M78" s="15"/>
      <c r="N78" s="15"/>
      <c r="O78" s="15"/>
      <c r="P78" s="15">
        <f t="shared" si="9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0"/>
        <v>3.6400171434814044</v>
      </c>
      <c r="W78" s="15">
        <v>3.16113</v>
      </c>
      <c r="X78" s="15"/>
      <c r="Y78" s="15"/>
      <c r="Z78" s="15"/>
      <c r="AA78" s="16">
        <f t="shared" si="11"/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2"/>
        <v>6802.4479674829427</v>
      </c>
      <c r="AH78" s="17">
        <v>7531.6636412264916</v>
      </c>
      <c r="AI78" s="15">
        <f t="shared" si="13"/>
        <v>40.444634927571173</v>
      </c>
      <c r="AJ78" s="17">
        <f t="shared" si="14"/>
        <v>0.29999999999999993</v>
      </c>
      <c r="AK78" s="15">
        <f t="shared" si="15"/>
        <v>0.86843821756746331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8"/>
        <v>11352.126200000002</v>
      </c>
      <c r="M79" s="15"/>
      <c r="N79" s="15"/>
      <c r="O79" s="15"/>
      <c r="P79" s="15">
        <f t="shared" si="9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0"/>
        <v>4.0444374085352681</v>
      </c>
      <c r="W79" s="15">
        <v>3.3769800000000001</v>
      </c>
      <c r="X79" s="15"/>
      <c r="Y79" s="15"/>
      <c r="Z79" s="15"/>
      <c r="AA79" s="16">
        <f t="shared" si="11"/>
        <v>0.83496903496968833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2"/>
        <v>6540.2849620670013</v>
      </c>
      <c r="AH79" s="17">
        <v>6778.5409943898112</v>
      </c>
      <c r="AI79" s="15">
        <f t="shared" si="13"/>
        <v>16.177749634141076</v>
      </c>
      <c r="AJ79" s="17">
        <f t="shared" si="14"/>
        <v>0.49999999999999994</v>
      </c>
      <c r="AK79" s="15">
        <f t="shared" si="15"/>
        <v>0.83496903496968833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8"/>
        <v>11352.126200000002</v>
      </c>
      <c r="M80" s="15"/>
      <c r="N80" s="15"/>
      <c r="O80" s="15"/>
      <c r="P80" s="15">
        <f t="shared" si="9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0"/>
        <v>4.7855497672286047</v>
      </c>
      <c r="W80" s="15">
        <v>3.7073499999999999</v>
      </c>
      <c r="X80" s="15"/>
      <c r="Y80" s="15"/>
      <c r="Z80" s="15"/>
      <c r="AA80" s="16">
        <f t="shared" si="11"/>
        <v>0.77469678100265393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2"/>
        <v>6068.1743810263642</v>
      </c>
      <c r="AH80" s="17">
        <v>5728.7848014329038</v>
      </c>
      <c r="AI80" s="15">
        <f t="shared" si="13"/>
        <v>8.5076440306286312</v>
      </c>
      <c r="AJ80" s="17">
        <f t="shared" si="14"/>
        <v>0.75</v>
      </c>
      <c r="AK80" s="15">
        <f t="shared" si="15"/>
        <v>0.77469678100265393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8"/>
        <v>11352.126200000002</v>
      </c>
      <c r="M81" s="15"/>
      <c r="N81" s="15"/>
      <c r="O81" s="15"/>
      <c r="P81" s="15">
        <f t="shared" si="9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0"/>
        <v>5.9498687306909055</v>
      </c>
      <c r="W81" s="15">
        <v>4.0465099999999996</v>
      </c>
      <c r="X81" s="15"/>
      <c r="Y81" s="15"/>
      <c r="Z81" s="15"/>
      <c r="AA81" s="16">
        <f t="shared" si="11"/>
        <v>0.68010071871453104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2"/>
        <v>5327.2065394150623</v>
      </c>
      <c r="AH81" s="17">
        <v>4607.7293489828817</v>
      </c>
      <c r="AI81" s="15">
        <f t="shared" si="13"/>
        <v>5.9498687306909064</v>
      </c>
      <c r="AJ81" s="17">
        <f t="shared" si="14"/>
        <v>1</v>
      </c>
      <c r="AK81" s="15">
        <f t="shared" si="15"/>
        <v>0.68010071871453104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8"/>
        <v>11352.126200000002</v>
      </c>
      <c r="M82" s="15"/>
      <c r="N82" s="15"/>
      <c r="O82" s="15"/>
      <c r="P82" s="15">
        <f t="shared" si="9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0"/>
        <v>8.2678062833636066</v>
      </c>
      <c r="W82" s="15">
        <v>4.0241699999999998</v>
      </c>
      <c r="X82" s="15"/>
      <c r="Y82" s="15"/>
      <c r="Z82" s="15"/>
      <c r="AA82" s="16">
        <f t="shared" si="11"/>
        <v>0.48672765931845702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2"/>
        <v>3812.5217313934745</v>
      </c>
      <c r="AH82" s="17">
        <v>3315.9200679586502</v>
      </c>
      <c r="AI82" s="15">
        <f t="shared" si="13"/>
        <v>4.6739817306595102</v>
      </c>
      <c r="AJ82" s="17">
        <f t="shared" si="14"/>
        <v>1.3299999999999998</v>
      </c>
      <c r="AK82" s="15">
        <f t="shared" si="15"/>
        <v>0.48672765931845702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8"/>
        <v>11352.126200000002</v>
      </c>
      <c r="M83" s="15"/>
      <c r="N83" s="15"/>
      <c r="O83" s="15"/>
      <c r="P83" s="15">
        <f t="shared" si="9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0"/>
        <v>11.529072044075583</v>
      </c>
      <c r="W83" s="15">
        <v>3.8056299999999998</v>
      </c>
      <c r="X83" s="15"/>
      <c r="Y83" s="15"/>
      <c r="Z83" s="15"/>
      <c r="AA83" s="16">
        <f t="shared" si="11"/>
        <v>0.33008987934597822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2"/>
        <v>2585.5831576980399</v>
      </c>
      <c r="AH83" s="17">
        <v>2377.9350730215865</v>
      </c>
      <c r="AI83" s="15">
        <f t="shared" si="13"/>
        <v>4.1339137452313057</v>
      </c>
      <c r="AJ83" s="17">
        <f t="shared" si="14"/>
        <v>1.6699999999999995</v>
      </c>
      <c r="AK83" s="15">
        <f t="shared" si="15"/>
        <v>0.33008987934597822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8"/>
        <v>11352.126200000002</v>
      </c>
      <c r="M84" s="15"/>
      <c r="N84" s="15"/>
      <c r="O84" s="15"/>
      <c r="P84" s="15">
        <f t="shared" si="9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0"/>
        <v>15.453225589593025</v>
      </c>
      <c r="W84" s="15">
        <v>3.6501399999999999</v>
      </c>
      <c r="X84" s="15"/>
      <c r="Y84" s="15"/>
      <c r="Z84" s="15"/>
      <c r="AA84" s="16">
        <f t="shared" si="11"/>
        <v>0.23620570209356076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2"/>
        <v>1850.1914881347375</v>
      </c>
      <c r="AH84" s="17">
        <v>1774.0881742814197</v>
      </c>
      <c r="AI84" s="15">
        <f t="shared" si="13"/>
        <v>3.8633063973982571</v>
      </c>
      <c r="AJ84" s="17">
        <f t="shared" si="14"/>
        <v>1.9999999999999998</v>
      </c>
      <c r="AK84" s="15">
        <f t="shared" si="15"/>
        <v>0.23620570209356076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8"/>
        <v>11352.126200000002</v>
      </c>
      <c r="M85" s="15"/>
      <c r="N85" s="15"/>
      <c r="O85" s="15"/>
      <c r="P85" s="15">
        <f t="shared" si="9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0"/>
        <v>22.723407091517466</v>
      </c>
      <c r="W85" s="15">
        <v>3.5007700000000002</v>
      </c>
      <c r="X85" s="15"/>
      <c r="Y85" s="15"/>
      <c r="Z85" s="15"/>
      <c r="AA85" s="16">
        <f t="shared" si="11"/>
        <v>0.15406008376740388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2"/>
        <v>1206.7475641839969</v>
      </c>
      <c r="AH85" s="17">
        <v>1206.4821381136119</v>
      </c>
      <c r="AI85" s="15">
        <f t="shared" si="13"/>
        <v>3.6357451346427956</v>
      </c>
      <c r="AJ85" s="17">
        <f t="shared" si="14"/>
        <v>2.4999999999999996</v>
      </c>
      <c r="AK85" s="15">
        <f t="shared" si="15"/>
        <v>0.15406008376740388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8"/>
        <v>8243.1917999999987</v>
      </c>
      <c r="M86" s="15"/>
      <c r="N86" s="15"/>
      <c r="O86" s="15"/>
      <c r="P86" s="15">
        <f t="shared" si="9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0"/>
        <v>3.579772442265349</v>
      </c>
      <c r="W86" s="15">
        <v>2.4975100000000001</v>
      </c>
      <c r="X86" s="15"/>
      <c r="Y86" s="15"/>
      <c r="Z86" s="15"/>
      <c r="AA86" s="16">
        <f t="shared" si="11"/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2"/>
        <v>3968.2252032140354</v>
      </c>
      <c r="AH86" s="17">
        <v>5561.0540943776496</v>
      </c>
      <c r="AI86" s="15">
        <f t="shared" si="13"/>
        <v>39.775249358503878</v>
      </c>
      <c r="AJ86" s="17">
        <f t="shared" si="14"/>
        <v>0.3</v>
      </c>
      <c r="AK86" s="15">
        <f t="shared" si="15"/>
        <v>0.69767283822642301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8"/>
        <v>8243.1917999999987</v>
      </c>
      <c r="M87" s="15"/>
      <c r="N87" s="15"/>
      <c r="O87" s="15"/>
      <c r="P87" s="15">
        <f t="shared" si="9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0"/>
        <v>3.9151788481239378</v>
      </c>
      <c r="W87" s="15">
        <v>2.6193</v>
      </c>
      <c r="X87" s="15"/>
      <c r="Y87" s="15"/>
      <c r="Z87" s="15"/>
      <c r="AA87" s="16">
        <f t="shared" si="11"/>
        <v>0.66901158327801735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2"/>
        <v>3805.205650193835</v>
      </c>
      <c r="AH87" s="17">
        <v>5084.6484845868827</v>
      </c>
      <c r="AI87" s="15">
        <f t="shared" si="13"/>
        <v>15.660715392495755</v>
      </c>
      <c r="AJ87" s="17">
        <f t="shared" si="14"/>
        <v>0.49999999999999994</v>
      </c>
      <c r="AK87" s="15">
        <f t="shared" si="15"/>
        <v>0.66901158327801735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8"/>
        <v>8243.1917999999987</v>
      </c>
      <c r="M88" s="15"/>
      <c r="N88" s="15"/>
      <c r="O88" s="15"/>
      <c r="P88" s="15">
        <f t="shared" si="9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0"/>
        <v>4.4887743646013156</v>
      </c>
      <c r="W88" s="15">
        <v>2.7760400000000001</v>
      </c>
      <c r="X88" s="15"/>
      <c r="Y88" s="15"/>
      <c r="Z88" s="15"/>
      <c r="AA88" s="16">
        <f t="shared" si="11"/>
        <v>0.61844053064729232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2"/>
        <v>3517.5674986033919</v>
      </c>
      <c r="AH88" s="17">
        <v>4434.9095276407661</v>
      </c>
      <c r="AI88" s="15">
        <f t="shared" si="13"/>
        <v>7.9800433148467818</v>
      </c>
      <c r="AJ88" s="17">
        <f t="shared" si="14"/>
        <v>0.75000000000000011</v>
      </c>
      <c r="AK88" s="15">
        <f t="shared" si="15"/>
        <v>0.61844053064729232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8"/>
        <v>8243.1917999999987</v>
      </c>
      <c r="M89" s="15"/>
      <c r="N89" s="15"/>
      <c r="O89" s="15"/>
      <c r="P89" s="15">
        <f t="shared" si="9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0"/>
        <v>5.3502261361358254</v>
      </c>
      <c r="W89" s="15">
        <v>2.95757</v>
      </c>
      <c r="X89" s="15"/>
      <c r="Y89" s="15"/>
      <c r="Z89" s="15"/>
      <c r="AA89" s="16">
        <f t="shared" si="11"/>
        <v>0.55279345671472691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2"/>
        <v>3144.179917744299</v>
      </c>
      <c r="AH89" s="17">
        <v>3720.8349124805318</v>
      </c>
      <c r="AI89" s="15">
        <f t="shared" si="13"/>
        <v>5.3502261361358263</v>
      </c>
      <c r="AJ89" s="17">
        <f t="shared" si="14"/>
        <v>1</v>
      </c>
      <c r="AK89" s="15">
        <f t="shared" si="15"/>
        <v>0.55279345671472691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8"/>
        <v>8243.1917999999987</v>
      </c>
      <c r="M90" s="15"/>
      <c r="N90" s="15"/>
      <c r="O90" s="15"/>
      <c r="P90" s="15">
        <f t="shared" si="9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0"/>
        <v>7.0777999108743144</v>
      </c>
      <c r="W90" s="15">
        <v>3.0278700000000001</v>
      </c>
      <c r="X90" s="15"/>
      <c r="Y90" s="15"/>
      <c r="Z90" s="15"/>
      <c r="AA90" s="16">
        <f t="shared" si="11"/>
        <v>0.42779819126392482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2"/>
        <v>2433.2315541743151</v>
      </c>
      <c r="AH90" s="17">
        <v>2812.640714300846</v>
      </c>
      <c r="AI90" s="15">
        <f t="shared" si="13"/>
        <v>4.0012436603959021</v>
      </c>
      <c r="AJ90" s="17">
        <f t="shared" si="14"/>
        <v>1.3300000000000003</v>
      </c>
      <c r="AK90" s="15">
        <f t="shared" si="15"/>
        <v>0.42779819126392482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8"/>
        <v>8243.1917999999987</v>
      </c>
      <c r="M91" s="15"/>
      <c r="N91" s="15"/>
      <c r="O91" s="15"/>
      <c r="P91" s="15">
        <f t="shared" si="9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0"/>
        <v>9.5751241412328767</v>
      </c>
      <c r="W91" s="15">
        <v>2.9272</v>
      </c>
      <c r="X91" s="15"/>
      <c r="Y91" s="15"/>
      <c r="Z91" s="15"/>
      <c r="AA91" s="16">
        <f t="shared" si="11"/>
        <v>0.30570883017534423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2"/>
        <v>1738.8114002414027</v>
      </c>
      <c r="AH91" s="17">
        <v>2079.0652845193049</v>
      </c>
      <c r="AI91" s="15">
        <f t="shared" si="13"/>
        <v>3.4332977665864242</v>
      </c>
      <c r="AJ91" s="17">
        <f t="shared" si="14"/>
        <v>1.67</v>
      </c>
      <c r="AK91" s="15">
        <f t="shared" si="15"/>
        <v>0.30570883017534423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8"/>
        <v>8243.1917999999987</v>
      </c>
      <c r="M92" s="15"/>
      <c r="N92" s="15"/>
      <c r="O92" s="15"/>
      <c r="P92" s="15">
        <f t="shared" si="9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0"/>
        <v>12.628667990084828</v>
      </c>
      <c r="W92" s="15">
        <v>2.82273</v>
      </c>
      <c r="X92" s="15"/>
      <c r="Y92" s="15"/>
      <c r="Z92" s="15"/>
      <c r="AA92" s="16">
        <f t="shared" si="11"/>
        <v>0.22351763481439338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2"/>
        <v>1271.3241267756071</v>
      </c>
      <c r="AH92" s="17">
        <v>1576.3585053174145</v>
      </c>
      <c r="AI92" s="15">
        <f t="shared" si="13"/>
        <v>3.157166997521208</v>
      </c>
      <c r="AJ92" s="17">
        <f t="shared" si="14"/>
        <v>1.9999999999999996</v>
      </c>
      <c r="AK92" s="15">
        <f t="shared" si="15"/>
        <v>0.22351763481439338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8"/>
        <v>8243.1917999999987</v>
      </c>
      <c r="M93" s="15"/>
      <c r="N93" s="15"/>
      <c r="O93" s="15"/>
      <c r="P93" s="15">
        <f t="shared" si="9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0"/>
        <v>18.330994895013209</v>
      </c>
      <c r="W93" s="15">
        <v>2.7109200000000002</v>
      </c>
      <c r="X93" s="15"/>
      <c r="Y93" s="15"/>
      <c r="Z93" s="15"/>
      <c r="AA93" s="16">
        <f t="shared" si="11"/>
        <v>0.14788722682681468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2"/>
        <v>841.15331509744169</v>
      </c>
      <c r="AH93" s="17">
        <v>1085.9916939050379</v>
      </c>
      <c r="AI93" s="15">
        <f t="shared" si="13"/>
        <v>2.9329591832021134</v>
      </c>
      <c r="AJ93" s="17">
        <f t="shared" si="14"/>
        <v>2.5</v>
      </c>
      <c r="AK93" s="15">
        <f t="shared" si="15"/>
        <v>0.14788722682681468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8"/>
        <v>6100.2647999999999</v>
      </c>
      <c r="M94" s="15"/>
      <c r="N94" s="15"/>
      <c r="O94" s="15"/>
      <c r="P94" s="15">
        <f t="shared" si="9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0"/>
        <v>3.5262254695970014</v>
      </c>
      <c r="W94" s="15">
        <v>2.0937800000000002</v>
      </c>
      <c r="X94" s="15"/>
      <c r="Y94" s="15"/>
      <c r="Z94" s="15"/>
      <c r="AA94" s="16">
        <f t="shared" si="11"/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2"/>
        <v>2499.3020595868411</v>
      </c>
      <c r="AH94" s="17">
        <v>4177.8779091184097</v>
      </c>
      <c r="AI94" s="15">
        <f t="shared" si="13"/>
        <v>39.180282995522248</v>
      </c>
      <c r="AJ94" s="17">
        <f t="shared" si="14"/>
        <v>0.3</v>
      </c>
      <c r="AK94" s="15">
        <f t="shared" si="15"/>
        <v>0.59377371584786665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8"/>
        <v>6100.2647999999999</v>
      </c>
      <c r="M95" s="15"/>
      <c r="N95" s="15"/>
      <c r="O95" s="15"/>
      <c r="P95" s="15">
        <f t="shared" si="9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0"/>
        <v>3.8064187849652202</v>
      </c>
      <c r="W95" s="15">
        <v>2.1515900000000001</v>
      </c>
      <c r="X95" s="15"/>
      <c r="Y95" s="15"/>
      <c r="Z95" s="15"/>
      <c r="AA95" s="16">
        <f t="shared" si="11"/>
        <v>0.56525309524492051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2"/>
        <v>2379.2535564094087</v>
      </c>
      <c r="AH95" s="17">
        <v>3870.3412115844235</v>
      </c>
      <c r="AI95" s="15">
        <f t="shared" si="13"/>
        <v>15.225675139860888</v>
      </c>
      <c r="AJ95" s="17">
        <f t="shared" si="14"/>
        <v>0.49999999999999989</v>
      </c>
      <c r="AK95" s="15">
        <f t="shared" si="15"/>
        <v>0.56525309524492051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8"/>
        <v>6100.2647999999999</v>
      </c>
      <c r="M96" s="15"/>
      <c r="N96" s="15"/>
      <c r="O96" s="15"/>
      <c r="P96" s="15">
        <f t="shared" si="9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0"/>
        <v>4.2560041696402848</v>
      </c>
      <c r="W96" s="15">
        <v>2.13585</v>
      </c>
      <c r="X96" s="15"/>
      <c r="Y96" s="15"/>
      <c r="Z96" s="15"/>
      <c r="AA96" s="16">
        <f t="shared" si="11"/>
        <v>0.50184396322631442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2"/>
        <v>2112.3529341337667</v>
      </c>
      <c r="AH96" s="17">
        <v>3461.4955495321219</v>
      </c>
      <c r="AI96" s="15">
        <f t="shared" si="13"/>
        <v>7.5662296349160654</v>
      </c>
      <c r="AJ96" s="17">
        <f t="shared" si="14"/>
        <v>0.74999999999999989</v>
      </c>
      <c r="AK96" s="15">
        <f t="shared" si="15"/>
        <v>0.50184396322631442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8"/>
        <v>6100.2647999999999</v>
      </c>
      <c r="M97" s="15"/>
      <c r="N97" s="15"/>
      <c r="O97" s="15"/>
      <c r="P97" s="15">
        <f t="shared" si="9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0"/>
        <v>4.8938041375788819</v>
      </c>
      <c r="W97" s="15">
        <v>2.0885199999999999</v>
      </c>
      <c r="X97" s="15"/>
      <c r="Y97" s="15"/>
      <c r="Z97" s="15"/>
      <c r="AA97" s="16">
        <f t="shared" si="11"/>
        <v>0.42676820348459149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2"/>
        <v>1796.3453441386407</v>
      </c>
      <c r="AH97" s="17">
        <v>3010.3655720248034</v>
      </c>
      <c r="AI97" s="15">
        <f t="shared" si="13"/>
        <v>4.8938041375788837</v>
      </c>
      <c r="AJ97" s="17">
        <f t="shared" si="14"/>
        <v>0.99999999999999978</v>
      </c>
      <c r="AK97" s="15">
        <f t="shared" si="15"/>
        <v>0.42676820348459149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8"/>
        <v>6100.2647999999999</v>
      </c>
      <c r="M98" s="15"/>
      <c r="N98" s="15"/>
      <c r="O98" s="15"/>
      <c r="P98" s="15">
        <f t="shared" si="9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0"/>
        <v>6.155059297226269</v>
      </c>
      <c r="W98" s="15">
        <v>2.0143599999999999</v>
      </c>
      <c r="X98" s="15"/>
      <c r="Y98" s="15"/>
      <c r="Z98" s="15"/>
      <c r="AA98" s="16">
        <f t="shared" si="11"/>
        <v>0.32726898356734857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2"/>
        <v>1377.5349478054957</v>
      </c>
      <c r="AH98" s="17">
        <v>2393.5008227522562</v>
      </c>
      <c r="AI98" s="15">
        <f t="shared" si="13"/>
        <v>3.479597092671304</v>
      </c>
      <c r="AJ98" s="17">
        <f t="shared" si="14"/>
        <v>1.3299999999999998</v>
      </c>
      <c r="AK98" s="15">
        <f t="shared" si="15"/>
        <v>0.32726898356734857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8"/>
        <v>6100.2647999999999</v>
      </c>
      <c r="M99" s="15"/>
      <c r="N99" s="15"/>
      <c r="O99" s="15"/>
      <c r="P99" s="15">
        <f t="shared" si="9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0"/>
        <v>8.0207118288040604</v>
      </c>
      <c r="W99" s="15">
        <v>1.9722</v>
      </c>
      <c r="X99" s="15"/>
      <c r="Y99" s="15"/>
      <c r="Z99" s="15"/>
      <c r="AA99" s="16">
        <f t="shared" si="11"/>
        <v>0.24588840019378524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2"/>
        <v>1034.9892031770182</v>
      </c>
      <c r="AH99" s="17">
        <v>1836.7620987321591</v>
      </c>
      <c r="AI99" s="15">
        <f t="shared" si="13"/>
        <v>2.8759409906429285</v>
      </c>
      <c r="AJ99" s="17">
        <f t="shared" si="14"/>
        <v>1.6699999999999997</v>
      </c>
      <c r="AK99" s="15">
        <f t="shared" si="15"/>
        <v>0.24588840019378524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8"/>
        <v>6100.2647999999999</v>
      </c>
      <c r="M100" s="31"/>
      <c r="N100" s="31"/>
      <c r="O100" s="31"/>
      <c r="P100" s="31">
        <f t="shared" si="9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0"/>
        <v>10.351921652800185</v>
      </c>
      <c r="W100" s="31">
        <v>1.9519299999999999</v>
      </c>
      <c r="X100" s="31"/>
      <c r="Y100" s="31"/>
      <c r="Z100" s="31"/>
      <c r="AA100" s="33">
        <f t="shared" si="11"/>
        <v>0.18855726168213463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2"/>
        <v>793.67196609450116</v>
      </c>
      <c r="AH100" s="34">
        <v>1423.1308916460907</v>
      </c>
      <c r="AI100" s="31">
        <f t="shared" si="13"/>
        <v>2.587980413200047</v>
      </c>
      <c r="AJ100" s="34">
        <f t="shared" si="14"/>
        <v>1.9999999999999996</v>
      </c>
      <c r="AK100" s="31">
        <f t="shared" si="15"/>
        <v>0.18855726168213463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8"/>
        <v>6100.2647999999999</v>
      </c>
      <c r="M101" s="42"/>
      <c r="N101" s="42"/>
      <c r="O101" s="42"/>
      <c r="P101" s="42">
        <f t="shared" si="9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0"/>
        <v>14.763070859683028</v>
      </c>
      <c r="W101" s="42">
        <v>1.93025</v>
      </c>
      <c r="X101" s="42"/>
      <c r="Y101" s="42"/>
      <c r="Z101" s="42"/>
      <c r="AA101" s="41">
        <f t="shared" si="11"/>
        <v>0.13074854265391256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2"/>
        <v>550.34450535804342</v>
      </c>
      <c r="AH101" s="43">
        <v>997.90481479246318</v>
      </c>
      <c r="AI101" s="42">
        <f t="shared" si="13"/>
        <v>2.3620913375492854</v>
      </c>
      <c r="AJ101" s="43">
        <f t="shared" si="14"/>
        <v>2.4999999999999996</v>
      </c>
      <c r="AK101" s="42">
        <f t="shared" si="15"/>
        <v>0.13074854265391256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8"/>
        <v>15434.550000000001</v>
      </c>
      <c r="M102" s="36"/>
      <c r="N102" s="36"/>
      <c r="O102" s="36"/>
      <c r="P102" s="36">
        <f t="shared" si="9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3.6590699999999998</v>
      </c>
      <c r="X102" s="36"/>
      <c r="Y102" s="36"/>
      <c r="Z102" s="36"/>
      <c r="AA102" s="38">
        <f t="shared" si="11"/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2"/>
        <v>7043.4228417737368</v>
      </c>
      <c r="AH102" s="39">
        <v>6737.2255644762408</v>
      </c>
      <c r="AI102" s="36">
        <f t="shared" si="13"/>
        <v>40.860238702785502</v>
      </c>
      <c r="AJ102" s="39">
        <f t="shared" si="14"/>
        <v>0.30044773224364668</v>
      </c>
      <c r="AK102" s="36">
        <f t="shared" si="15"/>
        <v>0.99204633672278386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8"/>
        <v>15434.550000000001</v>
      </c>
      <c r="M103" s="15"/>
      <c r="N103" s="15"/>
      <c r="O103" s="15"/>
      <c r="P103" s="15">
        <f t="shared" si="9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0"/>
        <v>4.153939239175422</v>
      </c>
      <c r="W103" s="15">
        <v>3.8207399999999998</v>
      </c>
      <c r="X103" s="15"/>
      <c r="Y103" s="15"/>
      <c r="Z103" s="15"/>
      <c r="AA103" s="16">
        <f t="shared" si="11"/>
        <v>0.91978716587063902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2"/>
        <v>6530.3904604547897</v>
      </c>
      <c r="AH103" s="17">
        <v>5982.1831926777968</v>
      </c>
      <c r="AI103" s="15">
        <f t="shared" si="13"/>
        <v>16.566271697353649</v>
      </c>
      <c r="AJ103" s="17">
        <f t="shared" si="14"/>
        <v>0.50074622040607786</v>
      </c>
      <c r="AK103" s="15">
        <f t="shared" si="15"/>
        <v>0.91978716587063902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8"/>
        <v>15434.550000000001</v>
      </c>
      <c r="M104" s="15"/>
      <c r="N104" s="15"/>
      <c r="O104" s="15"/>
      <c r="P104" s="15">
        <f t="shared" si="9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0"/>
        <v>5.0517068854483735</v>
      </c>
      <c r="W104" s="15">
        <v>4.1588000000000003</v>
      </c>
      <c r="X104" s="15"/>
      <c r="Y104" s="15"/>
      <c r="Z104" s="15"/>
      <c r="AA104" s="16">
        <f t="shared" si="11"/>
        <v>0.82324649753127521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2"/>
        <v>5844.9620450968177</v>
      </c>
      <c r="AH104" s="17">
        <v>4919.0552942769218</v>
      </c>
      <c r="AI104" s="15">
        <f t="shared" si="13"/>
        <v>8.9540654712066541</v>
      </c>
      <c r="AJ104" s="17">
        <f t="shared" si="14"/>
        <v>0.75111933060911673</v>
      </c>
      <c r="AK104" s="15">
        <f t="shared" si="15"/>
        <v>0.82324649753127521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8"/>
        <v>15434.550000000001</v>
      </c>
      <c r="M105" s="15"/>
      <c r="N105" s="15"/>
      <c r="O105" s="15"/>
      <c r="P105" s="15">
        <f t="shared" si="9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0"/>
        <v>6.4926212516107089</v>
      </c>
      <c r="W105" s="15">
        <v>4.4974699999999999</v>
      </c>
      <c r="X105" s="15"/>
      <c r="Y105" s="15"/>
      <c r="Z105" s="15"/>
      <c r="AA105" s="16">
        <f t="shared" si="11"/>
        <v>0.69270481454377986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2"/>
        <v>4918.1300638456805</v>
      </c>
      <c r="AH105" s="17">
        <v>3827.3641010301089</v>
      </c>
      <c r="AI105" s="15">
        <f t="shared" si="13"/>
        <v>6.4732848441679556</v>
      </c>
      <c r="AJ105" s="17">
        <f t="shared" si="14"/>
        <v>1.0014924408121557</v>
      </c>
      <c r="AK105" s="15">
        <f t="shared" si="15"/>
        <v>0.69270481454377986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8"/>
        <v>15434.550000000001</v>
      </c>
      <c r="M106" s="15"/>
      <c r="N106" s="15"/>
      <c r="O106" s="15"/>
      <c r="P106" s="15">
        <f t="shared" si="9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0"/>
        <v>9.3187330614180777</v>
      </c>
      <c r="W106" s="15">
        <v>4.5846200000000001</v>
      </c>
      <c r="X106" s="15"/>
      <c r="Y106" s="15"/>
      <c r="Z106" s="15"/>
      <c r="AA106" s="16">
        <f t="shared" si="11"/>
        <v>0.49197889560561531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2"/>
        <v>3492.9975170580392</v>
      </c>
      <c r="AH106" s="17">
        <v>2666.6313259775375</v>
      </c>
      <c r="AI106" s="15">
        <f t="shared" si="13"/>
        <v>5.2524053885061557</v>
      </c>
      <c r="AJ106" s="17">
        <f t="shared" si="14"/>
        <v>1.3319849462801672</v>
      </c>
      <c r="AK106" s="15">
        <f t="shared" si="15"/>
        <v>0.49197889560561531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8"/>
        <v>15434.550000000001</v>
      </c>
      <c r="M107" s="15"/>
      <c r="N107" s="15"/>
      <c r="O107" s="15"/>
      <c r="P107" s="15">
        <f t="shared" si="9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0"/>
        <v>13.224532825935254</v>
      </c>
      <c r="W107" s="15">
        <v>4.3812800000000003</v>
      </c>
      <c r="X107" s="15"/>
      <c r="Y107" s="15"/>
      <c r="Z107" s="15"/>
      <c r="AA107" s="16">
        <f t="shared" si="11"/>
        <v>0.33129941584081257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2"/>
        <v>2352.1904034322747</v>
      </c>
      <c r="AH107" s="17">
        <v>1879.0550734061646</v>
      </c>
      <c r="AI107" s="15">
        <f t="shared" si="13"/>
        <v>4.727723243414192</v>
      </c>
      <c r="AJ107" s="17">
        <f t="shared" si="14"/>
        <v>1.6724923761562998</v>
      </c>
      <c r="AK107" s="15">
        <f t="shared" si="15"/>
        <v>0.33129941584081257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8"/>
        <v>15434.550000000001</v>
      </c>
      <c r="M108" s="15"/>
      <c r="N108" s="15"/>
      <c r="O108" s="15"/>
      <c r="P108" s="15">
        <f t="shared" si="9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0"/>
        <v>17.886215442179413</v>
      </c>
      <c r="W108" s="15">
        <v>4.1862599999999999</v>
      </c>
      <c r="X108" s="15"/>
      <c r="Y108" s="15"/>
      <c r="Z108" s="15"/>
      <c r="AA108" s="16">
        <f t="shared" si="11"/>
        <v>0.23404951223655335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2"/>
        <v>1661.7264935817195</v>
      </c>
      <c r="AH108" s="17">
        <v>1389.3171297377658</v>
      </c>
      <c r="AI108" s="15">
        <f t="shared" si="13"/>
        <v>4.4582366217904346</v>
      </c>
      <c r="AJ108" s="17">
        <f t="shared" si="14"/>
        <v>2.0029848816243114</v>
      </c>
      <c r="AK108" s="15">
        <f t="shared" si="15"/>
        <v>0.23404951223655335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8"/>
        <v>15434.550000000001</v>
      </c>
      <c r="M109" s="15"/>
      <c r="N109" s="15"/>
      <c r="O109" s="15"/>
      <c r="P109" s="15">
        <f t="shared" si="9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0"/>
        <v>26.492657579321744</v>
      </c>
      <c r="W109" s="15">
        <v>4.0026200000000003</v>
      </c>
      <c r="X109" s="15"/>
      <c r="Y109" s="15"/>
      <c r="Z109" s="15"/>
      <c r="AA109" s="16">
        <f t="shared" si="11"/>
        <v>0.15108412540401975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2"/>
        <v>1072.681124367122</v>
      </c>
      <c r="AH109" s="17">
        <v>937.98160586938718</v>
      </c>
      <c r="AI109" s="15">
        <f t="shared" si="13"/>
        <v>4.2262010893651905</v>
      </c>
      <c r="AJ109" s="17">
        <f t="shared" si="14"/>
        <v>2.5037311020303892</v>
      </c>
      <c r="AK109" s="15">
        <f t="shared" si="15"/>
        <v>0.15108412540401975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8"/>
        <v>11835.099999999999</v>
      </c>
      <c r="M110" s="15"/>
      <c r="N110" s="15"/>
      <c r="O110" s="15"/>
      <c r="P110" s="15">
        <f t="shared" si="9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0"/>
        <v>3.6875184446391596</v>
      </c>
      <c r="W110" s="15">
        <v>3.6387999999999998</v>
      </c>
      <c r="X110" s="15"/>
      <c r="Y110" s="15"/>
      <c r="Z110" s="15"/>
      <c r="AA110" s="16">
        <f t="shared" si="11"/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2"/>
        <v>5372.2194918372825</v>
      </c>
      <c r="AH110" s="17">
        <v>5167.2991704491842</v>
      </c>
      <c r="AI110" s="15">
        <f t="shared" si="13"/>
        <v>40.972427162657326</v>
      </c>
      <c r="AJ110" s="17">
        <f t="shared" si="14"/>
        <v>0.30000000000000004</v>
      </c>
      <c r="AK110" s="15">
        <f t="shared" si="15"/>
        <v>0.98678828448709577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8"/>
        <v>11835.099999999999</v>
      </c>
      <c r="M111" s="15"/>
      <c r="N111" s="15"/>
      <c r="O111" s="15"/>
      <c r="P111" s="15">
        <f t="shared" si="9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0"/>
        <v>4.1518828485211703</v>
      </c>
      <c r="W111" s="15">
        <v>3.7591100000000002</v>
      </c>
      <c r="X111" s="15"/>
      <c r="Y111" s="15"/>
      <c r="Z111" s="15"/>
      <c r="AA111" s="16">
        <f t="shared" si="11"/>
        <v>0.90539886050468188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2"/>
        <v>4929.1235848211209</v>
      </c>
      <c r="AH111" s="17">
        <v>4589.3662454341384</v>
      </c>
      <c r="AI111" s="15">
        <f t="shared" si="13"/>
        <v>16.607531394084678</v>
      </c>
      <c r="AJ111" s="17">
        <f t="shared" si="14"/>
        <v>0.5</v>
      </c>
      <c r="AK111" s="15">
        <f t="shared" si="15"/>
        <v>0.90539886050468188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8"/>
        <v>11835.099999999999</v>
      </c>
      <c r="M112" s="15"/>
      <c r="N112" s="15"/>
      <c r="O112" s="15"/>
      <c r="P112" s="15">
        <f t="shared" si="9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0"/>
        <v>5.0466007171573128</v>
      </c>
      <c r="W112" s="15">
        <v>4.0532399999999997</v>
      </c>
      <c r="X112" s="15"/>
      <c r="Y112" s="15"/>
      <c r="Z112" s="15"/>
      <c r="AA112" s="16">
        <f t="shared" si="11"/>
        <v>0.80316241112951359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2"/>
        <v>4372.5334279010958</v>
      </c>
      <c r="AH112" s="17">
        <v>3775.7120223953771</v>
      </c>
      <c r="AI112" s="15">
        <f t="shared" si="13"/>
        <v>8.9717346082796627</v>
      </c>
      <c r="AJ112" s="17">
        <f t="shared" si="14"/>
        <v>0.75000000000000022</v>
      </c>
      <c r="AK112" s="15">
        <f t="shared" si="15"/>
        <v>0.80316241112951359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8"/>
        <v>11835.099999999999</v>
      </c>
      <c r="M113" s="15"/>
      <c r="N113" s="15"/>
      <c r="O113" s="15"/>
      <c r="P113" s="15">
        <f t="shared" si="9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0"/>
        <v>6.4822134047165632</v>
      </c>
      <c r="W113" s="15">
        <v>4.4211799999999997</v>
      </c>
      <c r="X113" s="15"/>
      <c r="Y113" s="15"/>
      <c r="Z113" s="15"/>
      <c r="AA113" s="16">
        <f t="shared" si="11"/>
        <v>0.68204789382328534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2"/>
        <v>3713.1683129664634</v>
      </c>
      <c r="AH113" s="17">
        <v>2939.506895304562</v>
      </c>
      <c r="AI113" s="15">
        <f t="shared" si="13"/>
        <v>6.4822134047165623</v>
      </c>
      <c r="AJ113" s="17">
        <f t="shared" si="14"/>
        <v>1</v>
      </c>
      <c r="AK113" s="15">
        <f t="shared" si="15"/>
        <v>0.68204789382328534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8"/>
        <v>11835.099999999999</v>
      </c>
      <c r="M114" s="15"/>
      <c r="N114" s="15"/>
      <c r="O114" s="15"/>
      <c r="P114" s="15">
        <f t="shared" si="9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0"/>
        <v>9.2987954997459781</v>
      </c>
      <c r="W114" s="15">
        <v>4.5523100000000003</v>
      </c>
      <c r="X114" s="15"/>
      <c r="Y114" s="15"/>
      <c r="Z114" s="15"/>
      <c r="AA114" s="16">
        <f t="shared" si="11"/>
        <v>0.48955910473828135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2"/>
        <v>2665.2312418244946</v>
      </c>
      <c r="AH114" s="17">
        <v>2049.137546956541</v>
      </c>
      <c r="AI114" s="15">
        <f t="shared" si="13"/>
        <v>5.2568237321193818</v>
      </c>
      <c r="AJ114" s="17">
        <f t="shared" si="14"/>
        <v>1.3300000000000003</v>
      </c>
      <c r="AK114" s="15">
        <f t="shared" si="15"/>
        <v>0.48955910473828135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8"/>
        <v>11835.099999999999</v>
      </c>
      <c r="M115" s="15"/>
      <c r="N115" s="15"/>
      <c r="O115" s="15"/>
      <c r="P115" s="15">
        <f t="shared" si="9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0"/>
        <v>13.19255585759235</v>
      </c>
      <c r="W115" s="15">
        <v>4.3430400000000002</v>
      </c>
      <c r="X115" s="15"/>
      <c r="Y115" s="15"/>
      <c r="Z115" s="15"/>
      <c r="AA115" s="16">
        <f t="shared" si="11"/>
        <v>0.32920383638175538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2"/>
        <v>1792.2337490223877</v>
      </c>
      <c r="AH115" s="17">
        <v>1444.3380953383705</v>
      </c>
      <c r="AI115" s="15">
        <f t="shared" si="13"/>
        <v>4.7303796685404098</v>
      </c>
      <c r="AJ115" s="17">
        <f t="shared" si="14"/>
        <v>1.67</v>
      </c>
      <c r="AK115" s="15">
        <f t="shared" si="15"/>
        <v>0.32920383638175538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8"/>
        <v>11835.099999999999</v>
      </c>
      <c r="M116" s="15"/>
      <c r="N116" s="15"/>
      <c r="O116" s="15"/>
      <c r="P116" s="15">
        <f t="shared" si="9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0"/>
        <v>17.840429325891453</v>
      </c>
      <c r="W116" s="15">
        <v>4.1339100000000002</v>
      </c>
      <c r="X116" s="15"/>
      <c r="Y116" s="15"/>
      <c r="Z116" s="15"/>
      <c r="AA116" s="16">
        <f t="shared" si="11"/>
        <v>0.231715836232738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2"/>
        <v>1261.4948429631154</v>
      </c>
      <c r="AH116" s="17">
        <v>1068.0522677975339</v>
      </c>
      <c r="AI116" s="15">
        <f t="shared" si="13"/>
        <v>4.4601073314728623</v>
      </c>
      <c r="AJ116" s="17">
        <f t="shared" si="14"/>
        <v>2</v>
      </c>
      <c r="AK116" s="15">
        <f t="shared" si="15"/>
        <v>0.231715836232738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8"/>
        <v>11835.099999999999</v>
      </c>
      <c r="M117" s="15"/>
      <c r="N117" s="15"/>
      <c r="O117" s="15"/>
      <c r="P117" s="15">
        <f t="shared" si="9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0"/>
        <v>26.421797868568682</v>
      </c>
      <c r="W117" s="15">
        <v>3.94055</v>
      </c>
      <c r="X117" s="15"/>
      <c r="Y117" s="15"/>
      <c r="Z117" s="15"/>
      <c r="AA117" s="16">
        <f t="shared" si="11"/>
        <v>0.14914011603607302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2"/>
        <v>811.94056615732256</v>
      </c>
      <c r="AH117" s="17">
        <v>721.16632996678868</v>
      </c>
      <c r="AI117" s="15">
        <f t="shared" si="13"/>
        <v>4.2274876589709889</v>
      </c>
      <c r="AJ117" s="17">
        <f t="shared" si="14"/>
        <v>2.5</v>
      </c>
      <c r="AK117" s="15">
        <f t="shared" si="15"/>
        <v>0.14914011603607302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8"/>
        <v>10343.099999999999</v>
      </c>
      <c r="M118" s="15"/>
      <c r="N118" s="15"/>
      <c r="O118" s="15"/>
      <c r="P118" s="15">
        <f t="shared" si="9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0"/>
        <v>3.6875184446391605</v>
      </c>
      <c r="W118" s="15">
        <v>3.5909499999999999</v>
      </c>
      <c r="X118" s="15"/>
      <c r="Y118" s="15"/>
      <c r="Z118" s="15"/>
      <c r="AA118" s="16">
        <f t="shared" si="11"/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2"/>
        <v>4633.228424806387</v>
      </c>
      <c r="AH118" s="17">
        <v>4515.8800559245765</v>
      </c>
      <c r="AI118" s="15">
        <f t="shared" si="13"/>
        <v>40.972427162657333</v>
      </c>
      <c r="AJ118" s="17">
        <f t="shared" si="14"/>
        <v>0.30000000000000004</v>
      </c>
      <c r="AK118" s="15">
        <f t="shared" si="15"/>
        <v>0.97381207820680871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8"/>
        <v>10343.099999999999</v>
      </c>
      <c r="M119" s="15"/>
      <c r="N119" s="15"/>
      <c r="O119" s="15"/>
      <c r="P119" s="15">
        <f t="shared" si="9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0"/>
        <v>4.1518828485211703</v>
      </c>
      <c r="W119" s="15">
        <v>3.7105100000000002</v>
      </c>
      <c r="X119" s="15"/>
      <c r="Y119" s="15"/>
      <c r="Z119" s="15"/>
      <c r="AA119" s="16">
        <f t="shared" si="11"/>
        <v>0.89369332791305045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2"/>
        <v>4252.0373515712363</v>
      </c>
      <c r="AH119" s="17">
        <v>4010.8046415450513</v>
      </c>
      <c r="AI119" s="15">
        <f t="shared" si="13"/>
        <v>16.607531394084681</v>
      </c>
      <c r="AJ119" s="17">
        <f t="shared" si="14"/>
        <v>0.5</v>
      </c>
      <c r="AK119" s="15">
        <f t="shared" si="15"/>
        <v>0.89369332791305045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8"/>
        <v>10343.099999999999</v>
      </c>
      <c r="M120" s="15"/>
      <c r="N120" s="15"/>
      <c r="O120" s="15"/>
      <c r="P120" s="15">
        <f t="shared" si="9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0"/>
        <v>5.046600717157312</v>
      </c>
      <c r="W120" s="15">
        <v>3.9840499999999999</v>
      </c>
      <c r="X120" s="15"/>
      <c r="Y120" s="15"/>
      <c r="Z120" s="15"/>
      <c r="AA120" s="16">
        <f t="shared" si="11"/>
        <v>0.78945219233515396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2"/>
        <v>3756.0761664491956</v>
      </c>
      <c r="AH120" s="17">
        <v>3299.7242962744403</v>
      </c>
      <c r="AI120" s="15">
        <f t="shared" si="13"/>
        <v>8.9717346082796663</v>
      </c>
      <c r="AJ120" s="17">
        <f t="shared" si="14"/>
        <v>0.75</v>
      </c>
      <c r="AK120" s="15">
        <f t="shared" si="15"/>
        <v>0.78945219233515396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8"/>
        <v>10343.099999999999</v>
      </c>
      <c r="M121" s="15"/>
      <c r="N121" s="15"/>
      <c r="O121" s="15"/>
      <c r="P121" s="15">
        <f t="shared" si="9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0"/>
        <v>6.4822134047165623</v>
      </c>
      <c r="W121" s="15">
        <v>4.3773999999999997</v>
      </c>
      <c r="X121" s="15"/>
      <c r="Y121" s="15"/>
      <c r="Z121" s="15"/>
      <c r="AA121" s="16">
        <f t="shared" si="11"/>
        <v>0.67529402793418269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2"/>
        <v>3212.9314837499805</v>
      </c>
      <c r="AH121" s="17">
        <v>2568.935942140296</v>
      </c>
      <c r="AI121" s="15">
        <f t="shared" si="13"/>
        <v>6.4822134047165623</v>
      </c>
      <c r="AJ121" s="17">
        <f t="shared" si="14"/>
        <v>1</v>
      </c>
      <c r="AK121" s="15">
        <f t="shared" si="15"/>
        <v>0.67529402793418269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8"/>
        <v>10343.099999999999</v>
      </c>
      <c r="M122" s="15"/>
      <c r="N122" s="15"/>
      <c r="O122" s="15"/>
      <c r="P122" s="15">
        <f t="shared" si="9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0"/>
        <v>9.2987954997459781</v>
      </c>
      <c r="W122" s="15">
        <v>4.5318100000000001</v>
      </c>
      <c r="X122" s="15"/>
      <c r="Y122" s="15"/>
      <c r="Z122" s="15"/>
      <c r="AA122" s="16">
        <f t="shared" si="11"/>
        <v>0.48735451813342912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2"/>
        <v>2318.7479975926999</v>
      </c>
      <c r="AH122" s="17">
        <v>1790.8116164566586</v>
      </c>
      <c r="AI122" s="15">
        <f t="shared" si="13"/>
        <v>5.2568237321193827</v>
      </c>
      <c r="AJ122" s="17">
        <f t="shared" si="14"/>
        <v>1.33</v>
      </c>
      <c r="AK122" s="15">
        <f t="shared" si="15"/>
        <v>0.48735451813342912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8"/>
        <v>10343.099999999999</v>
      </c>
      <c r="M123" s="15"/>
      <c r="N123" s="15"/>
      <c r="O123" s="15"/>
      <c r="P123" s="15">
        <f t="shared" si="9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0"/>
        <v>13.192555857592344</v>
      </c>
      <c r="W123" s="15">
        <v>4.3223799999999999</v>
      </c>
      <c r="X123" s="15"/>
      <c r="Y123" s="15"/>
      <c r="Z123" s="15"/>
      <c r="AA123" s="16">
        <f t="shared" si="11"/>
        <v>0.32763780170106016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2"/>
        <v>1558.8436515161477</v>
      </c>
      <c r="AH123" s="17">
        <v>1262.2566225798096</v>
      </c>
      <c r="AI123" s="15">
        <f t="shared" si="13"/>
        <v>4.7303796685404098</v>
      </c>
      <c r="AJ123" s="17">
        <f t="shared" si="14"/>
        <v>1.6699999999999997</v>
      </c>
      <c r="AK123" s="15">
        <f t="shared" si="15"/>
        <v>0.32763780170106016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8"/>
        <v>10343.099999999999</v>
      </c>
      <c r="M124" s="15"/>
      <c r="N124" s="15"/>
      <c r="O124" s="15"/>
      <c r="P124" s="15">
        <f t="shared" si="9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0"/>
        <v>17.840429325891456</v>
      </c>
      <c r="W124" s="15">
        <v>4.1048299999999998</v>
      </c>
      <c r="X124" s="15"/>
      <c r="Y124" s="15"/>
      <c r="Z124" s="15"/>
      <c r="AA124" s="16">
        <f t="shared" si="11"/>
        <v>0.2300858306163486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2"/>
        <v>1094.7083471380593</v>
      </c>
      <c r="AH124" s="17">
        <v>933.4075260079486</v>
      </c>
      <c r="AI124" s="15">
        <f t="shared" si="13"/>
        <v>4.4601073314728641</v>
      </c>
      <c r="AJ124" s="17">
        <f t="shared" si="14"/>
        <v>2</v>
      </c>
      <c r="AK124" s="15">
        <f t="shared" si="15"/>
        <v>0.2300858306163486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8"/>
        <v>10343.099999999999</v>
      </c>
      <c r="M125" s="15"/>
      <c r="N125" s="15"/>
      <c r="O125" s="15"/>
      <c r="P125" s="15">
        <f t="shared" si="9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0"/>
        <v>26.421797868568685</v>
      </c>
      <c r="W125" s="15">
        <v>3.90713</v>
      </c>
      <c r="X125" s="15"/>
      <c r="Y125" s="15"/>
      <c r="Z125" s="15"/>
      <c r="AA125" s="16">
        <f t="shared" si="11"/>
        <v>0.14787525131466975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2"/>
        <v>703.56471546146986</v>
      </c>
      <c r="AH125" s="17">
        <v>630.25200188249289</v>
      </c>
      <c r="AI125" s="15">
        <f t="shared" si="13"/>
        <v>4.2274876589709889</v>
      </c>
      <c r="AJ125" s="17">
        <f t="shared" si="14"/>
        <v>2.5</v>
      </c>
      <c r="AK125" s="15">
        <f t="shared" si="15"/>
        <v>0.14787525131466975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8"/>
        <v>8515.4</v>
      </c>
      <c r="M126" s="15"/>
      <c r="N126" s="15"/>
      <c r="O126" s="15"/>
      <c r="P126" s="15">
        <f t="shared" si="9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0"/>
        <v>3.6875184446391613</v>
      </c>
      <c r="W126" s="15">
        <v>3.2653799999999999</v>
      </c>
      <c r="X126" s="15"/>
      <c r="Y126" s="15"/>
      <c r="Z126" s="15"/>
      <c r="AA126" s="16">
        <f t="shared" si="11"/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2"/>
        <v>3468.6654301390563</v>
      </c>
      <c r="AH126" s="17">
        <v>3717.8916406319318</v>
      </c>
      <c r="AI126" s="15">
        <f t="shared" si="13"/>
        <v>40.972427162657347</v>
      </c>
      <c r="AJ126" s="17">
        <f t="shared" si="14"/>
        <v>0.3</v>
      </c>
      <c r="AK126" s="15">
        <f t="shared" si="15"/>
        <v>0.88552235033485527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8"/>
        <v>8515.4</v>
      </c>
      <c r="M127" s="15"/>
      <c r="N127" s="15"/>
      <c r="O127" s="15"/>
      <c r="P127" s="15">
        <f t="shared" si="9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0"/>
        <v>4.1518828485211712</v>
      </c>
      <c r="W127" s="15">
        <v>3.4799500000000001</v>
      </c>
      <c r="X127" s="15"/>
      <c r="Y127" s="15"/>
      <c r="Z127" s="15"/>
      <c r="AA127" s="16">
        <f t="shared" si="11"/>
        <v>0.83816189593102275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2"/>
        <v>3283.1505519610746</v>
      </c>
      <c r="AH127" s="17">
        <v>3302.0666767809194</v>
      </c>
      <c r="AI127" s="15">
        <f t="shared" si="13"/>
        <v>16.607531394084685</v>
      </c>
      <c r="AJ127" s="17">
        <f t="shared" si="14"/>
        <v>0.5</v>
      </c>
      <c r="AK127" s="15">
        <f t="shared" si="15"/>
        <v>0.83816189593102275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8"/>
        <v>8515.4</v>
      </c>
      <c r="M128" s="15"/>
      <c r="N128" s="15"/>
      <c r="O128" s="15"/>
      <c r="P128" s="15">
        <f t="shared" si="9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0"/>
        <v>5.046600717157312</v>
      </c>
      <c r="W128" s="15">
        <v>3.8130899999999999</v>
      </c>
      <c r="X128" s="15"/>
      <c r="Y128" s="15"/>
      <c r="Z128" s="15"/>
      <c r="AA128" s="16">
        <f t="shared" si="11"/>
        <v>0.7555759240148221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2"/>
        <v>2959.6543627436754</v>
      </c>
      <c r="AH128" s="17">
        <v>2716.6393317762927</v>
      </c>
      <c r="AI128" s="15">
        <f t="shared" si="13"/>
        <v>8.9717346082796663</v>
      </c>
      <c r="AJ128" s="17">
        <f t="shared" si="14"/>
        <v>0.75</v>
      </c>
      <c r="AK128" s="15">
        <f t="shared" si="15"/>
        <v>0.7555759240148221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8"/>
        <v>8515.4</v>
      </c>
      <c r="M129" s="15"/>
      <c r="N129" s="15"/>
      <c r="O129" s="15"/>
      <c r="P129" s="15">
        <f t="shared" si="9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0"/>
        <v>6.4822134047165614</v>
      </c>
      <c r="W129" s="15">
        <v>4.2832299999999996</v>
      </c>
      <c r="X129" s="15"/>
      <c r="Y129" s="15"/>
      <c r="Z129" s="15"/>
      <c r="AA129" s="16">
        <f t="shared" si="11"/>
        <v>0.66076658273599165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2"/>
        <v>2588.2782089698289</v>
      </c>
      <c r="AH129" s="17">
        <v>2114.9865245140704</v>
      </c>
      <c r="AI129" s="15">
        <f t="shared" si="13"/>
        <v>6.4822134047165614</v>
      </c>
      <c r="AJ129" s="17">
        <f t="shared" si="14"/>
        <v>1</v>
      </c>
      <c r="AK129" s="15">
        <f t="shared" si="15"/>
        <v>0.66076658273599165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8"/>
        <v>8515.4</v>
      </c>
      <c r="M130" s="15"/>
      <c r="N130" s="15"/>
      <c r="O130" s="15"/>
      <c r="P130" s="15">
        <f t="shared" si="9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0"/>
        <v>9.2987954997459781</v>
      </c>
      <c r="W130" s="15">
        <v>4.4904700000000002</v>
      </c>
      <c r="X130" s="15"/>
      <c r="Y130" s="15"/>
      <c r="Z130" s="15"/>
      <c r="AA130" s="16">
        <f t="shared" si="11"/>
        <v>0.48290878104832713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2"/>
        <v>1891.5942597039054</v>
      </c>
      <c r="AH130" s="17">
        <v>1474.3623515943029</v>
      </c>
      <c r="AI130" s="15">
        <f t="shared" si="13"/>
        <v>5.2568237321193827</v>
      </c>
      <c r="AJ130" s="17">
        <f t="shared" si="14"/>
        <v>1.33</v>
      </c>
      <c r="AK130" s="15">
        <f t="shared" si="15"/>
        <v>0.48290878104832713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8"/>
        <v>8515.4</v>
      </c>
      <c r="M131" s="15"/>
      <c r="N131" s="15"/>
      <c r="O131" s="15"/>
      <c r="P131" s="15">
        <f t="shared" si="9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0"/>
        <v>13.192555857592346</v>
      </c>
      <c r="W131" s="15">
        <v>4.2911799999999998</v>
      </c>
      <c r="X131" s="15"/>
      <c r="Y131" s="15"/>
      <c r="Z131" s="15"/>
      <c r="AA131" s="16">
        <f t="shared" si="11"/>
        <v>0.32527283161211068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2"/>
        <v>1274.1210043424928</v>
      </c>
      <c r="AH131" s="17">
        <v>1039.206818450572</v>
      </c>
      <c r="AI131" s="15">
        <f t="shared" si="13"/>
        <v>4.7303796685404107</v>
      </c>
      <c r="AJ131" s="17">
        <f t="shared" si="14"/>
        <v>1.6699999999999997</v>
      </c>
      <c r="AK131" s="15">
        <f t="shared" si="15"/>
        <v>0.32527283161211068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8"/>
        <v>8515.4</v>
      </c>
      <c r="M132" s="15"/>
      <c r="N132" s="15"/>
      <c r="O132" s="15"/>
      <c r="P132" s="15">
        <f t="shared" si="9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0"/>
        <v>17.840429325891453</v>
      </c>
      <c r="W132" s="15">
        <v>4.0622400000000001</v>
      </c>
      <c r="X132" s="15"/>
      <c r="Y132" s="15"/>
      <c r="Z132" s="15"/>
      <c r="AA132" s="16">
        <f t="shared" si="11"/>
        <v>0.22769855622838367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2"/>
        <v>891.91437142530197</v>
      </c>
      <c r="AH132" s="17">
        <v>768.46771731570686</v>
      </c>
      <c r="AI132" s="15">
        <f t="shared" si="13"/>
        <v>4.4601073314728632</v>
      </c>
      <c r="AJ132" s="17">
        <f t="shared" si="14"/>
        <v>2</v>
      </c>
      <c r="AK132" s="15">
        <f t="shared" si="15"/>
        <v>0.22769855622838367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8"/>
        <v>8515.4</v>
      </c>
      <c r="M133" s="15"/>
      <c r="N133" s="15"/>
      <c r="O133" s="15"/>
      <c r="P133" s="15">
        <f t="shared" si="9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0"/>
        <v>26.421797868568685</v>
      </c>
      <c r="W133" s="15">
        <v>3.8572099999999998</v>
      </c>
      <c r="X133" s="15"/>
      <c r="Y133" s="15"/>
      <c r="Z133" s="15"/>
      <c r="AA133" s="16">
        <f t="shared" si="11"/>
        <v>0.14598590221555394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2"/>
        <v>571.83904179411093</v>
      </c>
      <c r="AH133" s="17">
        <v>518.88194997923063</v>
      </c>
      <c r="AI133" s="15">
        <f t="shared" si="13"/>
        <v>4.2274876589709889</v>
      </c>
      <c r="AJ133" s="17">
        <f t="shared" si="14"/>
        <v>2.5</v>
      </c>
      <c r="AK133" s="15">
        <f t="shared" si="15"/>
        <v>0.14598590221555394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8"/>
        <v>7396.4</v>
      </c>
      <c r="M134" s="15"/>
      <c r="N134" s="15"/>
      <c r="O134" s="15"/>
      <c r="P134" s="15">
        <f t="shared" si="9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0"/>
        <v>3.6875184446391609</v>
      </c>
      <c r="W134" s="15">
        <v>3.14398</v>
      </c>
      <c r="X134" s="15"/>
      <c r="Y134" s="15"/>
      <c r="Z134" s="15"/>
      <c r="AA134" s="16">
        <f t="shared" si="11"/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2"/>
        <v>2900.8401313004783</v>
      </c>
      <c r="AH134" s="17">
        <v>3229.3273047384764</v>
      </c>
      <c r="AI134" s="15">
        <f t="shared" si="13"/>
        <v>40.972427162657347</v>
      </c>
      <c r="AJ134" s="17">
        <f t="shared" si="14"/>
        <v>0.3</v>
      </c>
      <c r="AK134" s="15">
        <f t="shared" si="15"/>
        <v>0.8526004811096346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6">2*C135*F135+(E135-2*F135)*H135</f>
        <v>7396.4</v>
      </c>
      <c r="M135" s="15"/>
      <c r="N135" s="15"/>
      <c r="O135" s="15"/>
      <c r="P135" s="15">
        <f t="shared" ref="P135:P198" si="17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8">L135*T135/(S135*1000)</f>
        <v>4.1518828485211703</v>
      </c>
      <c r="W135" s="15">
        <v>3.2419799999999999</v>
      </c>
      <c r="X135" s="15"/>
      <c r="Y135" s="15"/>
      <c r="Z135" s="15"/>
      <c r="AA135" s="16">
        <f t="shared" ref="AA135:AA198" si="19">AK135</f>
        <v>0.78084573151064163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20">W135*S135</f>
        <v>2656.7057895308426</v>
      </c>
      <c r="AH135" s="17">
        <v>2868.1454738641041</v>
      </c>
      <c r="AI135" s="15">
        <f t="shared" ref="AI135:AI198" si="21">(PI()^2*U135*P135/K135^2)/(S135*1000)</f>
        <v>16.607531394084685</v>
      </c>
      <c r="AJ135" s="17">
        <f t="shared" ref="AJ135:AJ198" si="22">(V135/AI135)^0.5</f>
        <v>0.49999999999999994</v>
      </c>
      <c r="AK135" s="15">
        <f t="shared" ref="AK135:AK198" si="23">W135/V135</f>
        <v>0.78084573151064163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6"/>
        <v>7396.4</v>
      </c>
      <c r="M136" s="15"/>
      <c r="N136" s="15"/>
      <c r="O136" s="15"/>
      <c r="P136" s="15">
        <f t="shared" si="17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8"/>
        <v>5.0466007171573128</v>
      </c>
      <c r="W136" s="15">
        <v>3.5093299999999998</v>
      </c>
      <c r="X136" s="15"/>
      <c r="Y136" s="15"/>
      <c r="Z136" s="15"/>
      <c r="AA136" s="16">
        <f t="shared" si="19"/>
        <v>0.69538491287195825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0"/>
        <v>2365.9386860004297</v>
      </c>
      <c r="AH136" s="17">
        <v>2359.6485371855892</v>
      </c>
      <c r="AI136" s="15">
        <f t="shared" si="21"/>
        <v>8.9717346082796663</v>
      </c>
      <c r="AJ136" s="17">
        <f t="shared" si="22"/>
        <v>0.75000000000000011</v>
      </c>
      <c r="AK136" s="15">
        <f t="shared" si="23"/>
        <v>0.69538491287195825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6"/>
        <v>7396.4</v>
      </c>
      <c r="M137" s="15"/>
      <c r="N137" s="15"/>
      <c r="O137" s="15"/>
      <c r="P137" s="15">
        <f t="shared" si="17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8"/>
        <v>6.4822134047165623</v>
      </c>
      <c r="W137" s="15">
        <v>4.0688000000000004</v>
      </c>
      <c r="X137" s="15"/>
      <c r="Y137" s="15"/>
      <c r="Z137" s="15"/>
      <c r="AA137" s="16">
        <f t="shared" si="19"/>
        <v>0.62768683256238933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0"/>
        <v>2135.6065286476496</v>
      </c>
      <c r="AH137" s="17">
        <v>1837.0583096408704</v>
      </c>
      <c r="AI137" s="15">
        <f t="shared" si="21"/>
        <v>6.4822134047165632</v>
      </c>
      <c r="AJ137" s="17">
        <f t="shared" si="22"/>
        <v>1</v>
      </c>
      <c r="AK137" s="15">
        <f t="shared" si="23"/>
        <v>0.62768683256238933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6"/>
        <v>7396.4</v>
      </c>
      <c r="M138" s="15"/>
      <c r="N138" s="15"/>
      <c r="O138" s="15"/>
      <c r="P138" s="15">
        <f t="shared" si="17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8"/>
        <v>9.2987954997459745</v>
      </c>
      <c r="W138" s="15">
        <v>4.4238299999999997</v>
      </c>
      <c r="X138" s="15"/>
      <c r="Y138" s="15"/>
      <c r="Z138" s="15"/>
      <c r="AA138" s="16">
        <f t="shared" si="19"/>
        <v>0.47574226147040766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0"/>
        <v>1618.6388288602725</v>
      </c>
      <c r="AH138" s="17">
        <v>1280.6179037193911</v>
      </c>
      <c r="AI138" s="15">
        <f t="shared" si="21"/>
        <v>5.2568237321193827</v>
      </c>
      <c r="AJ138" s="17">
        <f t="shared" si="22"/>
        <v>1.3299999999999998</v>
      </c>
      <c r="AK138" s="15">
        <f t="shared" si="23"/>
        <v>0.47574226147040766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6"/>
        <v>7396.4</v>
      </c>
      <c r="M139" s="15"/>
      <c r="N139" s="15"/>
      <c r="O139" s="15"/>
      <c r="P139" s="15">
        <f t="shared" si="17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8"/>
        <v>13.192555857592344</v>
      </c>
      <c r="W139" s="15">
        <v>4.2661199999999999</v>
      </c>
      <c r="X139" s="15"/>
      <c r="Y139" s="15"/>
      <c r="Z139" s="15"/>
      <c r="AA139" s="16">
        <f t="shared" si="19"/>
        <v>0.32337327550861483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0"/>
        <v>1100.2271236870827</v>
      </c>
      <c r="AH139" s="17">
        <v>902.64571388165109</v>
      </c>
      <c r="AI139" s="15">
        <f t="shared" si="21"/>
        <v>4.7303796685404089</v>
      </c>
      <c r="AJ139" s="17">
        <f t="shared" si="22"/>
        <v>1.67</v>
      </c>
      <c r="AK139" s="15">
        <f t="shared" si="23"/>
        <v>0.32337327550861483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6"/>
        <v>7396.4</v>
      </c>
      <c r="M140" s="15"/>
      <c r="N140" s="15"/>
      <c r="O140" s="15"/>
      <c r="P140" s="15">
        <f t="shared" si="17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8"/>
        <v>17.840429325891453</v>
      </c>
      <c r="W140" s="15">
        <v>4.0302699999999998</v>
      </c>
      <c r="X140" s="15"/>
      <c r="Y140" s="15"/>
      <c r="Z140" s="15"/>
      <c r="AA140" s="16">
        <f t="shared" si="19"/>
        <v>0.22590655899468468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0"/>
        <v>768.61182555621133</v>
      </c>
      <c r="AH140" s="17">
        <v>667.48416097351787</v>
      </c>
      <c r="AI140" s="15">
        <f t="shared" si="21"/>
        <v>4.4601073314728641</v>
      </c>
      <c r="AJ140" s="17">
        <f t="shared" si="22"/>
        <v>1.9999999999999998</v>
      </c>
      <c r="AK140" s="15">
        <f t="shared" si="23"/>
        <v>0.22590655899468468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6"/>
        <v>7396.4</v>
      </c>
      <c r="M141" s="15"/>
      <c r="N141" s="15"/>
      <c r="O141" s="15"/>
      <c r="P141" s="15">
        <f t="shared" si="17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8"/>
        <v>26.421797868568685</v>
      </c>
      <c r="W141" s="15">
        <v>3.8201800000000001</v>
      </c>
      <c r="X141" s="15"/>
      <c r="Y141" s="15"/>
      <c r="Z141" s="15"/>
      <c r="AA141" s="16">
        <f t="shared" si="19"/>
        <v>0.14458440788181481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0"/>
        <v>491.92589265024532</v>
      </c>
      <c r="AH141" s="17">
        <v>450.69620391600881</v>
      </c>
      <c r="AI141" s="15">
        <f t="shared" si="21"/>
        <v>4.2274876589709898</v>
      </c>
      <c r="AJ141" s="17">
        <f t="shared" si="22"/>
        <v>2.5</v>
      </c>
      <c r="AK141" s="15">
        <f t="shared" si="23"/>
        <v>0.14458440788181481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6"/>
        <v>6687.7</v>
      </c>
      <c r="M142" s="15"/>
      <c r="N142" s="15"/>
      <c r="O142" s="15"/>
      <c r="P142" s="15">
        <f t="shared" si="17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8"/>
        <v>3.6875184446391605</v>
      </c>
      <c r="W142" s="15">
        <v>3.1068899999999999</v>
      </c>
      <c r="X142" s="15"/>
      <c r="Y142" s="15"/>
      <c r="Z142" s="15"/>
      <c r="AA142" s="16">
        <f t="shared" si="19"/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20"/>
        <v>2591.9480376498232</v>
      </c>
      <c r="AH142" s="17">
        <v>2919.9032253392879</v>
      </c>
      <c r="AI142" s="15">
        <f t="shared" si="21"/>
        <v>40.972427162657333</v>
      </c>
      <c r="AJ142" s="17">
        <f t="shared" si="22"/>
        <v>0.30000000000000004</v>
      </c>
      <c r="AK142" s="15">
        <f t="shared" si="23"/>
        <v>0.84254222633563602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6"/>
        <v>6687.7</v>
      </c>
      <c r="M143" s="15"/>
      <c r="N143" s="15"/>
      <c r="O143" s="15"/>
      <c r="P143" s="15">
        <f t="shared" si="17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8"/>
        <v>4.1518828485211703</v>
      </c>
      <c r="W143" s="15">
        <v>3.14621</v>
      </c>
      <c r="X143" s="15"/>
      <c r="Y143" s="15"/>
      <c r="Z143" s="15"/>
      <c r="AA143" s="16">
        <f t="shared" si="19"/>
        <v>0.75777908837688568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0"/>
        <v>2331.1876362955254</v>
      </c>
      <c r="AH143" s="17">
        <v>2593.3287120167879</v>
      </c>
      <c r="AI143" s="15">
        <f t="shared" si="21"/>
        <v>16.607531394084685</v>
      </c>
      <c r="AJ143" s="17">
        <f t="shared" si="22"/>
        <v>0.49999999999999994</v>
      </c>
      <c r="AK143" s="15">
        <f t="shared" si="23"/>
        <v>0.75777908837688568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6"/>
        <v>6687.7</v>
      </c>
      <c r="M144" s="15"/>
      <c r="N144" s="15"/>
      <c r="O144" s="15"/>
      <c r="P144" s="15">
        <f t="shared" si="17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8"/>
        <v>5.046600717157312</v>
      </c>
      <c r="W144" s="15">
        <v>3.3294299999999999</v>
      </c>
      <c r="X144" s="15"/>
      <c r="Y144" s="15"/>
      <c r="Z144" s="15"/>
      <c r="AA144" s="16">
        <f t="shared" si="19"/>
        <v>0.6597371550875194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0"/>
        <v>2029.5771191562494</v>
      </c>
      <c r="AH144" s="17">
        <v>2133.5543672781446</v>
      </c>
      <c r="AI144" s="15">
        <f t="shared" si="21"/>
        <v>8.9717346082796645</v>
      </c>
      <c r="AJ144" s="17">
        <f t="shared" si="22"/>
        <v>0.75000000000000011</v>
      </c>
      <c r="AK144" s="15">
        <f t="shared" si="23"/>
        <v>0.6597371550875194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6"/>
        <v>6687.7</v>
      </c>
      <c r="M145" s="15"/>
      <c r="N145" s="15"/>
      <c r="O145" s="15"/>
      <c r="P145" s="15">
        <f t="shared" si="17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8"/>
        <v>6.4822134047165614</v>
      </c>
      <c r="W145" s="15">
        <v>3.87832</v>
      </c>
      <c r="X145" s="15"/>
      <c r="Y145" s="15"/>
      <c r="Z145" s="15"/>
      <c r="AA145" s="16">
        <f t="shared" si="19"/>
        <v>0.59830180801793298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0"/>
        <v>1840.5809806815039</v>
      </c>
      <c r="AH145" s="17">
        <v>1661.0371068878442</v>
      </c>
      <c r="AI145" s="15">
        <f t="shared" si="21"/>
        <v>6.4822134047165632</v>
      </c>
      <c r="AJ145" s="17">
        <f t="shared" si="22"/>
        <v>0.99999999999999989</v>
      </c>
      <c r="AK145" s="15">
        <f t="shared" si="23"/>
        <v>0.59830180801793298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6"/>
        <v>6687.7</v>
      </c>
      <c r="M146" s="15"/>
      <c r="N146" s="15"/>
      <c r="O146" s="15"/>
      <c r="P146" s="15">
        <f t="shared" si="17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8"/>
        <v>9.2987954997459781</v>
      </c>
      <c r="W146" s="15">
        <v>4.3048999999999999</v>
      </c>
      <c r="X146" s="15"/>
      <c r="Y146" s="15"/>
      <c r="Z146" s="15"/>
      <c r="AA146" s="16">
        <f t="shared" si="19"/>
        <v>0.4629524329379649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0"/>
        <v>1424.2000134492448</v>
      </c>
      <c r="AH146" s="17">
        <v>1157.9130867319466</v>
      </c>
      <c r="AI146" s="15">
        <f t="shared" si="21"/>
        <v>5.2568237321193836</v>
      </c>
      <c r="AJ146" s="17">
        <f t="shared" si="22"/>
        <v>1.33</v>
      </c>
      <c r="AK146" s="15">
        <f t="shared" si="23"/>
        <v>0.4629524329379649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6"/>
        <v>6687.7</v>
      </c>
      <c r="M147" s="15"/>
      <c r="N147" s="15"/>
      <c r="O147" s="15"/>
      <c r="P147" s="15">
        <f t="shared" si="17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8"/>
        <v>13.192555857592346</v>
      </c>
      <c r="W147" s="15">
        <v>4.2364600000000001</v>
      </c>
      <c r="X147" s="15"/>
      <c r="Y147" s="15"/>
      <c r="Z147" s="15"/>
      <c r="AA147" s="16">
        <f t="shared" si="19"/>
        <v>0.32112503791764563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0"/>
        <v>987.89044139764576</v>
      </c>
      <c r="AH147" s="17">
        <v>816.15701432133437</v>
      </c>
      <c r="AI147" s="15">
        <f t="shared" si="21"/>
        <v>4.7303796685404098</v>
      </c>
      <c r="AJ147" s="17">
        <f t="shared" si="22"/>
        <v>1.67</v>
      </c>
      <c r="AK147" s="15">
        <f t="shared" si="23"/>
        <v>0.32112503791764563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6"/>
        <v>6687.7</v>
      </c>
      <c r="M148" s="15"/>
      <c r="N148" s="15"/>
      <c r="O148" s="15"/>
      <c r="P148" s="15">
        <f t="shared" si="17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8"/>
        <v>17.840429325891453</v>
      </c>
      <c r="W148" s="15">
        <v>4.0043499999999996</v>
      </c>
      <c r="X148" s="15"/>
      <c r="Y148" s="15"/>
      <c r="Z148" s="15"/>
      <c r="AA148" s="16">
        <f t="shared" si="19"/>
        <v>0.22445367916054396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0"/>
        <v>690.49628025610616</v>
      </c>
      <c r="AH148" s="17">
        <v>603.5279086234649</v>
      </c>
      <c r="AI148" s="15">
        <f t="shared" si="21"/>
        <v>4.4601073314728641</v>
      </c>
      <c r="AJ148" s="17">
        <f t="shared" si="22"/>
        <v>1.9999999999999998</v>
      </c>
      <c r="AK148" s="15">
        <f t="shared" si="23"/>
        <v>0.22445367916054396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6"/>
        <v>6687.7</v>
      </c>
      <c r="M149" s="15"/>
      <c r="N149" s="15"/>
      <c r="O149" s="15"/>
      <c r="P149" s="15">
        <f t="shared" si="17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8"/>
        <v>26.421797868568689</v>
      </c>
      <c r="W149" s="15">
        <v>3.79189</v>
      </c>
      <c r="X149" s="15"/>
      <c r="Y149" s="15"/>
      <c r="Z149" s="15"/>
      <c r="AA149" s="16">
        <f t="shared" si="19"/>
        <v>0.14351370103057309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0"/>
        <v>441.49722605579529</v>
      </c>
      <c r="AH149" s="17">
        <v>407.5118980759683</v>
      </c>
      <c r="AI149" s="15">
        <f t="shared" si="21"/>
        <v>4.2274876589709889</v>
      </c>
      <c r="AJ149" s="17">
        <f t="shared" si="22"/>
        <v>2.5000000000000004</v>
      </c>
      <c r="AK149" s="15">
        <f t="shared" si="23"/>
        <v>0.14351370103057309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6"/>
        <v>20570.9912</v>
      </c>
      <c r="M150" s="15"/>
      <c r="N150" s="15"/>
      <c r="O150" s="15"/>
      <c r="P150" s="15">
        <f t="shared" si="17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8"/>
        <v>3.6875184446391609</v>
      </c>
      <c r="W150" s="15">
        <v>3.6456200000000001</v>
      </c>
      <c r="X150" s="15"/>
      <c r="Y150" s="15"/>
      <c r="Z150" s="15"/>
      <c r="AA150" s="16">
        <f t="shared" si="19"/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20"/>
        <v>9355.1390480179525</v>
      </c>
      <c r="AH150" s="17">
        <v>8981.4590297570321</v>
      </c>
      <c r="AI150" s="15">
        <f t="shared" si="21"/>
        <v>40.972427162657361</v>
      </c>
      <c r="AJ150" s="17">
        <f t="shared" si="22"/>
        <v>0.29999999999999993</v>
      </c>
      <c r="AK150" s="15">
        <f t="shared" si="23"/>
        <v>0.98863776676152715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6"/>
        <v>20570.9912</v>
      </c>
      <c r="M151" s="15"/>
      <c r="N151" s="15"/>
      <c r="O151" s="15"/>
      <c r="P151" s="15">
        <f t="shared" si="17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8"/>
        <v>4.1518828485211694</v>
      </c>
      <c r="W151" s="15">
        <v>3.58873</v>
      </c>
      <c r="X151" s="15"/>
      <c r="Y151" s="15"/>
      <c r="Z151" s="15"/>
      <c r="AA151" s="16">
        <f t="shared" si="19"/>
        <v>0.86436205715155112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0"/>
        <v>8179.1607647880883</v>
      </c>
      <c r="AH151" s="17">
        <v>7976.9340899867948</v>
      </c>
      <c r="AI151" s="15">
        <f t="shared" si="21"/>
        <v>16.607531394084685</v>
      </c>
      <c r="AJ151" s="17">
        <f t="shared" si="22"/>
        <v>0.49999999999999989</v>
      </c>
      <c r="AK151" s="15">
        <f t="shared" si="23"/>
        <v>0.86436205715155112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6"/>
        <v>20570.9912</v>
      </c>
      <c r="M152" s="15"/>
      <c r="N152" s="15"/>
      <c r="O152" s="15"/>
      <c r="P152" s="15">
        <f t="shared" si="17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8"/>
        <v>5.046600717157312</v>
      </c>
      <c r="W152" s="15">
        <v>3.7266900000000001</v>
      </c>
      <c r="X152" s="15"/>
      <c r="Y152" s="15"/>
      <c r="Z152" s="15"/>
      <c r="AA152" s="16">
        <f t="shared" si="19"/>
        <v>0.73845548892546398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0"/>
        <v>6987.7502275676115</v>
      </c>
      <c r="AH152" s="17">
        <v>6562.6939177894164</v>
      </c>
      <c r="AI152" s="15">
        <f t="shared" si="21"/>
        <v>8.9717346082796681</v>
      </c>
      <c r="AJ152" s="17">
        <f t="shared" si="22"/>
        <v>0.74999999999999989</v>
      </c>
      <c r="AK152" s="15">
        <f t="shared" si="23"/>
        <v>0.73845548892546398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6"/>
        <v>20570.9912</v>
      </c>
      <c r="M153" s="15"/>
      <c r="N153" s="15"/>
      <c r="O153" s="15"/>
      <c r="P153" s="15">
        <f t="shared" si="17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8"/>
        <v>6.4822134047165605</v>
      </c>
      <c r="W153" s="15">
        <v>4.2276600000000002</v>
      </c>
      <c r="X153" s="15"/>
      <c r="Y153" s="15"/>
      <c r="Z153" s="15"/>
      <c r="AA153" s="16">
        <f t="shared" si="19"/>
        <v>0.65219389366661218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0"/>
        <v>6171.4864297624226</v>
      </c>
      <c r="AH153" s="17">
        <v>5109.2572496767662</v>
      </c>
      <c r="AI153" s="15">
        <f t="shared" si="21"/>
        <v>6.4822134047165632</v>
      </c>
      <c r="AJ153" s="17">
        <f t="shared" si="22"/>
        <v>0.99999999999999978</v>
      </c>
      <c r="AK153" s="15">
        <f t="shared" si="23"/>
        <v>0.65219389366661218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6"/>
        <v>20570.9912</v>
      </c>
      <c r="M154" s="15"/>
      <c r="N154" s="15"/>
      <c r="O154" s="15"/>
      <c r="P154" s="15">
        <f t="shared" si="17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8"/>
        <v>9.2987954997459727</v>
      </c>
      <c r="W154" s="15">
        <v>4.4663300000000001</v>
      </c>
      <c r="X154" s="15"/>
      <c r="Y154" s="15"/>
      <c r="Z154" s="15"/>
      <c r="AA154" s="16">
        <f t="shared" si="19"/>
        <v>0.48031274589510142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0"/>
        <v>4545.034263765745</v>
      </c>
      <c r="AH154" s="17">
        <v>3561.6759001641408</v>
      </c>
      <c r="AI154" s="15">
        <f t="shared" si="21"/>
        <v>5.2568237321193818</v>
      </c>
      <c r="AJ154" s="17">
        <f t="shared" si="22"/>
        <v>1.3299999999999998</v>
      </c>
      <c r="AK154" s="15">
        <f t="shared" si="23"/>
        <v>0.48031274589510142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6"/>
        <v>20570.9912</v>
      </c>
      <c r="M155" s="15"/>
      <c r="N155" s="15"/>
      <c r="O155" s="15"/>
      <c r="P155" s="15">
        <f t="shared" si="17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8"/>
        <v>13.192555857592344</v>
      </c>
      <c r="W155" s="15">
        <v>4.2820400000000003</v>
      </c>
      <c r="X155" s="15"/>
      <c r="Y155" s="15"/>
      <c r="Z155" s="15"/>
      <c r="AA155" s="16">
        <f t="shared" si="19"/>
        <v>0.32458001665656599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0"/>
        <v>3071.3890265155133</v>
      </c>
      <c r="AH155" s="17">
        <v>2510.4533336457143</v>
      </c>
      <c r="AI155" s="15">
        <f t="shared" si="21"/>
        <v>4.7303796685404107</v>
      </c>
      <c r="AJ155" s="17">
        <f t="shared" si="22"/>
        <v>1.6699999999999995</v>
      </c>
      <c r="AK155" s="15">
        <f t="shared" si="23"/>
        <v>0.32458001665656599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6"/>
        <v>20570.9912</v>
      </c>
      <c r="M156" s="15"/>
      <c r="N156" s="15"/>
      <c r="O156" s="15"/>
      <c r="P156" s="15">
        <f t="shared" si="17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8"/>
        <v>17.840429325891446</v>
      </c>
      <c r="W156" s="15">
        <v>4.0334700000000003</v>
      </c>
      <c r="X156" s="15"/>
      <c r="Y156" s="15"/>
      <c r="Z156" s="15"/>
      <c r="AA156" s="16">
        <f t="shared" si="19"/>
        <v>0.22608592687544291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0"/>
        <v>2139.3733416113464</v>
      </c>
      <c r="AH156" s="17">
        <v>1856.4180954958663</v>
      </c>
      <c r="AI156" s="15">
        <f t="shared" si="21"/>
        <v>4.4601073314728632</v>
      </c>
      <c r="AJ156" s="17">
        <f t="shared" si="22"/>
        <v>1.9999999999999996</v>
      </c>
      <c r="AK156" s="15">
        <f t="shared" si="23"/>
        <v>0.22608592687544291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6"/>
        <v>20570.9912</v>
      </c>
      <c r="M157" s="15"/>
      <c r="N157" s="15"/>
      <c r="O157" s="15"/>
      <c r="P157" s="15">
        <f t="shared" si="17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8"/>
        <v>26.421797868568685</v>
      </c>
      <c r="W157" s="15">
        <v>3.81664</v>
      </c>
      <c r="X157" s="15"/>
      <c r="Y157" s="15"/>
      <c r="Z157" s="15"/>
      <c r="AA157" s="16">
        <f t="shared" si="19"/>
        <v>0.14445042759714194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0"/>
        <v>1366.8846984710401</v>
      </c>
      <c r="AH157" s="17">
        <v>1253.4838089651214</v>
      </c>
      <c r="AI157" s="15">
        <f t="shared" si="21"/>
        <v>4.2274876589709907</v>
      </c>
      <c r="AJ157" s="17">
        <f t="shared" si="22"/>
        <v>2.4999999999999996</v>
      </c>
      <c r="AK157" s="15">
        <f t="shared" si="23"/>
        <v>0.14445042759714194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6"/>
        <v>14282</v>
      </c>
      <c r="M158" s="15"/>
      <c r="N158" s="15"/>
      <c r="O158" s="15"/>
      <c r="P158" s="15">
        <f t="shared" si="17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8"/>
        <v>3.6875184446391609</v>
      </c>
      <c r="W158" s="15">
        <v>3.53912</v>
      </c>
      <c r="X158" s="15"/>
      <c r="Y158" s="15"/>
      <c r="Z158" s="15"/>
      <c r="AA158" s="16">
        <f t="shared" si="19"/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20"/>
        <v>6305.331836428335</v>
      </c>
      <c r="AH158" s="17">
        <v>6235.6352504292518</v>
      </c>
      <c r="AI158" s="15">
        <f t="shared" si="21"/>
        <v>40.972427162657333</v>
      </c>
      <c r="AJ158" s="17">
        <f t="shared" si="22"/>
        <v>0.30000000000000004</v>
      </c>
      <c r="AK158" s="15">
        <f t="shared" si="23"/>
        <v>0.95975655529129633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6"/>
        <v>14282</v>
      </c>
      <c r="M159" s="15"/>
      <c r="N159" s="15"/>
      <c r="O159" s="15"/>
      <c r="P159" s="15">
        <f t="shared" si="17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8"/>
        <v>4.1518828485211703</v>
      </c>
      <c r="W159" s="15">
        <v>3.5299200000000002</v>
      </c>
      <c r="X159" s="15"/>
      <c r="Y159" s="15"/>
      <c r="Z159" s="15"/>
      <c r="AA159" s="16">
        <f t="shared" si="19"/>
        <v>0.85019739929735672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0"/>
        <v>5585.55885811183</v>
      </c>
      <c r="AH159" s="17">
        <v>5538.2150313297197</v>
      </c>
      <c r="AI159" s="15">
        <f t="shared" si="21"/>
        <v>16.607531394084678</v>
      </c>
      <c r="AJ159" s="17">
        <f t="shared" si="22"/>
        <v>0.5</v>
      </c>
      <c r="AK159" s="15">
        <f t="shared" si="23"/>
        <v>0.85019739929735672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6"/>
        <v>14282</v>
      </c>
      <c r="M160" s="15"/>
      <c r="N160" s="15"/>
      <c r="O160" s="15"/>
      <c r="P160" s="15">
        <f t="shared" si="17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8"/>
        <v>5.0466007171573137</v>
      </c>
      <c r="W160" s="15">
        <v>3.6764999999999999</v>
      </c>
      <c r="X160" s="15"/>
      <c r="Y160" s="15"/>
      <c r="Z160" s="15"/>
      <c r="AA160" s="16">
        <f t="shared" si="19"/>
        <v>0.72851018062529138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0"/>
        <v>4786.1079038575908</v>
      </c>
      <c r="AH160" s="17">
        <v>4556.3382737662359</v>
      </c>
      <c r="AI160" s="15">
        <f t="shared" si="21"/>
        <v>8.9717346082796663</v>
      </c>
      <c r="AJ160" s="17">
        <f t="shared" si="22"/>
        <v>0.75000000000000011</v>
      </c>
      <c r="AK160" s="15">
        <f t="shared" si="23"/>
        <v>0.72851018062529138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6"/>
        <v>14282</v>
      </c>
      <c r="M161" s="15"/>
      <c r="N161" s="15"/>
      <c r="O161" s="15"/>
      <c r="P161" s="15">
        <f t="shared" si="17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8"/>
        <v>6.4822134047165623</v>
      </c>
      <c r="W161" s="15">
        <v>4.14682</v>
      </c>
      <c r="X161" s="15"/>
      <c r="Y161" s="15"/>
      <c r="Z161" s="15"/>
      <c r="AA161" s="16">
        <f t="shared" si="19"/>
        <v>0.6397228448206761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0"/>
        <v>4202.7999680752919</v>
      </c>
      <c r="AH161" s="17">
        <v>3547.2482259330095</v>
      </c>
      <c r="AI161" s="15">
        <f t="shared" si="21"/>
        <v>6.4822134047165605</v>
      </c>
      <c r="AJ161" s="17">
        <f t="shared" si="22"/>
        <v>1</v>
      </c>
      <c r="AK161" s="15">
        <f t="shared" si="23"/>
        <v>0.6397228448206761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6"/>
        <v>14282</v>
      </c>
      <c r="M162" s="15"/>
      <c r="N162" s="15"/>
      <c r="O162" s="15"/>
      <c r="P162" s="15">
        <f t="shared" si="17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8"/>
        <v>9.2987954997459781</v>
      </c>
      <c r="W162" s="15">
        <v>4.3995499999999996</v>
      </c>
      <c r="X162" s="15"/>
      <c r="Y162" s="15"/>
      <c r="Z162" s="15"/>
      <c r="AA162" s="16">
        <f t="shared" si="19"/>
        <v>0.47313117060378251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0"/>
        <v>3108.3393141390825</v>
      </c>
      <c r="AH162" s="17">
        <v>2472.7955357904307</v>
      </c>
      <c r="AI162" s="15">
        <f t="shared" si="21"/>
        <v>5.2568237321193827</v>
      </c>
      <c r="AJ162" s="17">
        <f t="shared" si="22"/>
        <v>1.33</v>
      </c>
      <c r="AK162" s="15">
        <f t="shared" si="23"/>
        <v>0.47313117060378251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6"/>
        <v>14282</v>
      </c>
      <c r="M163" s="15"/>
      <c r="N163" s="15"/>
      <c r="O163" s="15"/>
      <c r="P163" s="15">
        <f t="shared" si="17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8"/>
        <v>13.192555857592346</v>
      </c>
      <c r="W163" s="15">
        <v>4.2398699999999998</v>
      </c>
      <c r="X163" s="15"/>
      <c r="Y163" s="15"/>
      <c r="Z163" s="15"/>
      <c r="AA163" s="16">
        <f t="shared" si="19"/>
        <v>0.32138351702031603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0"/>
        <v>2111.3997194387107</v>
      </c>
      <c r="AH163" s="17">
        <v>1742.9541514328239</v>
      </c>
      <c r="AI163" s="15">
        <f t="shared" si="21"/>
        <v>4.7303796685404089</v>
      </c>
      <c r="AJ163" s="17">
        <f t="shared" si="22"/>
        <v>1.67</v>
      </c>
      <c r="AK163" s="15">
        <f t="shared" si="23"/>
        <v>0.32138351702031603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6"/>
        <v>14282</v>
      </c>
      <c r="M164" s="15"/>
      <c r="N164" s="15"/>
      <c r="O164" s="15"/>
      <c r="P164" s="15">
        <f t="shared" si="17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8"/>
        <v>17.840429325891463</v>
      </c>
      <c r="W164" s="15">
        <v>3.9976600000000002</v>
      </c>
      <c r="X164" s="15"/>
      <c r="Y164" s="15"/>
      <c r="Z164" s="15"/>
      <c r="AA164" s="16">
        <f t="shared" si="19"/>
        <v>0.22407868818483392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0"/>
        <v>1472.1342393416674</v>
      </c>
      <c r="AH164" s="17">
        <v>1288.8714492217537</v>
      </c>
      <c r="AI164" s="15">
        <f t="shared" si="21"/>
        <v>4.4601073314728641</v>
      </c>
      <c r="AJ164" s="17">
        <f t="shared" si="22"/>
        <v>2.0000000000000004</v>
      </c>
      <c r="AK164" s="15">
        <f t="shared" si="23"/>
        <v>0.22407868818483392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6"/>
        <v>14282</v>
      </c>
      <c r="M165" s="15"/>
      <c r="N165" s="15"/>
      <c r="O165" s="15"/>
      <c r="P165" s="15">
        <f t="shared" si="17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8"/>
        <v>26.421797868568685</v>
      </c>
      <c r="W165" s="15">
        <v>3.7838099999999999</v>
      </c>
      <c r="X165" s="15"/>
      <c r="Y165" s="15"/>
      <c r="Z165" s="15"/>
      <c r="AA165" s="16">
        <f t="shared" si="19"/>
        <v>0.14320789292318417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0"/>
        <v>940.83575829530139</v>
      </c>
      <c r="AH165" s="17">
        <v>870.26704671575874</v>
      </c>
      <c r="AI165" s="15">
        <f t="shared" si="21"/>
        <v>4.2274876589709898</v>
      </c>
      <c r="AJ165" s="17">
        <f t="shared" si="22"/>
        <v>2.5</v>
      </c>
      <c r="AK165" s="15">
        <f t="shared" si="23"/>
        <v>0.14320789292318417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6"/>
        <v>12053.0592</v>
      </c>
      <c r="M166" s="15"/>
      <c r="N166" s="15"/>
      <c r="O166" s="15"/>
      <c r="P166" s="15">
        <f t="shared" si="17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8"/>
        <v>3.6875184446391618</v>
      </c>
      <c r="W166" s="15">
        <v>3.3547799999999999</v>
      </c>
      <c r="X166" s="15"/>
      <c r="Y166" s="15"/>
      <c r="Z166" s="15"/>
      <c r="AA166" s="16">
        <f t="shared" si="19"/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20"/>
        <v>5044.1148357670299</v>
      </c>
      <c r="AH166" s="17">
        <v>5262.4618977055443</v>
      </c>
      <c r="AI166" s="15">
        <f t="shared" si="21"/>
        <v>40.972427162657354</v>
      </c>
      <c r="AJ166" s="17">
        <f t="shared" si="22"/>
        <v>0.3</v>
      </c>
      <c r="AK166" s="15">
        <f t="shared" si="23"/>
        <v>0.90976629686479527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6"/>
        <v>12053.0592</v>
      </c>
      <c r="M167" s="15"/>
      <c r="N167" s="15"/>
      <c r="O167" s="15"/>
      <c r="P167" s="15">
        <f t="shared" si="17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8"/>
        <v>4.1518828485211703</v>
      </c>
      <c r="W167" s="15">
        <v>3.4217499999999998</v>
      </c>
      <c r="X167" s="15"/>
      <c r="Y167" s="15"/>
      <c r="Z167" s="15"/>
      <c r="AA167" s="16">
        <f t="shared" si="19"/>
        <v>0.82414415937067409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20"/>
        <v>4569.390837425326</v>
      </c>
      <c r="AH167" s="17">
        <v>4673.8855646931079</v>
      </c>
      <c r="AI167" s="15">
        <f t="shared" si="21"/>
        <v>16.607531394084681</v>
      </c>
      <c r="AJ167" s="17">
        <f t="shared" si="22"/>
        <v>0.5</v>
      </c>
      <c r="AK167" s="15">
        <f t="shared" si="23"/>
        <v>0.82414415937067409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6"/>
        <v>12053.0592</v>
      </c>
      <c r="M168" s="15"/>
      <c r="N168" s="15"/>
      <c r="O168" s="15"/>
      <c r="P168" s="15">
        <f t="shared" si="17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8"/>
        <v>5.0466007171573137</v>
      </c>
      <c r="W168" s="15">
        <v>3.6213000000000002</v>
      </c>
      <c r="X168" s="15"/>
      <c r="Y168" s="15"/>
      <c r="Z168" s="15"/>
      <c r="AA168" s="16">
        <f t="shared" si="19"/>
        <v>0.7175721248737571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0"/>
        <v>3978.5120786316661</v>
      </c>
      <c r="AH168" s="17">
        <v>3845.2468105958719</v>
      </c>
      <c r="AI168" s="15">
        <f t="shared" si="21"/>
        <v>8.9717346082796663</v>
      </c>
      <c r="AJ168" s="17">
        <f t="shared" si="22"/>
        <v>0.75000000000000011</v>
      </c>
      <c r="AK168" s="15">
        <f t="shared" si="23"/>
        <v>0.7175721248737571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6"/>
        <v>12053.0592</v>
      </c>
      <c r="M169" s="15"/>
      <c r="N169" s="15"/>
      <c r="O169" s="15"/>
      <c r="P169" s="15">
        <f t="shared" si="17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8"/>
        <v>6.4822134047165658</v>
      </c>
      <c r="W169" s="15">
        <v>4.0751900000000001</v>
      </c>
      <c r="X169" s="15"/>
      <c r="Y169" s="15"/>
      <c r="Z169" s="15"/>
      <c r="AA169" s="16">
        <f t="shared" si="19"/>
        <v>0.62867260695780613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0"/>
        <v>3485.6169485771534</v>
      </c>
      <c r="AH169" s="17">
        <v>2993.6418473789045</v>
      </c>
      <c r="AI169" s="15">
        <f t="shared" si="21"/>
        <v>6.4822134047165658</v>
      </c>
      <c r="AJ169" s="17">
        <f t="shared" si="22"/>
        <v>1</v>
      </c>
      <c r="AK169" s="15">
        <f t="shared" si="23"/>
        <v>0.62867260695780613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6"/>
        <v>12053.0592</v>
      </c>
      <c r="M170" s="15"/>
      <c r="N170" s="15"/>
      <c r="O170" s="15"/>
      <c r="P170" s="15">
        <f t="shared" si="17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8"/>
        <v>9.2987954997459834</v>
      </c>
      <c r="W170" s="15">
        <v>4.3462399999999999</v>
      </c>
      <c r="X170" s="15"/>
      <c r="Y170" s="15"/>
      <c r="Z170" s="15"/>
      <c r="AA170" s="16">
        <f t="shared" si="19"/>
        <v>0.46739817002306661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0"/>
        <v>2591.4457940994562</v>
      </c>
      <c r="AH170" s="17">
        <v>2086.8751563070832</v>
      </c>
      <c r="AI170" s="15">
        <f t="shared" si="21"/>
        <v>5.2568237321193854</v>
      </c>
      <c r="AJ170" s="17">
        <f t="shared" si="22"/>
        <v>1.3300000000000003</v>
      </c>
      <c r="AK170" s="15">
        <f t="shared" si="23"/>
        <v>0.46739817002306661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6"/>
        <v>12053.0592</v>
      </c>
      <c r="M171" s="15"/>
      <c r="N171" s="15"/>
      <c r="O171" s="15"/>
      <c r="P171" s="15">
        <f t="shared" si="17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8"/>
        <v>13.192555857592355</v>
      </c>
      <c r="W171" s="15">
        <v>4.2119200000000001</v>
      </c>
      <c r="X171" s="15"/>
      <c r="Y171" s="15"/>
      <c r="Z171" s="15"/>
      <c r="AA171" s="16">
        <f t="shared" si="19"/>
        <v>0.31926489798229868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0"/>
        <v>1770.134609296799</v>
      </c>
      <c r="AH171" s="17">
        <v>1470.9375136609424</v>
      </c>
      <c r="AI171" s="15">
        <f t="shared" si="21"/>
        <v>4.7303796685404116</v>
      </c>
      <c r="AJ171" s="17">
        <f t="shared" si="22"/>
        <v>1.6700000000000002</v>
      </c>
      <c r="AK171" s="15">
        <f t="shared" si="23"/>
        <v>0.31926489798229868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6"/>
        <v>12053.0592</v>
      </c>
      <c r="M172" s="15"/>
      <c r="N172" s="15"/>
      <c r="O172" s="15"/>
      <c r="P172" s="15">
        <f t="shared" si="17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8"/>
        <v>17.840429325891463</v>
      </c>
      <c r="W172" s="15">
        <v>3.9764699999999999</v>
      </c>
      <c r="X172" s="15"/>
      <c r="Y172" s="15"/>
      <c r="Z172" s="15"/>
      <c r="AA172" s="16">
        <f t="shared" si="19"/>
        <v>0.22289093649943881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0"/>
        <v>1235.7981202747412</v>
      </c>
      <c r="AH172" s="17">
        <v>1087.7218791947616</v>
      </c>
      <c r="AI172" s="15">
        <f t="shared" si="21"/>
        <v>4.4601073314728659</v>
      </c>
      <c r="AJ172" s="17">
        <f t="shared" si="22"/>
        <v>2</v>
      </c>
      <c r="AK172" s="15">
        <f t="shared" si="23"/>
        <v>0.22289093649943881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6"/>
        <v>12053.0592</v>
      </c>
      <c r="M173" s="15"/>
      <c r="N173" s="15"/>
      <c r="O173" s="15"/>
      <c r="P173" s="15">
        <f t="shared" si="17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8"/>
        <v>26.42179786856871</v>
      </c>
      <c r="W173" s="15">
        <v>3.7653599999999998</v>
      </c>
      <c r="X173" s="15"/>
      <c r="Y173" s="15"/>
      <c r="Z173" s="15"/>
      <c r="AA173" s="16">
        <f t="shared" si="19"/>
        <v>0.14250960584628727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0"/>
        <v>790.1312892836246</v>
      </c>
      <c r="AH173" s="17">
        <v>734.44757274010624</v>
      </c>
      <c r="AI173" s="15">
        <f t="shared" si="21"/>
        <v>4.2274876589709933</v>
      </c>
      <c r="AJ173" s="17">
        <f t="shared" si="22"/>
        <v>2.5</v>
      </c>
      <c r="AK173" s="15">
        <f t="shared" si="23"/>
        <v>0.14250960584628727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6"/>
        <v>9236.7872000000007</v>
      </c>
      <c r="M174" s="15"/>
      <c r="N174" s="15"/>
      <c r="O174" s="15"/>
      <c r="P174" s="15">
        <f t="shared" si="17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8"/>
        <v>3.6376084013102399</v>
      </c>
      <c r="W174" s="15">
        <v>2.8226</v>
      </c>
      <c r="X174" s="15"/>
      <c r="Y174" s="15"/>
      <c r="Z174" s="15"/>
      <c r="AA174" s="16">
        <f t="shared" si="19"/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20"/>
        <v>3296.9484975379455</v>
      </c>
      <c r="AH174" s="17">
        <v>4088.1881036571986</v>
      </c>
      <c r="AI174" s="15">
        <f t="shared" si="21"/>
        <v>40.417871125669329</v>
      </c>
      <c r="AJ174" s="17">
        <f t="shared" si="22"/>
        <v>0.30000000000000004</v>
      </c>
      <c r="AK174" s="15">
        <f t="shared" si="23"/>
        <v>0.77594938448660944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6"/>
        <v>9236.7872000000007</v>
      </c>
      <c r="M175" s="15"/>
      <c r="N175" s="15"/>
      <c r="O175" s="15"/>
      <c r="P175" s="15">
        <f t="shared" si="17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8"/>
        <v>4.0391214808227476</v>
      </c>
      <c r="W175" s="15">
        <v>2.9322699999999999</v>
      </c>
      <c r="X175" s="15"/>
      <c r="Y175" s="15"/>
      <c r="Z175" s="15"/>
      <c r="AA175" s="16">
        <f t="shared" si="19"/>
        <v>0.72596727132918815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0"/>
        <v>3084.5783917388912</v>
      </c>
      <c r="AH175" s="17">
        <v>3681.7975053750579</v>
      </c>
      <c r="AI175" s="15">
        <f t="shared" si="21"/>
        <v>16.156485923290994</v>
      </c>
      <c r="AJ175" s="17">
        <f t="shared" si="22"/>
        <v>0.49999999999999994</v>
      </c>
      <c r="AK175" s="15">
        <f t="shared" si="23"/>
        <v>0.72596727132918815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6"/>
        <v>9236.7872000000007</v>
      </c>
      <c r="M176" s="15"/>
      <c r="N176" s="15"/>
      <c r="O176" s="15"/>
      <c r="P176" s="15">
        <f t="shared" si="17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8"/>
        <v>4.7729497483487631</v>
      </c>
      <c r="W176" s="15">
        <v>3.1542699999999999</v>
      </c>
      <c r="X176" s="15"/>
      <c r="Y176" s="15"/>
      <c r="Z176" s="15"/>
      <c r="AA176" s="16">
        <f t="shared" si="19"/>
        <v>0.66086386119846385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0"/>
        <v>2807.9590728678527</v>
      </c>
      <c r="AH176" s="17">
        <v>3115.730978970565</v>
      </c>
      <c r="AI176" s="15">
        <f t="shared" si="21"/>
        <v>8.4852439970644689</v>
      </c>
      <c r="AJ176" s="17">
        <f t="shared" si="22"/>
        <v>0.74999999999999989</v>
      </c>
      <c r="AK176" s="15">
        <f t="shared" si="23"/>
        <v>0.66086386119846385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6"/>
        <v>9236.7872000000007</v>
      </c>
      <c r="M177" s="15"/>
      <c r="N177" s="15"/>
      <c r="O177" s="15"/>
      <c r="P177" s="15">
        <f t="shared" si="17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8"/>
        <v>5.9242146460126426</v>
      </c>
      <c r="W177" s="15">
        <v>3.4764200000000001</v>
      </c>
      <c r="X177" s="15"/>
      <c r="Y177" s="15"/>
      <c r="Z177" s="15"/>
      <c r="AA177" s="16">
        <f t="shared" si="19"/>
        <v>0.5868153346435282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0"/>
        <v>2493.3326510275674</v>
      </c>
      <c r="AH177" s="17">
        <v>2510.2445270124108</v>
      </c>
      <c r="AI177" s="15">
        <f t="shared" si="21"/>
        <v>5.9242146460126435</v>
      </c>
      <c r="AJ177" s="17">
        <f t="shared" si="22"/>
        <v>1</v>
      </c>
      <c r="AK177" s="15">
        <f t="shared" si="23"/>
        <v>0.5868153346435282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6"/>
        <v>9236.7872000000007</v>
      </c>
      <c r="M178" s="15"/>
      <c r="N178" s="15"/>
      <c r="O178" s="15"/>
      <c r="P178" s="15">
        <f t="shared" si="17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8"/>
        <v>8.2175319601938224</v>
      </c>
      <c r="W178" s="15">
        <v>3.6753399999999998</v>
      </c>
      <c r="X178" s="15"/>
      <c r="Y178" s="15"/>
      <c r="Z178" s="15"/>
      <c r="AA178" s="16">
        <f t="shared" si="19"/>
        <v>0.44725594227117693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0"/>
        <v>1900.3556628393997</v>
      </c>
      <c r="AH178" s="17">
        <v>1809.6951084628629</v>
      </c>
      <c r="AI178" s="15">
        <f t="shared" si="21"/>
        <v>4.6455604953325906</v>
      </c>
      <c r="AJ178" s="17">
        <f t="shared" si="22"/>
        <v>1.3300000000000003</v>
      </c>
      <c r="AK178" s="15">
        <f t="shared" si="23"/>
        <v>0.44725594227117693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6"/>
        <v>9236.7872000000007</v>
      </c>
      <c r="M179" s="15"/>
      <c r="N179" s="15"/>
      <c r="O179" s="15"/>
      <c r="P179" s="15">
        <f t="shared" si="17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8"/>
        <v>11.447373274491206</v>
      </c>
      <c r="W179" s="15">
        <v>3.5762</v>
      </c>
      <c r="X179" s="15"/>
      <c r="Y179" s="15"/>
      <c r="Z179" s="15"/>
      <c r="AA179" s="16">
        <f t="shared" si="19"/>
        <v>0.31240354570851969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0"/>
        <v>1327.3783332281321</v>
      </c>
      <c r="AH179" s="17">
        <v>1299.0951754092227</v>
      </c>
      <c r="AI179" s="15">
        <f t="shared" si="21"/>
        <v>4.1046194824092677</v>
      </c>
      <c r="AJ179" s="17">
        <f t="shared" si="22"/>
        <v>1.67</v>
      </c>
      <c r="AK179" s="15">
        <f t="shared" si="23"/>
        <v>0.31240354570851969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6"/>
        <v>9236.7872000000007</v>
      </c>
      <c r="M180" s="15"/>
      <c r="N180" s="15"/>
      <c r="O180" s="15"/>
      <c r="P180" s="15">
        <f t="shared" si="17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8"/>
        <v>15.335655885736587</v>
      </c>
      <c r="W180" s="15">
        <v>3.3670900000000001</v>
      </c>
      <c r="X180" s="15"/>
      <c r="Y180" s="15"/>
      <c r="Z180" s="15"/>
      <c r="AA180" s="16">
        <f t="shared" si="19"/>
        <v>0.2195595692214031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0"/>
        <v>932.89150856601441</v>
      </c>
      <c r="AH180" s="17">
        <v>969.71577236754888</v>
      </c>
      <c r="AI180" s="15">
        <f t="shared" si="21"/>
        <v>3.8339139714341477</v>
      </c>
      <c r="AJ180" s="17">
        <f t="shared" si="22"/>
        <v>1.9999999999999998</v>
      </c>
      <c r="AK180" s="15">
        <f t="shared" si="23"/>
        <v>0.2195595692214031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6"/>
        <v>9236.7872000000007</v>
      </c>
      <c r="M181" s="15"/>
      <c r="N181" s="15"/>
      <c r="O181" s="15"/>
      <c r="P181" s="15">
        <f t="shared" si="17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8"/>
        <v>22.541013831652176</v>
      </c>
      <c r="W181" s="15">
        <v>3.1710699999999998</v>
      </c>
      <c r="X181" s="15"/>
      <c r="Y181" s="15"/>
      <c r="Z181" s="15"/>
      <c r="AA181" s="16">
        <f t="shared" si="19"/>
        <v>0.14068000772650124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0"/>
        <v>597.73839554546214</v>
      </c>
      <c r="AH181" s="17">
        <v>659.7408396563676</v>
      </c>
      <c r="AI181" s="15">
        <f t="shared" si="21"/>
        <v>3.6065622130643487</v>
      </c>
      <c r="AJ181" s="17">
        <f t="shared" si="22"/>
        <v>2.5</v>
      </c>
      <c r="AK181" s="15">
        <f t="shared" si="23"/>
        <v>0.14068000772650124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6"/>
        <v>6673.5511999999999</v>
      </c>
      <c r="M182" s="15"/>
      <c r="N182" s="15"/>
      <c r="O182" s="15"/>
      <c r="P182" s="15">
        <f t="shared" si="17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8"/>
        <v>3.5769651319408382</v>
      </c>
      <c r="W182" s="15">
        <v>2.28972</v>
      </c>
      <c r="X182" s="15"/>
      <c r="Y182" s="15"/>
      <c r="Z182" s="15"/>
      <c r="AA182" s="16">
        <f t="shared" si="19"/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20"/>
        <v>1965.0902430998867</v>
      </c>
      <c r="AH182" s="17">
        <v>3003.7803097538581</v>
      </c>
      <c r="AI182" s="15">
        <f t="shared" si="21"/>
        <v>39.744057021564871</v>
      </c>
      <c r="AJ182" s="17">
        <f t="shared" si="22"/>
        <v>0.3</v>
      </c>
      <c r="AK182" s="15">
        <f t="shared" si="23"/>
        <v>0.64012924799119097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6"/>
        <v>6673.5511999999999</v>
      </c>
      <c r="M183" s="15"/>
      <c r="N183" s="15"/>
      <c r="O183" s="15"/>
      <c r="P183" s="15">
        <f t="shared" si="17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8"/>
        <v>3.9093384565392184</v>
      </c>
      <c r="W183" s="15">
        <v>2.29495</v>
      </c>
      <c r="X183" s="15"/>
      <c r="Y183" s="15"/>
      <c r="Z183" s="15"/>
      <c r="AA183" s="16">
        <f t="shared" si="19"/>
        <v>0.58704305741581353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0"/>
        <v>1802.1244741237267</v>
      </c>
      <c r="AH183" s="17">
        <v>2748.3978559153984</v>
      </c>
      <c r="AI183" s="15">
        <f t="shared" si="21"/>
        <v>15.63735382615687</v>
      </c>
      <c r="AJ183" s="17">
        <f t="shared" si="22"/>
        <v>0.5</v>
      </c>
      <c r="AK183" s="15">
        <f t="shared" si="23"/>
        <v>0.58704305741581353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6"/>
        <v>6673.5511999999999</v>
      </c>
      <c r="M184" s="15"/>
      <c r="N184" s="15"/>
      <c r="O184" s="15"/>
      <c r="P184" s="15">
        <f t="shared" si="17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8"/>
        <v>4.4758647104534957</v>
      </c>
      <c r="W184" s="15">
        <v>2.3121700000000001</v>
      </c>
      <c r="X184" s="15"/>
      <c r="Y184" s="15"/>
      <c r="Z184" s="15"/>
      <c r="AA184" s="16">
        <f t="shared" si="19"/>
        <v>0.51658621284952344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0"/>
        <v>1585.8336887060809</v>
      </c>
      <c r="AH184" s="17">
        <v>2400.5232792014785</v>
      </c>
      <c r="AI184" s="15">
        <f t="shared" si="21"/>
        <v>7.9570928185839929</v>
      </c>
      <c r="AJ184" s="17">
        <f t="shared" si="22"/>
        <v>0.75</v>
      </c>
      <c r="AK184" s="15">
        <f t="shared" si="23"/>
        <v>0.51658621284952344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6"/>
        <v>6673.5511999999999</v>
      </c>
      <c r="M185" s="15"/>
      <c r="N185" s="15"/>
      <c r="O185" s="15"/>
      <c r="P185" s="15">
        <f t="shared" si="17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8"/>
        <v>5.3244815494839415</v>
      </c>
      <c r="W185" s="15">
        <v>2.4452400000000001</v>
      </c>
      <c r="X185" s="15"/>
      <c r="Y185" s="15"/>
      <c r="Z185" s="15"/>
      <c r="AA185" s="16">
        <f t="shared" si="19"/>
        <v>0.45924471279968981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0"/>
        <v>1409.8048279310915</v>
      </c>
      <c r="AH185" s="17">
        <v>2017.9274417884624</v>
      </c>
      <c r="AI185" s="15">
        <f t="shared" si="21"/>
        <v>5.3244815494839415</v>
      </c>
      <c r="AJ185" s="17">
        <f t="shared" si="22"/>
        <v>1</v>
      </c>
      <c r="AK185" s="15">
        <f t="shared" si="23"/>
        <v>0.45924471279968981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6"/>
        <v>6673.5511999999999</v>
      </c>
      <c r="M186" s="15"/>
      <c r="N186" s="15"/>
      <c r="O186" s="15"/>
      <c r="P186" s="15">
        <f t="shared" si="17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8"/>
        <v>7.0260453027717755</v>
      </c>
      <c r="W186" s="15">
        <v>2.59483</v>
      </c>
      <c r="X186" s="15"/>
      <c r="Y186" s="15"/>
      <c r="Z186" s="15"/>
      <c r="AA186" s="16">
        <f t="shared" si="19"/>
        <v>0.36931586521031101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0"/>
        <v>1133.7382343085224</v>
      </c>
      <c r="AH186" s="17">
        <v>1529.2268935074082</v>
      </c>
      <c r="AI186" s="15">
        <f t="shared" si="21"/>
        <v>3.9719855858283535</v>
      </c>
      <c r="AJ186" s="17">
        <f t="shared" si="22"/>
        <v>1.33</v>
      </c>
      <c r="AK186" s="15">
        <f t="shared" si="23"/>
        <v>0.36931586521031101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6"/>
        <v>6673.5511999999999</v>
      </c>
      <c r="M187" s="15"/>
      <c r="N187" s="15"/>
      <c r="O187" s="15"/>
      <c r="P187" s="15">
        <f t="shared" si="17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8"/>
        <v>9.4890080926194749</v>
      </c>
      <c r="W187" s="15">
        <v>2.6198299999999999</v>
      </c>
      <c r="X187" s="15"/>
      <c r="Y187" s="15"/>
      <c r="Z187" s="15"/>
      <c r="AA187" s="16">
        <f t="shared" si="19"/>
        <v>0.27609102810626718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0"/>
        <v>847.55350148679383</v>
      </c>
      <c r="AH187" s="17">
        <v>1132.3014299415529</v>
      </c>
      <c r="AI187" s="15">
        <f t="shared" si="21"/>
        <v>3.4024196251638554</v>
      </c>
      <c r="AJ187" s="17">
        <f t="shared" si="22"/>
        <v>1.67</v>
      </c>
      <c r="AK187" s="15">
        <f t="shared" si="23"/>
        <v>0.27609102810626718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6"/>
        <v>6673.5511999999999</v>
      </c>
      <c r="M188" s="15"/>
      <c r="N188" s="15"/>
      <c r="O188" s="15"/>
      <c r="P188" s="15">
        <f t="shared" si="17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8"/>
        <v>12.503407320714025</v>
      </c>
      <c r="W188" s="15">
        <v>2.54535</v>
      </c>
      <c r="X188" s="15"/>
      <c r="Y188" s="15"/>
      <c r="Z188" s="15"/>
      <c r="AA188" s="16">
        <f t="shared" si="19"/>
        <v>0.20357250905384758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0"/>
        <v>624.93371855832504</v>
      </c>
      <c r="AH188" s="17">
        <v>859.31915648305255</v>
      </c>
      <c r="AI188" s="15">
        <f t="shared" si="21"/>
        <v>3.1258518301785059</v>
      </c>
      <c r="AJ188" s="17">
        <f t="shared" si="22"/>
        <v>2</v>
      </c>
      <c r="AK188" s="15">
        <f t="shared" si="23"/>
        <v>0.20357250905384758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6"/>
        <v>6673.5511999999999</v>
      </c>
      <c r="M189" s="15"/>
      <c r="N189" s="15"/>
      <c r="O189" s="15"/>
      <c r="P189" s="15">
        <f t="shared" si="17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8"/>
        <v>18.135533336385102</v>
      </c>
      <c r="W189" s="15">
        <v>2.4163100000000002</v>
      </c>
      <c r="X189" s="15"/>
      <c r="Y189" s="15"/>
      <c r="Z189" s="15"/>
      <c r="AA189" s="16">
        <f t="shared" si="19"/>
        <v>0.13323622499439741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0"/>
        <v>409.0130338296222</v>
      </c>
      <c r="AH189" s="17">
        <v>592.45114178382642</v>
      </c>
      <c r="AI189" s="15">
        <f t="shared" si="21"/>
        <v>2.9016853338216162</v>
      </c>
      <c r="AJ189" s="17">
        <f t="shared" si="22"/>
        <v>2.5</v>
      </c>
      <c r="AK189" s="15">
        <f t="shared" si="23"/>
        <v>0.13323622499439741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6"/>
        <v>4949.6792000000005</v>
      </c>
      <c r="M190" s="15"/>
      <c r="N190" s="15"/>
      <c r="O190" s="15"/>
      <c r="P190" s="15">
        <f t="shared" si="17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8"/>
        <v>3.5243204697778556</v>
      </c>
      <c r="W190" s="15">
        <v>1.9675499999999999</v>
      </c>
      <c r="X190" s="15"/>
      <c r="Y190" s="15"/>
      <c r="Z190" s="15"/>
      <c r="AA190" s="16">
        <f t="shared" si="19"/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20"/>
        <v>1271.1162452442843</v>
      </c>
      <c r="AH190" s="17">
        <v>2261.1404326980228</v>
      </c>
      <c r="AI190" s="15">
        <f t="shared" si="21"/>
        <v>39.159116330865075</v>
      </c>
      <c r="AJ190" s="17">
        <f t="shared" si="22"/>
        <v>0.29999999999999993</v>
      </c>
      <c r="AK190" s="15">
        <f t="shared" si="23"/>
        <v>0.55827783451373203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6"/>
        <v>4949.6792000000005</v>
      </c>
      <c r="M191" s="15"/>
      <c r="N191" s="15"/>
      <c r="O191" s="15"/>
      <c r="P191" s="15">
        <f t="shared" si="17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8"/>
        <v>3.8026487608664294</v>
      </c>
      <c r="W191" s="15">
        <v>1.95489</v>
      </c>
      <c r="X191" s="15"/>
      <c r="Y191" s="15"/>
      <c r="Z191" s="15"/>
      <c r="AA191" s="16">
        <f t="shared" si="19"/>
        <v>0.51408639686053481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0"/>
        <v>1170.4988629500258</v>
      </c>
      <c r="AH191" s="17">
        <v>2095.6401742937405</v>
      </c>
      <c r="AI191" s="15">
        <f t="shared" si="21"/>
        <v>15.210595043465721</v>
      </c>
      <c r="AJ191" s="17">
        <f t="shared" si="22"/>
        <v>0.49999999999999994</v>
      </c>
      <c r="AK191" s="15">
        <f t="shared" si="23"/>
        <v>0.51408639686053481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6"/>
        <v>4949.6792000000005</v>
      </c>
      <c r="M192" s="15"/>
      <c r="N192" s="15"/>
      <c r="O192" s="15"/>
      <c r="P192" s="15">
        <f t="shared" si="17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8"/>
        <v>4.2482306644885917</v>
      </c>
      <c r="W192" s="15">
        <v>1.8306800000000001</v>
      </c>
      <c r="X192" s="15"/>
      <c r="Y192" s="15"/>
      <c r="Z192" s="15"/>
      <c r="AA192" s="16">
        <f t="shared" si="19"/>
        <v>0.43092763660477462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0"/>
        <v>981.15863741959333</v>
      </c>
      <c r="AH192" s="17">
        <v>1875.8358811854484</v>
      </c>
      <c r="AI192" s="15">
        <f t="shared" si="21"/>
        <v>7.5524100702019421</v>
      </c>
      <c r="AJ192" s="17">
        <f t="shared" si="22"/>
        <v>0.74999999999999989</v>
      </c>
      <c r="AK192" s="15">
        <f t="shared" si="23"/>
        <v>0.43092763660477462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6"/>
        <v>4949.6792000000005</v>
      </c>
      <c r="M193" s="15"/>
      <c r="N193" s="15"/>
      <c r="O193" s="15"/>
      <c r="P193" s="15">
        <f t="shared" si="17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8"/>
        <v>4.8789086510952355</v>
      </c>
      <c r="W193" s="15">
        <v>1.75437</v>
      </c>
      <c r="X193" s="15"/>
      <c r="Y193" s="15"/>
      <c r="Z193" s="15"/>
      <c r="AA193" s="16">
        <f t="shared" si="19"/>
        <v>0.35958246514949044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0"/>
        <v>818.7162102801725</v>
      </c>
      <c r="AH193" s="17">
        <v>1633.3537030276418</v>
      </c>
      <c r="AI193" s="15">
        <f t="shared" si="21"/>
        <v>4.8789086510952373</v>
      </c>
      <c r="AJ193" s="17">
        <f t="shared" si="22"/>
        <v>0.99999999999999978</v>
      </c>
      <c r="AK193" s="15">
        <f t="shared" si="23"/>
        <v>0.35958246514949044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6"/>
        <v>4949.6792000000005</v>
      </c>
      <c r="M194" s="15"/>
      <c r="N194" s="15"/>
      <c r="O194" s="15"/>
      <c r="P194" s="15">
        <f t="shared" si="17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8"/>
        <v>6.124860598043588</v>
      </c>
      <c r="W194" s="15">
        <v>1.70068</v>
      </c>
      <c r="X194" s="15"/>
      <c r="Y194" s="15"/>
      <c r="Z194" s="15"/>
      <c r="AA194" s="16">
        <f t="shared" si="19"/>
        <v>0.27766836041023263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0"/>
        <v>632.20988168949077</v>
      </c>
      <c r="AH194" s="17">
        <v>1301.0881446910751</v>
      </c>
      <c r="AI194" s="15">
        <f t="shared" si="21"/>
        <v>3.4625250709726885</v>
      </c>
      <c r="AJ194" s="17">
        <f t="shared" si="22"/>
        <v>1.3299999999999998</v>
      </c>
      <c r="AK194" s="15">
        <f t="shared" si="23"/>
        <v>0.27766836041023263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6"/>
        <v>4949.6792000000005</v>
      </c>
      <c r="M195" s="15"/>
      <c r="N195" s="15"/>
      <c r="O195" s="15"/>
      <c r="P195" s="15">
        <f t="shared" si="17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8"/>
        <v>7.9690827511854847</v>
      </c>
      <c r="W195" s="15">
        <v>1.67387</v>
      </c>
      <c r="X195" s="15"/>
      <c r="Y195" s="15"/>
      <c r="Z195" s="15"/>
      <c r="AA195" s="16">
        <f t="shared" si="19"/>
        <v>0.21004550363729052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0"/>
        <v>478.24261578722979</v>
      </c>
      <c r="AH195" s="17">
        <v>999.98754697515585</v>
      </c>
      <c r="AI195" s="15">
        <f t="shared" si="21"/>
        <v>2.8574286461276803</v>
      </c>
      <c r="AJ195" s="17">
        <f t="shared" si="22"/>
        <v>1.6699999999999997</v>
      </c>
      <c r="AK195" s="15">
        <f t="shared" si="23"/>
        <v>0.21004550363729052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6"/>
        <v>4949.6792000000005</v>
      </c>
      <c r="M196" s="15"/>
      <c r="N196" s="15"/>
      <c r="O196" s="15"/>
      <c r="P196" s="15">
        <f t="shared" si="17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8"/>
        <v>10.275594826355903</v>
      </c>
      <c r="W196" s="15">
        <v>1.64977</v>
      </c>
      <c r="X196" s="15"/>
      <c r="Y196" s="15"/>
      <c r="Z196" s="15"/>
      <c r="AA196" s="16">
        <f t="shared" si="19"/>
        <v>0.16055226270390693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0"/>
        <v>365.55380980049347</v>
      </c>
      <c r="AH196" s="17">
        <v>775.52527582737423</v>
      </c>
      <c r="AI196" s="15">
        <f t="shared" si="21"/>
        <v>2.5688987065889761</v>
      </c>
      <c r="AJ196" s="17">
        <f t="shared" si="22"/>
        <v>1.9999999999999998</v>
      </c>
      <c r="AK196" s="15">
        <f t="shared" si="23"/>
        <v>0.16055226270390693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6"/>
        <v>4949.6792000000005</v>
      </c>
      <c r="M197" s="42"/>
      <c r="N197" s="42"/>
      <c r="O197" s="42"/>
      <c r="P197" s="42">
        <f t="shared" si="17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8"/>
        <v>14.642736662485072</v>
      </c>
      <c r="W197" s="42">
        <v>1.6167</v>
      </c>
      <c r="X197" s="42"/>
      <c r="Y197" s="42"/>
      <c r="Z197" s="42"/>
      <c r="AA197" s="41">
        <f t="shared" si="19"/>
        <v>0.1104096889307592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0"/>
        <v>251.38656875836256</v>
      </c>
      <c r="AH197" s="43">
        <v>544.22774210074158</v>
      </c>
      <c r="AI197" s="42">
        <f t="shared" si="21"/>
        <v>2.3428378659976121</v>
      </c>
      <c r="AJ197" s="43">
        <f t="shared" si="22"/>
        <v>2.4999999999999996</v>
      </c>
      <c r="AK197" s="42">
        <f t="shared" si="23"/>
        <v>0.1104096889307592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6"/>
        <v>14073.1</v>
      </c>
      <c r="M198" s="49"/>
      <c r="N198" s="49"/>
      <c r="O198" s="49"/>
      <c r="P198" s="49">
        <f t="shared" si="17"/>
        <v>288390694.1583333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8"/>
        <v>3.6875184446391609</v>
      </c>
      <c r="W198" s="49">
        <v>3.6343700000000001</v>
      </c>
      <c r="X198" s="49"/>
      <c r="Y198" s="49"/>
      <c r="Z198" s="49"/>
      <c r="AA198" s="51">
        <f t="shared" si="19"/>
        <v>0.98558693456396751</v>
      </c>
      <c r="AB198" s="49">
        <v>0.3550200773318104</v>
      </c>
      <c r="AC198" s="52">
        <v>0.3</v>
      </c>
      <c r="AD198" s="49"/>
      <c r="AE198" s="49" t="s">
        <v>528</v>
      </c>
      <c r="AF198" s="53" t="s">
        <v>5</v>
      </c>
      <c r="AG198" s="52">
        <f t="shared" si="20"/>
        <v>4923.9435385283214</v>
      </c>
      <c r="AH198" s="52">
        <v>4741.8953999865516</v>
      </c>
      <c r="AI198" s="49">
        <f t="shared" si="21"/>
        <v>40.972427162657333</v>
      </c>
      <c r="AJ198" s="52">
        <f t="shared" si="22"/>
        <v>0.30000000000000004</v>
      </c>
      <c r="AK198" s="49">
        <f t="shared" si="23"/>
        <v>0.98558693456396751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4">2*C199*F199+(E199-2*F199)*H199</f>
        <v>14073.1</v>
      </c>
      <c r="M199" s="25"/>
      <c r="N199" s="25"/>
      <c r="O199" s="25"/>
      <c r="P199" s="25">
        <f t="shared" ref="P199:P262" si="25">(H199*(E199-2*F199)^3)/12 + (C199*F199^3)/6 + 2*C199*F199*(E199/2 - F199/2)^2</f>
        <v>288390694.1583333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6">L199*T199/(S199*1000)</f>
        <v>4.1518828485211703</v>
      </c>
      <c r="W199" s="25">
        <v>3.78112</v>
      </c>
      <c r="X199" s="25"/>
      <c r="Y199" s="25"/>
      <c r="Z199" s="25"/>
      <c r="AA199" s="46">
        <f t="shared" ref="AA199:AA262" si="27">AK199</f>
        <v>0.91070006981212637</v>
      </c>
      <c r="AB199" s="25">
        <v>0.3550200773318104</v>
      </c>
      <c r="AC199" s="47">
        <v>0.5</v>
      </c>
      <c r="AD199" s="25"/>
      <c r="AE199" s="25" t="s">
        <v>529</v>
      </c>
      <c r="AF199" s="48" t="s">
        <v>5</v>
      </c>
      <c r="AG199" s="47">
        <f t="shared" ref="AG199:AG262" si="28">W199*S199</f>
        <v>4549.8124691279272</v>
      </c>
      <c r="AH199" s="47">
        <v>4211.5414591305607</v>
      </c>
      <c r="AI199" s="25">
        <f t="shared" ref="AI199:AI262" si="29">(PI()^2*U199*P199/K199^2)/(S199*1000)</f>
        <v>16.607531394084681</v>
      </c>
      <c r="AJ199" s="47">
        <f t="shared" ref="AJ199:AJ262" si="30">(V199/AI199)^0.5</f>
        <v>0.5</v>
      </c>
      <c r="AK199" s="25">
        <f t="shared" ref="AK199:AK262" si="31">W199/V199</f>
        <v>0.91070006981212637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4"/>
        <v>14073.1</v>
      </c>
      <c r="M200" s="25"/>
      <c r="N200" s="25"/>
      <c r="O200" s="25"/>
      <c r="P200" s="25">
        <f t="shared" si="25"/>
        <v>288390694.1583333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6"/>
        <v>5.0466007171573128</v>
      </c>
      <c r="W200" s="25">
        <v>4.0849599999999997</v>
      </c>
      <c r="X200" s="25"/>
      <c r="Y200" s="25"/>
      <c r="Z200" s="25"/>
      <c r="AA200" s="46">
        <f t="shared" si="27"/>
        <v>0.80944783012296773</v>
      </c>
      <c r="AB200" s="25">
        <v>0.3550200773318104</v>
      </c>
      <c r="AC200" s="47">
        <v>0.75</v>
      </c>
      <c r="AD200" s="25"/>
      <c r="AE200" s="25" t="s">
        <v>530</v>
      </c>
      <c r="AF200" s="48" t="s">
        <v>5</v>
      </c>
      <c r="AG200" s="47">
        <f t="shared" si="28"/>
        <v>4043.9612916267556</v>
      </c>
      <c r="AH200" s="47">
        <v>3464.8722437168653</v>
      </c>
      <c r="AI200" s="25">
        <f t="shared" si="29"/>
        <v>8.9717346082796698</v>
      </c>
      <c r="AJ200" s="47">
        <f t="shared" si="30"/>
        <v>0.74999999999999989</v>
      </c>
      <c r="AK200" s="25">
        <f t="shared" si="31"/>
        <v>0.80944783012296773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4"/>
        <v>14073.1</v>
      </c>
      <c r="M201" s="25"/>
      <c r="N201" s="25"/>
      <c r="O201" s="25"/>
      <c r="P201" s="25">
        <f t="shared" si="25"/>
        <v>288390694.1583333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6"/>
        <v>6.4822134047165605</v>
      </c>
      <c r="W201" s="25">
        <v>4.40001</v>
      </c>
      <c r="X201" s="25"/>
      <c r="Y201" s="25"/>
      <c r="Z201" s="25"/>
      <c r="AA201" s="46">
        <f t="shared" si="27"/>
        <v>0.67878203405004889</v>
      </c>
      <c r="AB201" s="25">
        <v>0.3550200773318104</v>
      </c>
      <c r="AC201" s="47">
        <v>1</v>
      </c>
      <c r="AD201" s="25"/>
      <c r="AE201" s="25" t="s">
        <v>531</v>
      </c>
      <c r="AF201" s="48" t="s">
        <v>5</v>
      </c>
      <c r="AG201" s="47">
        <f t="shared" si="28"/>
        <v>3391.1614424033587</v>
      </c>
      <c r="AH201" s="47">
        <v>2697.5086530284602</v>
      </c>
      <c r="AI201" s="25">
        <f t="shared" si="29"/>
        <v>6.4822134047165605</v>
      </c>
      <c r="AJ201" s="47">
        <f t="shared" si="30"/>
        <v>1</v>
      </c>
      <c r="AK201" s="25">
        <f t="shared" si="31"/>
        <v>0.67878203405004889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4"/>
        <v>14073.1</v>
      </c>
      <c r="M202" s="25"/>
      <c r="N202" s="25"/>
      <c r="O202" s="25"/>
      <c r="P202" s="25">
        <f t="shared" si="25"/>
        <v>288390694.1583333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6"/>
        <v>9.2987954997459816</v>
      </c>
      <c r="W202" s="25">
        <v>4.4981200000000001</v>
      </c>
      <c r="X202" s="25"/>
      <c r="Y202" s="25"/>
      <c r="Z202" s="25"/>
      <c r="AA202" s="46">
        <f t="shared" si="27"/>
        <v>0.48373146824477181</v>
      </c>
      <c r="AB202" s="25">
        <v>0.3550200773318104</v>
      </c>
      <c r="AC202" s="47">
        <v>1.33</v>
      </c>
      <c r="AD202" s="25"/>
      <c r="AE202" s="25" t="s">
        <v>532</v>
      </c>
      <c r="AF202" s="48" t="s">
        <v>5</v>
      </c>
      <c r="AG202" s="47">
        <f t="shared" si="28"/>
        <v>2416.6984706432022</v>
      </c>
      <c r="AH202" s="47">
        <v>1880.4399720886074</v>
      </c>
      <c r="AI202" s="25">
        <f t="shared" si="29"/>
        <v>5.2568237321193836</v>
      </c>
      <c r="AJ202" s="47">
        <f t="shared" si="30"/>
        <v>1.3300000000000003</v>
      </c>
      <c r="AK202" s="25">
        <f t="shared" si="31"/>
        <v>0.48373146824477181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4"/>
        <v>14073.1</v>
      </c>
      <c r="M203" s="25"/>
      <c r="N203" s="25"/>
      <c r="O203" s="25"/>
      <c r="P203" s="25">
        <f t="shared" si="25"/>
        <v>288390694.1583333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6"/>
        <v>13.192555857592348</v>
      </c>
      <c r="W203" s="25">
        <v>4.3133600000000003</v>
      </c>
      <c r="X203" s="25"/>
      <c r="Y203" s="25"/>
      <c r="Z203" s="25"/>
      <c r="AA203" s="46">
        <f t="shared" si="27"/>
        <v>0.32695408278431892</v>
      </c>
      <c r="AB203" s="25">
        <v>0.3550200773318104</v>
      </c>
      <c r="AC203" s="47">
        <v>1.67</v>
      </c>
      <c r="AD203" s="25"/>
      <c r="AE203" s="25" t="s">
        <v>533</v>
      </c>
      <c r="AF203" s="48" t="s">
        <v>5</v>
      </c>
      <c r="AG203" s="47">
        <f t="shared" si="28"/>
        <v>1633.4464133633599</v>
      </c>
      <c r="AH203" s="47">
        <v>1325.4313219327296</v>
      </c>
      <c r="AI203" s="25">
        <f t="shared" si="29"/>
        <v>4.7303796685404089</v>
      </c>
      <c r="AJ203" s="47">
        <f t="shared" si="30"/>
        <v>1.6700000000000002</v>
      </c>
      <c r="AK203" s="25">
        <f t="shared" si="31"/>
        <v>0.32695408278431892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4"/>
        <v>14073.1</v>
      </c>
      <c r="M204" s="25"/>
      <c r="N204" s="25"/>
      <c r="O204" s="25"/>
      <c r="P204" s="25">
        <f t="shared" si="25"/>
        <v>288390694.1583333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6"/>
        <v>17.840429325891453</v>
      </c>
      <c r="W204" s="25">
        <v>4.1303599999999996</v>
      </c>
      <c r="X204" s="25"/>
      <c r="Y204" s="25"/>
      <c r="Z204" s="25"/>
      <c r="AA204" s="46">
        <f t="shared" si="27"/>
        <v>0.23151684999002192</v>
      </c>
      <c r="AB204" s="25">
        <v>0.3550200773318104</v>
      </c>
      <c r="AC204" s="47">
        <v>2</v>
      </c>
      <c r="AD204" s="25"/>
      <c r="AE204" s="25" t="s">
        <v>534</v>
      </c>
      <c r="AF204" s="48" t="s">
        <v>5</v>
      </c>
      <c r="AG204" s="47">
        <f t="shared" si="28"/>
        <v>1156.6467224660751</v>
      </c>
      <c r="AH204" s="47">
        <v>980.12365232843217</v>
      </c>
      <c r="AI204" s="25">
        <f t="shared" si="29"/>
        <v>4.4601073314728632</v>
      </c>
      <c r="AJ204" s="47">
        <f t="shared" si="30"/>
        <v>2</v>
      </c>
      <c r="AK204" s="25">
        <f t="shared" si="31"/>
        <v>0.23151684999002192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4"/>
        <v>14073.1</v>
      </c>
      <c r="M205" s="25"/>
      <c r="N205" s="25"/>
      <c r="O205" s="25"/>
      <c r="P205" s="25">
        <f t="shared" si="25"/>
        <v>288390694.1583333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6"/>
        <v>26.421797868568682</v>
      </c>
      <c r="W205" s="25">
        <v>3.9554200000000002</v>
      </c>
      <c r="X205" s="25"/>
      <c r="Y205" s="25"/>
      <c r="Z205" s="25"/>
      <c r="AA205" s="46">
        <f t="shared" si="27"/>
        <v>0.14970290892677518</v>
      </c>
      <c r="AB205" s="25">
        <v>0.3550200773318104</v>
      </c>
      <c r="AC205" s="47">
        <v>2.5</v>
      </c>
      <c r="AD205" s="25"/>
      <c r="AE205" s="25" t="s">
        <v>535</v>
      </c>
      <c r="AF205" s="48" t="s">
        <v>5</v>
      </c>
      <c r="AG205" s="47">
        <f t="shared" si="28"/>
        <v>747.90832270417695</v>
      </c>
      <c r="AH205" s="47">
        <v>661.79549313716848</v>
      </c>
      <c r="AI205" s="25">
        <f t="shared" si="29"/>
        <v>4.227487658970988</v>
      </c>
      <c r="AJ205" s="47">
        <f t="shared" si="30"/>
        <v>2.5000000000000004</v>
      </c>
      <c r="AK205" s="25">
        <f t="shared" si="31"/>
        <v>0.14970290892677518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4"/>
        <v>10828</v>
      </c>
      <c r="M206" s="15"/>
      <c r="N206" s="15"/>
      <c r="O206" s="15"/>
      <c r="P206" s="15">
        <f t="shared" si="25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6"/>
        <v>3.6875184446391605</v>
      </c>
      <c r="W206" s="15">
        <v>3.60791</v>
      </c>
      <c r="X206" s="15"/>
      <c r="Y206" s="15"/>
      <c r="Z206" s="15"/>
      <c r="AA206" s="16">
        <f t="shared" si="27"/>
        <v>0.97841137723530747</v>
      </c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8"/>
        <v>3760.9546294098877</v>
      </c>
      <c r="AH206" s="17">
        <v>3648.4671743293502</v>
      </c>
      <c r="AI206" s="15">
        <f t="shared" si="29"/>
        <v>40.972427162657333</v>
      </c>
      <c r="AJ206" s="17">
        <f>(V206/AI206)^0.5</f>
        <v>0.30000000000000004</v>
      </c>
      <c r="AK206" s="15">
        <f t="shared" si="31"/>
        <v>0.97841137723530747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4"/>
        <v>10828</v>
      </c>
      <c r="M207" s="15"/>
      <c r="N207" s="15"/>
      <c r="O207" s="15"/>
      <c r="P207" s="15">
        <f t="shared" si="25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6"/>
        <v>4.1518828485211703</v>
      </c>
      <c r="W207" s="15">
        <v>3.7143999999999999</v>
      </c>
      <c r="X207" s="15"/>
      <c r="Y207" s="15"/>
      <c r="Z207" s="15"/>
      <c r="AA207" s="16">
        <f t="shared" si="27"/>
        <v>0.89463025222954107</v>
      </c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8"/>
        <v>3438.9050117552215</v>
      </c>
      <c r="AH207" s="17">
        <v>3240.4069408634709</v>
      </c>
      <c r="AI207" s="15">
        <f t="shared" si="29"/>
        <v>16.607531394084688</v>
      </c>
      <c r="AJ207" s="17">
        <f t="shared" si="30"/>
        <v>0.49999999999999989</v>
      </c>
      <c r="AK207" s="15">
        <f t="shared" si="31"/>
        <v>0.89463025222954107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4"/>
        <v>10828</v>
      </c>
      <c r="M208" s="15"/>
      <c r="N208" s="15"/>
      <c r="O208" s="15"/>
      <c r="P208" s="15">
        <f t="shared" si="25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6"/>
        <v>5.0466007171573128</v>
      </c>
      <c r="W208" s="15">
        <v>3.9752900000000002</v>
      </c>
      <c r="X208" s="15"/>
      <c r="Y208" s="15"/>
      <c r="Z208" s="15"/>
      <c r="AA208" s="16">
        <f t="shared" si="27"/>
        <v>0.78771637044414944</v>
      </c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8"/>
        <v>3027.9344650050839</v>
      </c>
      <c r="AH208" s="17">
        <v>2665.911324083977</v>
      </c>
      <c r="AI208" s="15">
        <f t="shared" si="29"/>
        <v>8.9717346082796663</v>
      </c>
      <c r="AJ208" s="17">
        <f t="shared" si="30"/>
        <v>0.75000000000000011</v>
      </c>
      <c r="AK208" s="15">
        <f t="shared" si="31"/>
        <v>0.78771637044414944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4"/>
        <v>10828</v>
      </c>
      <c r="M209" s="15"/>
      <c r="N209" s="15"/>
      <c r="O209" s="15"/>
      <c r="P209" s="15">
        <f t="shared" si="25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6"/>
        <v>6.4822134047165614</v>
      </c>
      <c r="W209" s="15">
        <v>4.3222399999999999</v>
      </c>
      <c r="X209" s="15"/>
      <c r="Y209" s="15"/>
      <c r="Z209" s="15"/>
      <c r="AA209" s="16">
        <f t="shared" si="27"/>
        <v>0.66678458886513503</v>
      </c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8"/>
        <v>2563.0799525222474</v>
      </c>
      <c r="AH209" s="17">
        <v>2075.4932243068097</v>
      </c>
      <c r="AI209" s="15">
        <f t="shared" si="29"/>
        <v>6.4822134047165632</v>
      </c>
      <c r="AJ209" s="17">
        <f t="shared" si="30"/>
        <v>0.99999999999999989</v>
      </c>
      <c r="AK209" s="15">
        <f t="shared" si="31"/>
        <v>0.66678458886513503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4"/>
        <v>10828</v>
      </c>
      <c r="M210" s="15"/>
      <c r="N210" s="15"/>
      <c r="O210" s="15"/>
      <c r="P210" s="15">
        <f t="shared" si="25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6"/>
        <v>9.2987954997459781</v>
      </c>
      <c r="W210" s="15">
        <v>4.4654699999999998</v>
      </c>
      <c r="X210" s="15"/>
      <c r="Y210" s="15"/>
      <c r="Z210" s="15"/>
      <c r="AA210" s="16">
        <f t="shared" si="27"/>
        <v>0.48022026079850733</v>
      </c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8"/>
        <v>1845.9378692938144</v>
      </c>
      <c r="AH210" s="17">
        <v>1446.8314740729086</v>
      </c>
      <c r="AI210" s="15">
        <f t="shared" si="29"/>
        <v>5.2568237321193827</v>
      </c>
      <c r="AJ210" s="17">
        <f t="shared" si="30"/>
        <v>1.33</v>
      </c>
      <c r="AK210" s="15">
        <f t="shared" si="31"/>
        <v>0.48022026079850733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4"/>
        <v>10828</v>
      </c>
      <c r="M211" s="15"/>
      <c r="N211" s="15"/>
      <c r="O211" s="15"/>
      <c r="P211" s="15">
        <f t="shared" si="25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6"/>
        <v>13.192555857592344</v>
      </c>
      <c r="W211" s="15">
        <v>4.2757399999999999</v>
      </c>
      <c r="X211" s="15"/>
      <c r="Y211" s="15"/>
      <c r="Z211" s="15"/>
      <c r="AA211" s="16">
        <f t="shared" si="27"/>
        <v>0.32410247461937425</v>
      </c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8"/>
        <v>1245.8304662883975</v>
      </c>
      <c r="AH211" s="17">
        <v>1019.8016324681555</v>
      </c>
      <c r="AI211" s="15">
        <f t="shared" si="29"/>
        <v>4.7303796685404089</v>
      </c>
      <c r="AJ211" s="17">
        <f t="shared" si="30"/>
        <v>1.67</v>
      </c>
      <c r="AK211" s="15">
        <f t="shared" si="31"/>
        <v>0.32410247461937425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4"/>
        <v>10828</v>
      </c>
      <c r="M212" s="15"/>
      <c r="N212" s="15"/>
      <c r="O212" s="15"/>
      <c r="P212" s="15">
        <f t="shared" si="25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6"/>
        <v>17.840429325891453</v>
      </c>
      <c r="W212" s="15">
        <v>4.0779899999999998</v>
      </c>
      <c r="X212" s="15"/>
      <c r="Y212" s="15"/>
      <c r="Z212" s="15"/>
      <c r="AA212" s="16">
        <f t="shared" si="27"/>
        <v>0.22858138251648999</v>
      </c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8"/>
        <v>878.65311951043645</v>
      </c>
      <c r="AH212" s="17">
        <v>754.11806264520703</v>
      </c>
      <c r="AI212" s="15">
        <f t="shared" si="29"/>
        <v>4.460107331472865</v>
      </c>
      <c r="AJ212" s="17">
        <f t="shared" si="30"/>
        <v>1.9999999999999996</v>
      </c>
      <c r="AK212" s="15">
        <f t="shared" si="31"/>
        <v>0.22858138251648999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4"/>
        <v>10828</v>
      </c>
      <c r="M213" s="15"/>
      <c r="N213" s="15"/>
      <c r="O213" s="15"/>
      <c r="P213" s="15">
        <f t="shared" si="25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6"/>
        <v>26.421797868568689</v>
      </c>
      <c r="W213" s="15">
        <v>3.8934199999999999</v>
      </c>
      <c r="X213" s="15"/>
      <c r="Y213" s="15"/>
      <c r="Z213" s="15"/>
      <c r="AA213" s="16">
        <f t="shared" si="27"/>
        <v>0.14735636156809767</v>
      </c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8"/>
        <v>566.42901248607336</v>
      </c>
      <c r="AH213" s="17">
        <v>509.19282885002309</v>
      </c>
      <c r="AI213" s="15">
        <f t="shared" si="29"/>
        <v>4.2274876589709907</v>
      </c>
      <c r="AJ213" s="17">
        <f t="shared" si="30"/>
        <v>2.5</v>
      </c>
      <c r="AK213" s="15">
        <f t="shared" si="31"/>
        <v>0.14735636156809767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4"/>
        <v>9336</v>
      </c>
      <c r="M214" s="25"/>
      <c r="N214" s="25"/>
      <c r="O214" s="25"/>
      <c r="P214" s="25">
        <f t="shared" si="25"/>
        <v>233468362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6"/>
        <v>3.6875184446391613</v>
      </c>
      <c r="W214" s="25">
        <v>3.5443699999999998</v>
      </c>
      <c r="X214" s="25"/>
      <c r="Y214" s="25"/>
      <c r="Z214" s="25"/>
      <c r="AA214" s="46">
        <f t="shared" si="27"/>
        <v>0.96118027698349062</v>
      </c>
      <c r="AB214" s="25">
        <v>0.60172287236842936</v>
      </c>
      <c r="AC214" s="47">
        <v>0.3</v>
      </c>
      <c r="AD214" s="25"/>
      <c r="AE214" s="25" t="s">
        <v>544</v>
      </c>
      <c r="AF214" s="48" t="s">
        <v>5</v>
      </c>
      <c r="AG214" s="47">
        <f t="shared" si="28"/>
        <v>3185.6205684008432</v>
      </c>
      <c r="AH214" s="47">
        <v>3145.7415533375333</v>
      </c>
      <c r="AI214" s="25">
        <f t="shared" si="29"/>
        <v>40.972427162657347</v>
      </c>
      <c r="AJ214" s="47">
        <f t="shared" si="30"/>
        <v>0.3</v>
      </c>
      <c r="AK214" s="25">
        <f t="shared" si="31"/>
        <v>0.96118027698349062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4"/>
        <v>9336</v>
      </c>
      <c r="M215" s="25"/>
      <c r="N215" s="25"/>
      <c r="O215" s="25"/>
      <c r="P215" s="25">
        <f t="shared" si="25"/>
        <v>233468362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6"/>
        <v>4.1518828485211712</v>
      </c>
      <c r="W215" s="25">
        <v>3.6559200000000001</v>
      </c>
      <c r="X215" s="25"/>
      <c r="Y215" s="25"/>
      <c r="Z215" s="25"/>
      <c r="AA215" s="46">
        <f t="shared" si="27"/>
        <v>0.88054507638677126</v>
      </c>
      <c r="AB215" s="25">
        <v>0.60172287236842936</v>
      </c>
      <c r="AC215" s="47">
        <v>0.5</v>
      </c>
      <c r="AD215" s="25"/>
      <c r="AE215" s="25" t="s">
        <v>545</v>
      </c>
      <c r="AF215" s="48" t="s">
        <v>5</v>
      </c>
      <c r="AG215" s="47">
        <f t="shared" si="28"/>
        <v>2918.3729357671482</v>
      </c>
      <c r="AH215" s="47">
        <v>2793.9083117751534</v>
      </c>
      <c r="AI215" s="25">
        <f t="shared" si="29"/>
        <v>16.607531394084681</v>
      </c>
      <c r="AJ215" s="47">
        <f t="shared" si="30"/>
        <v>0.5</v>
      </c>
      <c r="AK215" s="25">
        <f t="shared" si="31"/>
        <v>0.88054507638677126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4"/>
        <v>9336</v>
      </c>
      <c r="M216" s="25"/>
      <c r="N216" s="25"/>
      <c r="O216" s="25"/>
      <c r="P216" s="25">
        <f t="shared" si="25"/>
        <v>233468362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6"/>
        <v>5.046600717157312</v>
      </c>
      <c r="W216" s="25">
        <v>3.8918699999999999</v>
      </c>
      <c r="X216" s="25"/>
      <c r="Y216" s="25"/>
      <c r="Z216" s="25"/>
      <c r="AA216" s="46">
        <f t="shared" si="27"/>
        <v>0.77118643184282709</v>
      </c>
      <c r="AB216" s="25">
        <v>0.60172287236842936</v>
      </c>
      <c r="AC216" s="47">
        <v>0.75</v>
      </c>
      <c r="AD216" s="25"/>
      <c r="AE216" s="25" t="s">
        <v>546</v>
      </c>
      <c r="AF216" s="48" t="s">
        <v>5</v>
      </c>
      <c r="AG216" s="47">
        <f t="shared" si="28"/>
        <v>2555.9277673280449</v>
      </c>
      <c r="AH216" s="47">
        <v>2298.5729702297758</v>
      </c>
      <c r="AI216" s="25">
        <f t="shared" si="29"/>
        <v>8.9717346082796645</v>
      </c>
      <c r="AJ216" s="47">
        <f t="shared" si="30"/>
        <v>0.75000000000000011</v>
      </c>
      <c r="AK216" s="25">
        <f t="shared" si="31"/>
        <v>0.77118643184282709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4"/>
        <v>9336</v>
      </c>
      <c r="M217" s="25"/>
      <c r="N217" s="25"/>
      <c r="O217" s="25"/>
      <c r="P217" s="25">
        <f t="shared" si="25"/>
        <v>233468362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6"/>
        <v>6.482213404716564</v>
      </c>
      <c r="W217" s="25">
        <v>4.2712599999999998</v>
      </c>
      <c r="X217" s="25"/>
      <c r="Y217" s="25"/>
      <c r="Z217" s="25"/>
      <c r="AA217" s="46">
        <f t="shared" si="27"/>
        <v>0.65891999126288581</v>
      </c>
      <c r="AB217" s="25">
        <v>0.60172287236842936</v>
      </c>
      <c r="AC217" s="47">
        <v>1</v>
      </c>
      <c r="AD217" s="25"/>
      <c r="AE217" s="25" t="s">
        <v>547</v>
      </c>
      <c r="AF217" s="48" t="s">
        <v>5</v>
      </c>
      <c r="AG217" s="47">
        <f t="shared" si="28"/>
        <v>2183.8453486427575</v>
      </c>
      <c r="AH217" s="47">
        <v>1789.5091191474298</v>
      </c>
      <c r="AI217" s="25">
        <f t="shared" si="29"/>
        <v>6.4822134047165632</v>
      </c>
      <c r="AJ217" s="47">
        <f t="shared" si="30"/>
        <v>1</v>
      </c>
      <c r="AK217" s="25">
        <f t="shared" si="31"/>
        <v>0.65891999126288581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4"/>
        <v>9336</v>
      </c>
      <c r="M218" s="25"/>
      <c r="N218" s="25"/>
      <c r="O218" s="25"/>
      <c r="P218" s="25">
        <f t="shared" si="25"/>
        <v>233468362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6"/>
        <v>9.2987954997459799</v>
      </c>
      <c r="W218" s="25">
        <v>4.4412099999999999</v>
      </c>
      <c r="X218" s="25"/>
      <c r="Y218" s="25"/>
      <c r="Z218" s="25"/>
      <c r="AA218" s="46">
        <f t="shared" si="27"/>
        <v>0.47761132074808216</v>
      </c>
      <c r="AB218" s="25">
        <v>0.60172287236842936</v>
      </c>
      <c r="AC218" s="47">
        <v>1.33</v>
      </c>
      <c r="AD218" s="25"/>
      <c r="AE218" s="25" t="s">
        <v>548</v>
      </c>
      <c r="AF218" s="48" t="s">
        <v>5</v>
      </c>
      <c r="AG218" s="47">
        <f t="shared" si="28"/>
        <v>1582.9376481289535</v>
      </c>
      <c r="AH218" s="47">
        <v>1247.4712451001726</v>
      </c>
      <c r="AI218" s="25">
        <f t="shared" si="29"/>
        <v>5.2568237321193845</v>
      </c>
      <c r="AJ218" s="47">
        <f t="shared" si="30"/>
        <v>1.33</v>
      </c>
      <c r="AK218" s="25">
        <f t="shared" si="31"/>
        <v>0.47761132074808216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4"/>
        <v>9336</v>
      </c>
      <c r="M219" s="25"/>
      <c r="N219" s="25"/>
      <c r="O219" s="25"/>
      <c r="P219" s="25">
        <f t="shared" si="25"/>
        <v>233468362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6"/>
        <v>13.192555857592343</v>
      </c>
      <c r="W219" s="25">
        <v>4.2540500000000003</v>
      </c>
      <c r="X219" s="25"/>
      <c r="Y219" s="25"/>
      <c r="Z219" s="25"/>
      <c r="AA219" s="46">
        <f t="shared" si="27"/>
        <v>0.32245836560561431</v>
      </c>
      <c r="AB219" s="25">
        <v>0.60172287236842936</v>
      </c>
      <c r="AC219" s="47">
        <v>1.67</v>
      </c>
      <c r="AD219" s="25"/>
      <c r="AE219" s="25" t="s">
        <v>549</v>
      </c>
      <c r="AF219" s="48" t="s">
        <v>5</v>
      </c>
      <c r="AG219" s="47">
        <f t="shared" si="28"/>
        <v>1068.7173119593754</v>
      </c>
      <c r="AH219" s="47">
        <v>879.28223501317882</v>
      </c>
      <c r="AI219" s="25">
        <f t="shared" si="29"/>
        <v>4.730379668540408</v>
      </c>
      <c r="AJ219" s="47">
        <f t="shared" si="30"/>
        <v>1.67</v>
      </c>
      <c r="AK219" s="25">
        <f t="shared" si="31"/>
        <v>0.32245836560561431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4"/>
        <v>9336</v>
      </c>
      <c r="M220" s="25"/>
      <c r="N220" s="25"/>
      <c r="O220" s="25"/>
      <c r="P220" s="25">
        <f t="shared" si="25"/>
        <v>233468362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6"/>
        <v>17.84042932589146</v>
      </c>
      <c r="W220" s="25">
        <v>4.0467899999999997</v>
      </c>
      <c r="X220" s="25"/>
      <c r="Y220" s="25"/>
      <c r="Z220" s="25"/>
      <c r="AA220" s="46">
        <f t="shared" si="27"/>
        <v>0.2268325456790983</v>
      </c>
      <c r="AB220" s="25">
        <v>0.60172287236842936</v>
      </c>
      <c r="AC220" s="47">
        <v>2</v>
      </c>
      <c r="AD220" s="25"/>
      <c r="AE220" s="25" t="s">
        <v>550</v>
      </c>
      <c r="AF220" s="48" t="s">
        <v>5</v>
      </c>
      <c r="AG220" s="47">
        <f t="shared" si="28"/>
        <v>751.78656949332196</v>
      </c>
      <c r="AH220" s="47">
        <v>650.20744669889643</v>
      </c>
      <c r="AI220" s="25">
        <f t="shared" si="29"/>
        <v>4.460107331472865</v>
      </c>
      <c r="AJ220" s="47">
        <f t="shared" si="30"/>
        <v>2</v>
      </c>
      <c r="AK220" s="25">
        <f t="shared" si="31"/>
        <v>0.2268325456790983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4"/>
        <v>9336</v>
      </c>
      <c r="M221" s="25"/>
      <c r="N221" s="25"/>
      <c r="O221" s="25"/>
      <c r="P221" s="25">
        <f t="shared" si="25"/>
        <v>233468362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6"/>
        <v>26.421797868568685</v>
      </c>
      <c r="W221" s="25">
        <v>3.8566199999999999</v>
      </c>
      <c r="X221" s="25"/>
      <c r="Y221" s="25"/>
      <c r="Z221" s="25"/>
      <c r="AA221" s="46">
        <f t="shared" si="27"/>
        <v>0.14596357216810849</v>
      </c>
      <c r="AB221" s="25">
        <v>0.60172287236842936</v>
      </c>
      <c r="AC221" s="47">
        <v>2.5</v>
      </c>
      <c r="AD221" s="25"/>
      <c r="AE221" s="25" t="s">
        <v>551</v>
      </c>
      <c r="AF221" s="48" t="s">
        <v>5</v>
      </c>
      <c r="AG221" s="47">
        <f t="shared" si="28"/>
        <v>483.76414796531856</v>
      </c>
      <c r="AH221" s="47">
        <v>439.03068435018616</v>
      </c>
      <c r="AI221" s="25">
        <f t="shared" si="29"/>
        <v>4.2274876589709898</v>
      </c>
      <c r="AJ221" s="47">
        <f t="shared" si="30"/>
        <v>2.5</v>
      </c>
      <c r="AK221" s="25">
        <f t="shared" si="31"/>
        <v>0.14596357216810849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4"/>
        <v>7955.9</v>
      </c>
      <c r="M222" s="15"/>
      <c r="N222" s="15"/>
      <c r="O222" s="15"/>
      <c r="P222" s="15">
        <f t="shared" si="25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6"/>
        <v>3.6875184446391605</v>
      </c>
      <c r="W222" s="15">
        <v>3.2892899999999998</v>
      </c>
      <c r="X222" s="15"/>
      <c r="Y222" s="15"/>
      <c r="Z222" s="15"/>
      <c r="AA222" s="16">
        <f t="shared" si="27"/>
        <v>0.89200638569873536</v>
      </c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8"/>
        <v>2519.3333294131021</v>
      </c>
      <c r="AH222" s="17">
        <v>2680.7203539201037</v>
      </c>
      <c r="AI222" s="15">
        <f t="shared" si="29"/>
        <v>40.97242716265734</v>
      </c>
      <c r="AJ222" s="17">
        <f t="shared" si="30"/>
        <v>0.3</v>
      </c>
      <c r="AK222" s="15">
        <f t="shared" si="31"/>
        <v>0.89200638569873536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4"/>
        <v>7955.9</v>
      </c>
      <c r="M223" s="15"/>
      <c r="N223" s="15"/>
      <c r="O223" s="15"/>
      <c r="P223" s="15">
        <f t="shared" si="25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6"/>
        <v>4.1518828485211703</v>
      </c>
      <c r="W223" s="15">
        <v>3.4516399999999998</v>
      </c>
      <c r="X223" s="15"/>
      <c r="Y223" s="15"/>
      <c r="Z223" s="15"/>
      <c r="AA223" s="16">
        <f t="shared" si="27"/>
        <v>0.83134330276910751</v>
      </c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8"/>
        <v>2347.9998847877637</v>
      </c>
      <c r="AH223" s="17">
        <v>2380.8970798684604</v>
      </c>
      <c r="AI223" s="15">
        <f t="shared" si="29"/>
        <v>16.607531394084681</v>
      </c>
      <c r="AJ223" s="17">
        <f t="shared" si="30"/>
        <v>0.5</v>
      </c>
      <c r="AK223" s="15">
        <f t="shared" si="31"/>
        <v>0.83134330276910751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4"/>
        <v>7955.9</v>
      </c>
      <c r="M224" s="15"/>
      <c r="N224" s="15"/>
      <c r="O224" s="15"/>
      <c r="P224" s="15">
        <f t="shared" si="25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6"/>
        <v>5.046600717157312</v>
      </c>
      <c r="W224" s="15">
        <v>3.7345999999999999</v>
      </c>
      <c r="X224" s="15"/>
      <c r="Y224" s="15"/>
      <c r="Z224" s="15"/>
      <c r="AA224" s="16">
        <f t="shared" si="27"/>
        <v>0.74002288061014942</v>
      </c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8"/>
        <v>2090.0795527254322</v>
      </c>
      <c r="AH224" s="17">
        <v>1958.7849929146394</v>
      </c>
      <c r="AI224" s="15">
        <f t="shared" si="29"/>
        <v>8.9717346082796663</v>
      </c>
      <c r="AJ224" s="17">
        <f t="shared" si="30"/>
        <v>0.75</v>
      </c>
      <c r="AK224" s="15">
        <f t="shared" si="31"/>
        <v>0.74002288061014942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4"/>
        <v>7955.9</v>
      </c>
      <c r="M225" s="15"/>
      <c r="N225" s="15"/>
      <c r="O225" s="15"/>
      <c r="P225" s="15">
        <f t="shared" si="25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6"/>
        <v>6.4822134047165614</v>
      </c>
      <c r="W225" s="15">
        <v>4.1876300000000004</v>
      </c>
      <c r="X225" s="15"/>
      <c r="Y225" s="15"/>
      <c r="Z225" s="15"/>
      <c r="AA225" s="16">
        <f t="shared" si="27"/>
        <v>0.64601853387810626</v>
      </c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8"/>
        <v>1824.5788930566932</v>
      </c>
      <c r="AH225" s="17">
        <v>1524.9738218750047</v>
      </c>
      <c r="AI225" s="15">
        <f t="shared" si="29"/>
        <v>6.4822134047165614</v>
      </c>
      <c r="AJ225" s="17">
        <f t="shared" si="30"/>
        <v>1</v>
      </c>
      <c r="AK225" s="15">
        <f t="shared" si="31"/>
        <v>0.64601853387810626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4"/>
        <v>7955.9</v>
      </c>
      <c r="M226" s="15"/>
      <c r="N226" s="15"/>
      <c r="O226" s="15"/>
      <c r="P226" s="15">
        <f t="shared" si="25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6"/>
        <v>9.2987954997459763</v>
      </c>
      <c r="W226" s="15">
        <v>4.4071999999999996</v>
      </c>
      <c r="X226" s="15"/>
      <c r="Y226" s="15"/>
      <c r="Z226" s="15"/>
      <c r="AA226" s="16">
        <f t="shared" si="27"/>
        <v>0.47395385780022747</v>
      </c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8"/>
        <v>1338.6089715318544</v>
      </c>
      <c r="AH226" s="17">
        <v>1063.0630333003928</v>
      </c>
      <c r="AI226" s="15">
        <f t="shared" si="29"/>
        <v>5.2568237321193818</v>
      </c>
      <c r="AJ226" s="17">
        <f t="shared" si="30"/>
        <v>1.33</v>
      </c>
      <c r="AK226" s="15">
        <f t="shared" si="31"/>
        <v>0.47395385780022747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4"/>
        <v>7955.9</v>
      </c>
      <c r="M227" s="15"/>
      <c r="N227" s="15"/>
      <c r="O227" s="15"/>
      <c r="P227" s="15">
        <f t="shared" si="25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6"/>
        <v>13.192555857592346</v>
      </c>
      <c r="W227" s="15">
        <v>4.2296300000000002</v>
      </c>
      <c r="X227" s="15"/>
      <c r="Y227" s="15"/>
      <c r="Z227" s="15"/>
      <c r="AA227" s="16">
        <f t="shared" si="27"/>
        <v>0.32060732170907114</v>
      </c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8"/>
        <v>905.50552572874562</v>
      </c>
      <c r="AH227" s="17">
        <v>749.30179236732522</v>
      </c>
      <c r="AI227" s="15">
        <f t="shared" si="29"/>
        <v>4.7303796685404089</v>
      </c>
      <c r="AJ227" s="17">
        <f t="shared" si="30"/>
        <v>1.67</v>
      </c>
      <c r="AK227" s="15">
        <f t="shared" si="31"/>
        <v>0.32060732170907114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4"/>
        <v>7955.9</v>
      </c>
      <c r="M228" s="15"/>
      <c r="N228" s="15"/>
      <c r="O228" s="15"/>
      <c r="P228" s="15">
        <f t="shared" si="25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6"/>
        <v>17.840429325891453</v>
      </c>
      <c r="W228" s="15">
        <v>4.0129400000000004</v>
      </c>
      <c r="X228" s="15"/>
      <c r="Y228" s="15"/>
      <c r="Z228" s="15"/>
      <c r="AA228" s="16">
        <f t="shared" si="27"/>
        <v>0.22493516981545406</v>
      </c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8"/>
        <v>635.2944097248436</v>
      </c>
      <c r="AH228" s="17">
        <v>554.0901269485596</v>
      </c>
      <c r="AI228" s="15">
        <f t="shared" si="29"/>
        <v>4.4601073314728632</v>
      </c>
      <c r="AJ228" s="17">
        <f t="shared" si="30"/>
        <v>2</v>
      </c>
      <c r="AK228" s="15">
        <f t="shared" si="31"/>
        <v>0.22493516981545406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4"/>
        <v>7955.9</v>
      </c>
      <c r="M229" s="15"/>
      <c r="N229" s="15"/>
      <c r="O229" s="15"/>
      <c r="P229" s="15">
        <f t="shared" si="25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6"/>
        <v>26.421797868568685</v>
      </c>
      <c r="W229" s="15">
        <v>3.81671</v>
      </c>
      <c r="X229" s="15"/>
      <c r="Y229" s="15"/>
      <c r="Z229" s="15"/>
      <c r="AA229" s="16">
        <f t="shared" si="27"/>
        <v>0.14445307692480497</v>
      </c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8"/>
        <v>407.9852533206498</v>
      </c>
      <c r="AH229" s="17">
        <v>374.13070068783702</v>
      </c>
      <c r="AI229" s="15">
        <f t="shared" si="29"/>
        <v>4.2274876589709898</v>
      </c>
      <c r="AJ229" s="17">
        <f t="shared" si="30"/>
        <v>2.5</v>
      </c>
      <c r="AK229" s="15">
        <f t="shared" si="31"/>
        <v>0.14445307692480497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4"/>
        <v>7023.4</v>
      </c>
      <c r="M230" s="25"/>
      <c r="N230" s="25"/>
      <c r="O230" s="25"/>
      <c r="P230" s="25">
        <f t="shared" si="25"/>
        <v>206655884.88333333</v>
      </c>
      <c r="Q230" s="25"/>
      <c r="R230" s="25"/>
      <c r="S230" s="25">
        <v>676.14766880006221</v>
      </c>
      <c r="T230" s="25">
        <v>355</v>
      </c>
      <c r="U230" s="25">
        <v>210000</v>
      </c>
      <c r="V230" s="25">
        <f t="shared" si="26"/>
        <v>3.6875184446391613</v>
      </c>
      <c r="W230" s="25">
        <v>3.1785600000000001</v>
      </c>
      <c r="X230" s="25"/>
      <c r="Y230" s="25"/>
      <c r="Z230" s="25"/>
      <c r="AA230" s="46">
        <f t="shared" si="27"/>
        <v>0.8619780613222221</v>
      </c>
      <c r="AB230" s="25">
        <v>1.1133153135475653</v>
      </c>
      <c r="AC230" s="47">
        <v>0.3</v>
      </c>
      <c r="AD230" s="25"/>
      <c r="AE230" s="25" t="s">
        <v>560</v>
      </c>
      <c r="AF230" s="48" t="s">
        <v>5</v>
      </c>
      <c r="AG230" s="47">
        <f t="shared" si="28"/>
        <v>2149.1759341411257</v>
      </c>
      <c r="AH230" s="47">
        <v>2366.5168408002178</v>
      </c>
      <c r="AI230" s="25">
        <f t="shared" si="29"/>
        <v>40.972427162657354</v>
      </c>
      <c r="AJ230" s="47">
        <f t="shared" si="30"/>
        <v>0.3</v>
      </c>
      <c r="AK230" s="25">
        <f t="shared" si="31"/>
        <v>0.8619780613222221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4"/>
        <v>7023.4</v>
      </c>
      <c r="M231" s="25"/>
      <c r="N231" s="25"/>
      <c r="O231" s="25"/>
      <c r="P231" s="25">
        <f t="shared" si="25"/>
        <v>206655884.88333333</v>
      </c>
      <c r="Q231" s="25"/>
      <c r="R231" s="25"/>
      <c r="S231" s="25">
        <v>600.52441048236062</v>
      </c>
      <c r="T231" s="25">
        <v>355</v>
      </c>
      <c r="U231" s="25">
        <v>210000</v>
      </c>
      <c r="V231" s="25">
        <f t="shared" si="26"/>
        <v>4.1518828485211703</v>
      </c>
      <c r="W231" s="25">
        <v>3.24587</v>
      </c>
      <c r="X231" s="25"/>
      <c r="Y231" s="25"/>
      <c r="Z231" s="25"/>
      <c r="AA231" s="46">
        <f t="shared" si="27"/>
        <v>0.78178265582713236</v>
      </c>
      <c r="AB231" s="25">
        <v>1.1133153135475653</v>
      </c>
      <c r="AC231" s="47">
        <v>0.5</v>
      </c>
      <c r="AD231" s="25"/>
      <c r="AE231" s="25" t="s">
        <v>561</v>
      </c>
      <c r="AF231" s="48" t="s">
        <v>5</v>
      </c>
      <c r="AG231" s="47">
        <f t="shared" si="28"/>
        <v>1949.22416825238</v>
      </c>
      <c r="AH231" s="47">
        <v>2101.8354366882622</v>
      </c>
      <c r="AI231" s="25">
        <f t="shared" si="29"/>
        <v>16.607531394084685</v>
      </c>
      <c r="AJ231" s="47">
        <f t="shared" si="30"/>
        <v>0.49999999999999994</v>
      </c>
      <c r="AK231" s="25">
        <f t="shared" si="31"/>
        <v>0.78178265582713236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4"/>
        <v>7023.4</v>
      </c>
      <c r="M232" s="25"/>
      <c r="N232" s="25"/>
      <c r="O232" s="25"/>
      <c r="P232" s="25">
        <f t="shared" si="25"/>
        <v>206655884.88333333</v>
      </c>
      <c r="Q232" s="25"/>
      <c r="R232" s="25"/>
      <c r="S232" s="25">
        <v>494.05672050164657</v>
      </c>
      <c r="T232" s="25">
        <v>355</v>
      </c>
      <c r="U232" s="25">
        <v>210000</v>
      </c>
      <c r="V232" s="25">
        <f t="shared" si="26"/>
        <v>5.0466007171573137</v>
      </c>
      <c r="W232" s="25">
        <v>3.4650099999999999</v>
      </c>
      <c r="X232" s="25"/>
      <c r="Y232" s="25"/>
      <c r="Z232" s="25"/>
      <c r="AA232" s="46">
        <f t="shared" si="27"/>
        <v>0.68660276376130591</v>
      </c>
      <c r="AB232" s="25">
        <v>1.1133153135475653</v>
      </c>
      <c r="AC232" s="47">
        <v>0.75</v>
      </c>
      <c r="AD232" s="25"/>
      <c r="AE232" s="25" t="s">
        <v>562</v>
      </c>
      <c r="AF232" s="48" t="s">
        <v>5</v>
      </c>
      <c r="AG232" s="47">
        <f t="shared" si="28"/>
        <v>1711.9114771054103</v>
      </c>
      <c r="AH232" s="47">
        <v>1729.1985217557631</v>
      </c>
      <c r="AI232" s="25">
        <f t="shared" si="29"/>
        <v>8.9717346082796681</v>
      </c>
      <c r="AJ232" s="47">
        <f t="shared" si="30"/>
        <v>0.75</v>
      </c>
      <c r="AK232" s="25">
        <f t="shared" si="31"/>
        <v>0.68660276376130591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4"/>
        <v>7023.4</v>
      </c>
      <c r="M233" s="25"/>
      <c r="N233" s="25"/>
      <c r="O233" s="25"/>
      <c r="P233" s="25">
        <f t="shared" si="25"/>
        <v>206655884.88333333</v>
      </c>
      <c r="Q233" s="25"/>
      <c r="R233" s="25"/>
      <c r="S233" s="25">
        <v>384.63821604296919</v>
      </c>
      <c r="T233" s="25">
        <v>355</v>
      </c>
      <c r="U233" s="25">
        <v>210000</v>
      </c>
      <c r="V233" s="25">
        <f t="shared" si="26"/>
        <v>6.4822134047165623</v>
      </c>
      <c r="W233" s="25">
        <v>3.9944299999999999</v>
      </c>
      <c r="X233" s="25"/>
      <c r="Y233" s="25"/>
      <c r="Z233" s="25"/>
      <c r="AA233" s="46">
        <f t="shared" si="27"/>
        <v>0.61621389957535011</v>
      </c>
      <c r="AB233" s="25">
        <v>1.1133153135475653</v>
      </c>
      <c r="AC233" s="47">
        <v>1</v>
      </c>
      <c r="AD233" s="25"/>
      <c r="AE233" s="25" t="s">
        <v>563</v>
      </c>
      <c r="AF233" s="48" t="s">
        <v>5</v>
      </c>
      <c r="AG233" s="47">
        <f t="shared" si="28"/>
        <v>1536.4104293085175</v>
      </c>
      <c r="AH233" s="47">
        <v>1346.2337561503921</v>
      </c>
      <c r="AI233" s="25">
        <f t="shared" si="29"/>
        <v>6.4822134047165632</v>
      </c>
      <c r="AJ233" s="47">
        <f t="shared" si="30"/>
        <v>1</v>
      </c>
      <c r="AK233" s="25">
        <f t="shared" si="31"/>
        <v>0.61621389957535011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4"/>
        <v>7023.4</v>
      </c>
      <c r="M234" s="25"/>
      <c r="N234" s="25"/>
      <c r="O234" s="25"/>
      <c r="P234" s="25">
        <f t="shared" si="25"/>
        <v>206655884.88333333</v>
      </c>
      <c r="Q234" s="25"/>
      <c r="R234" s="25"/>
      <c r="S234" s="25">
        <v>268.13225434069517</v>
      </c>
      <c r="T234" s="25">
        <v>355</v>
      </c>
      <c r="U234" s="25">
        <v>210000</v>
      </c>
      <c r="V234" s="25">
        <f t="shared" si="26"/>
        <v>9.2987954997459781</v>
      </c>
      <c r="W234" s="25">
        <v>4.3433200000000003</v>
      </c>
      <c r="X234" s="25"/>
      <c r="Y234" s="25"/>
      <c r="Z234" s="25"/>
      <c r="AA234" s="46">
        <f t="shared" si="27"/>
        <v>0.46708415085788796</v>
      </c>
      <c r="AB234" s="25">
        <v>1.1133153135475653</v>
      </c>
      <c r="AC234" s="47">
        <v>1.33</v>
      </c>
      <c r="AD234" s="25"/>
      <c r="AE234" s="25" t="s">
        <v>564</v>
      </c>
      <c r="AF234" s="48" t="s">
        <v>5</v>
      </c>
      <c r="AG234" s="47">
        <f t="shared" si="28"/>
        <v>1164.5841829230283</v>
      </c>
      <c r="AH234" s="47">
        <v>938.46289019243318</v>
      </c>
      <c r="AI234" s="25">
        <f t="shared" si="29"/>
        <v>5.2568237321193845</v>
      </c>
      <c r="AJ234" s="47">
        <f t="shared" si="30"/>
        <v>1.3299999999999998</v>
      </c>
      <c r="AK234" s="25">
        <f t="shared" si="31"/>
        <v>0.46708415085788796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4"/>
        <v>7023.4</v>
      </c>
      <c r="M235" s="25"/>
      <c r="N235" s="25"/>
      <c r="O235" s="25"/>
      <c r="P235" s="25">
        <f t="shared" si="25"/>
        <v>206655884.88333333</v>
      </c>
      <c r="Q235" s="25"/>
      <c r="R235" s="25"/>
      <c r="S235" s="25">
        <v>188.99347684513279</v>
      </c>
      <c r="T235" s="25">
        <v>355</v>
      </c>
      <c r="U235" s="25">
        <v>210000</v>
      </c>
      <c r="V235" s="25">
        <f t="shared" si="26"/>
        <v>13.192555857592346</v>
      </c>
      <c r="W235" s="25">
        <v>4.2087700000000003</v>
      </c>
      <c r="X235" s="25"/>
      <c r="Y235" s="25"/>
      <c r="Z235" s="25"/>
      <c r="AA235" s="46">
        <f t="shared" si="27"/>
        <v>0.31902612696370308</v>
      </c>
      <c r="AB235" s="25">
        <v>1.1133153135475653</v>
      </c>
      <c r="AC235" s="47">
        <v>1.67</v>
      </c>
      <c r="AD235" s="25"/>
      <c r="AE235" s="25" t="s">
        <v>565</v>
      </c>
      <c r="AF235" s="48" t="s">
        <v>5</v>
      </c>
      <c r="AG235" s="47">
        <f t="shared" si="28"/>
        <v>795.4300755414896</v>
      </c>
      <c r="AH235" s="47">
        <v>661.47716895796475</v>
      </c>
      <c r="AI235" s="25">
        <f t="shared" si="29"/>
        <v>4.7303796685404098</v>
      </c>
      <c r="AJ235" s="47">
        <f t="shared" si="30"/>
        <v>1.67</v>
      </c>
      <c r="AK235" s="25">
        <f t="shared" si="31"/>
        <v>0.31902612696370308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4"/>
        <v>7023.4</v>
      </c>
      <c r="M236" s="25"/>
      <c r="N236" s="25"/>
      <c r="O236" s="25"/>
      <c r="P236" s="25">
        <f t="shared" si="25"/>
        <v>206655884.88333333</v>
      </c>
      <c r="Q236" s="25"/>
      <c r="R236" s="25"/>
      <c r="S236" s="25">
        <v>139.75599770917589</v>
      </c>
      <c r="T236" s="25">
        <v>355</v>
      </c>
      <c r="U236" s="25">
        <v>210000</v>
      </c>
      <c r="V236" s="25">
        <f t="shared" si="26"/>
        <v>17.840429325891449</v>
      </c>
      <c r="W236" s="25">
        <v>3.9858600000000002</v>
      </c>
      <c r="X236" s="25"/>
      <c r="Y236" s="25"/>
      <c r="Z236" s="25"/>
      <c r="AA236" s="46">
        <f t="shared" si="27"/>
        <v>0.22341726912453858</v>
      </c>
      <c r="AB236" s="25">
        <v>1.1133153135475653</v>
      </c>
      <c r="AC236" s="47">
        <v>2</v>
      </c>
      <c r="AD236" s="25"/>
      <c r="AE236" s="25" t="s">
        <v>566</v>
      </c>
      <c r="AF236" s="48" t="s">
        <v>5</v>
      </c>
      <c r="AG236" s="47">
        <f t="shared" si="28"/>
        <v>557.04784102909582</v>
      </c>
      <c r="AH236" s="47">
        <v>489.14599198211556</v>
      </c>
      <c r="AI236" s="25">
        <f t="shared" si="29"/>
        <v>4.4601073314728632</v>
      </c>
      <c r="AJ236" s="47">
        <f t="shared" si="30"/>
        <v>1.9999999999999998</v>
      </c>
      <c r="AK236" s="25">
        <f t="shared" si="31"/>
        <v>0.22341726912453858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4"/>
        <v>7023.4</v>
      </c>
      <c r="M237" s="25"/>
      <c r="N237" s="25"/>
      <c r="O237" s="25"/>
      <c r="P237" s="25">
        <f t="shared" si="25"/>
        <v>206655884.88333333</v>
      </c>
      <c r="Q237" s="25"/>
      <c r="R237" s="25"/>
      <c r="S237" s="25">
        <v>94.365531535839679</v>
      </c>
      <c r="T237" s="25">
        <v>355</v>
      </c>
      <c r="U237" s="25">
        <v>210000</v>
      </c>
      <c r="V237" s="25">
        <f t="shared" si="26"/>
        <v>26.421797868568689</v>
      </c>
      <c r="W237" s="25">
        <v>3.7848600000000001</v>
      </c>
      <c r="X237" s="25"/>
      <c r="Y237" s="25"/>
      <c r="Z237" s="25"/>
      <c r="AA237" s="46">
        <f t="shared" si="27"/>
        <v>0.1432476328381295</v>
      </c>
      <c r="AB237" s="25">
        <v>1.1133153135475653</v>
      </c>
      <c r="AC237" s="47">
        <v>2.5</v>
      </c>
      <c r="AD237" s="25"/>
      <c r="AE237" s="25" t="s">
        <v>567</v>
      </c>
      <c r="AF237" s="48" t="s">
        <v>5</v>
      </c>
      <c r="AG237" s="47">
        <f t="shared" si="28"/>
        <v>357.16032568873817</v>
      </c>
      <c r="AH237" s="47">
        <v>330.2793603754389</v>
      </c>
      <c r="AI237" s="25">
        <f t="shared" si="29"/>
        <v>4.2274876589709907</v>
      </c>
      <c r="AJ237" s="47">
        <f t="shared" si="30"/>
        <v>2.5</v>
      </c>
      <c r="AK237" s="25">
        <f t="shared" si="31"/>
        <v>0.1432476328381295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4"/>
        <v>6456.4400000000005</v>
      </c>
      <c r="M238" s="15"/>
      <c r="N238" s="15"/>
      <c r="O238" s="15"/>
      <c r="P238" s="15">
        <f t="shared" si="25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6"/>
        <v>3.6875184446391609</v>
      </c>
      <c r="W238" s="15">
        <v>3.1406000000000001</v>
      </c>
      <c r="X238" s="15"/>
      <c r="Y238" s="15"/>
      <c r="Z238" s="15"/>
      <c r="AA238" s="16">
        <f t="shared" si="27"/>
        <v>0.85168387552494562</v>
      </c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8"/>
        <v>1952.0902736594694</v>
      </c>
      <c r="AH238" s="17">
        <v>2175.4811048233278</v>
      </c>
      <c r="AI238" s="15">
        <f t="shared" si="29"/>
        <v>40.97242716265734</v>
      </c>
      <c r="AJ238" s="17">
        <f t="shared" si="30"/>
        <v>0.30000000000000004</v>
      </c>
      <c r="AK238" s="15">
        <f t="shared" si="31"/>
        <v>0.85168387552494562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4"/>
        <v>6456.4400000000005</v>
      </c>
      <c r="M239" s="15"/>
      <c r="N239" s="15"/>
      <c r="O239" s="15"/>
      <c r="P239" s="15">
        <f t="shared" si="25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6"/>
        <v>4.1518828485211703</v>
      </c>
      <c r="W239" s="15">
        <v>3.1678799999999998</v>
      </c>
      <c r="X239" s="15"/>
      <c r="Y239" s="15"/>
      <c r="Z239" s="15"/>
      <c r="AA239" s="16">
        <f t="shared" si="27"/>
        <v>0.76299840712710487</v>
      </c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8"/>
        <v>1748.8199696776626</v>
      </c>
      <c r="AH239" s="17">
        <v>1932.165957634702</v>
      </c>
      <c r="AI239" s="15">
        <f t="shared" si="29"/>
        <v>16.607531394084681</v>
      </c>
      <c r="AJ239" s="17">
        <f t="shared" si="30"/>
        <v>0.5</v>
      </c>
      <c r="AK239" s="15">
        <f t="shared" si="31"/>
        <v>0.76299840712710487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4"/>
        <v>6456.4400000000005</v>
      </c>
      <c r="M240" s="15"/>
      <c r="N240" s="15"/>
      <c r="O240" s="15"/>
      <c r="P240" s="15">
        <f t="shared" si="25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6"/>
        <v>5.046600717157312</v>
      </c>
      <c r="W240" s="15">
        <v>3.3195100000000002</v>
      </c>
      <c r="X240" s="15"/>
      <c r="Y240" s="15"/>
      <c r="Z240" s="15"/>
      <c r="AA240" s="16">
        <f t="shared" si="27"/>
        <v>0.65777147550318571</v>
      </c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8"/>
        <v>1507.6360331807148</v>
      </c>
      <c r="AH240" s="17">
        <v>1589.6099472911669</v>
      </c>
      <c r="AI240" s="15">
        <f t="shared" si="29"/>
        <v>8.9717346082796681</v>
      </c>
      <c r="AJ240" s="17">
        <f t="shared" si="30"/>
        <v>0.74999999999999989</v>
      </c>
      <c r="AK240" s="15">
        <f t="shared" si="31"/>
        <v>0.65777147550318571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4"/>
        <v>6456.4400000000005</v>
      </c>
      <c r="M241" s="15"/>
      <c r="N241" s="15"/>
      <c r="O241" s="15"/>
      <c r="P241" s="15">
        <f t="shared" si="25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6"/>
        <v>6.4822134047165605</v>
      </c>
      <c r="W241" s="15">
        <v>3.8447</v>
      </c>
      <c r="X241" s="15"/>
      <c r="Y241" s="15"/>
      <c r="Z241" s="15"/>
      <c r="AA241" s="16">
        <f t="shared" si="27"/>
        <v>0.59311530799071432</v>
      </c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8"/>
        <v>1359.4417566888667</v>
      </c>
      <c r="AH241" s="17">
        <v>1237.5597961898284</v>
      </c>
      <c r="AI241" s="15">
        <f t="shared" si="29"/>
        <v>6.4822134047165605</v>
      </c>
      <c r="AJ241" s="17">
        <f t="shared" si="30"/>
        <v>1</v>
      </c>
      <c r="AK241" s="15">
        <f t="shared" si="31"/>
        <v>0.59311530799071432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4"/>
        <v>6456.4400000000005</v>
      </c>
      <c r="M242" s="15"/>
      <c r="N242" s="15"/>
      <c r="O242" s="15"/>
      <c r="P242" s="15">
        <f t="shared" si="25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6"/>
        <v>9.2987954997459763</v>
      </c>
      <c r="W242" s="15">
        <v>4.2483199999999997</v>
      </c>
      <c r="X242" s="15"/>
      <c r="Y242" s="15"/>
      <c r="Z242" s="15"/>
      <c r="AA242" s="16">
        <f t="shared" si="27"/>
        <v>0.45686777390857286</v>
      </c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8"/>
        <v>1047.1574764118645</v>
      </c>
      <c r="AH242" s="17">
        <v>862.70600318279378</v>
      </c>
      <c r="AI242" s="15">
        <f t="shared" si="29"/>
        <v>5.2568237321193818</v>
      </c>
      <c r="AJ242" s="17">
        <f t="shared" si="30"/>
        <v>1.33</v>
      </c>
      <c r="AK242" s="15">
        <f t="shared" si="31"/>
        <v>0.45686777390857286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4"/>
        <v>6456.4400000000005</v>
      </c>
      <c r="M243" s="15"/>
      <c r="N243" s="15"/>
      <c r="O243" s="15"/>
      <c r="P243" s="15">
        <f t="shared" si="25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6"/>
        <v>13.192555857592346</v>
      </c>
      <c r="W243" s="15">
        <v>4.1837099999999996</v>
      </c>
      <c r="X243" s="15"/>
      <c r="Y243" s="15"/>
      <c r="Z243" s="15"/>
      <c r="AA243" s="16">
        <f t="shared" si="27"/>
        <v>0.31712657086020712</v>
      </c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8"/>
        <v>726.86558039345982</v>
      </c>
      <c r="AH243" s="17">
        <v>608.07979792507365</v>
      </c>
      <c r="AI243" s="15">
        <f t="shared" si="29"/>
        <v>4.7303796685404098</v>
      </c>
      <c r="AJ243" s="17">
        <f t="shared" si="30"/>
        <v>1.67</v>
      </c>
      <c r="AK243" s="15">
        <f t="shared" si="31"/>
        <v>0.31712657086020712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4"/>
        <v>6456.4400000000005</v>
      </c>
      <c r="M244" s="15"/>
      <c r="N244" s="15"/>
      <c r="O244" s="15"/>
      <c r="P244" s="15">
        <f t="shared" si="25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6"/>
        <v>17.840429325891453</v>
      </c>
      <c r="W244" s="15">
        <v>3.9643999999999999</v>
      </c>
      <c r="X244" s="15"/>
      <c r="Y244" s="15"/>
      <c r="Z244" s="15"/>
      <c r="AA244" s="16">
        <f t="shared" si="27"/>
        <v>0.22221438327420442</v>
      </c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8"/>
        <v>509.32341062515115</v>
      </c>
      <c r="AH244" s="17">
        <v>449.65995792251766</v>
      </c>
      <c r="AI244" s="15">
        <f t="shared" si="29"/>
        <v>4.4601073314728632</v>
      </c>
      <c r="AJ244" s="17">
        <f t="shared" si="30"/>
        <v>2</v>
      </c>
      <c r="AK244" s="15">
        <f t="shared" si="31"/>
        <v>0.22221438327420442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4"/>
        <v>6456.4400000000005</v>
      </c>
      <c r="M245" s="15"/>
      <c r="N245" s="15"/>
      <c r="O245" s="15"/>
      <c r="P245" s="15">
        <f t="shared" si="25"/>
        <v>200082503.39666668</v>
      </c>
      <c r="Q245" s="15"/>
      <c r="R245" s="15"/>
      <c r="S245" s="15">
        <v>86.747927275857393</v>
      </c>
      <c r="T245" s="15">
        <v>355</v>
      </c>
      <c r="U245" s="15">
        <v>210000</v>
      </c>
      <c r="V245" s="15">
        <f t="shared" si="26"/>
        <v>26.421797868568685</v>
      </c>
      <c r="W245" s="15">
        <v>3.76153</v>
      </c>
      <c r="X245" s="15"/>
      <c r="Y245" s="15"/>
      <c r="Z245" s="15"/>
      <c r="AA245" s="16">
        <f t="shared" si="27"/>
        <v>0.142364649775582</v>
      </c>
      <c r="AB245" s="15">
        <v>1.5137471488237149</v>
      </c>
      <c r="AC245" s="17">
        <v>2.5</v>
      </c>
      <c r="AD245" s="15"/>
      <c r="AE245" s="15" t="s">
        <v>575</v>
      </c>
      <c r="AF245" s="22" t="s">
        <v>5</v>
      </c>
      <c r="AG245" s="17">
        <f t="shared" si="28"/>
        <v>326.30493088595586</v>
      </c>
      <c r="AH245" s="17">
        <v>303.61774546550089</v>
      </c>
      <c r="AI245" s="15">
        <f t="shared" si="29"/>
        <v>4.2274876589709898</v>
      </c>
      <c r="AJ245" s="17">
        <f t="shared" si="30"/>
        <v>2.5</v>
      </c>
      <c r="AK245" s="15">
        <f t="shared" si="31"/>
        <v>0.142364649775582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4"/>
        <v>18131.148799999999</v>
      </c>
      <c r="M246" s="25"/>
      <c r="N246" s="25"/>
      <c r="O246" s="25"/>
      <c r="P246" s="25">
        <f t="shared" si="25"/>
        <v>296599421.04640174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6"/>
        <v>3.6875184446391609</v>
      </c>
      <c r="W246" s="25">
        <v>3.5932300000000001</v>
      </c>
      <c r="X246" s="25"/>
      <c r="Y246" s="25"/>
      <c r="Z246" s="25"/>
      <c r="AA246" s="46">
        <f t="shared" si="27"/>
        <v>0.97443038019884742</v>
      </c>
      <c r="AB246" s="25">
        <v>0.35499999999999998</v>
      </c>
      <c r="AC246" s="47">
        <v>0.3</v>
      </c>
      <c r="AD246" s="25"/>
      <c r="AE246" s="25" t="s">
        <v>576</v>
      </c>
      <c r="AF246" s="48" t="s">
        <v>5</v>
      </c>
      <c r="AG246" s="47">
        <f t="shared" si="28"/>
        <v>6271.9774876121855</v>
      </c>
      <c r="AH246" s="47">
        <v>6109.2446647285724</v>
      </c>
      <c r="AI246" s="25">
        <f t="shared" si="29"/>
        <v>40.97242716265734</v>
      </c>
      <c r="AJ246" s="47">
        <f t="shared" si="30"/>
        <v>0.30000000000000004</v>
      </c>
      <c r="AK246" s="25">
        <f t="shared" si="31"/>
        <v>0.97443038019884742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4"/>
        <v>18131.148799999999</v>
      </c>
      <c r="M247" s="25"/>
      <c r="N247" s="25"/>
      <c r="O247" s="25"/>
      <c r="P247" s="25">
        <f t="shared" si="25"/>
        <v>296599421.04640174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6"/>
        <v>4.1518828485211712</v>
      </c>
      <c r="W247" s="25">
        <v>3.55952</v>
      </c>
      <c r="X247" s="25"/>
      <c r="Y247" s="25"/>
      <c r="Z247" s="25"/>
      <c r="AA247" s="46">
        <f t="shared" si="27"/>
        <v>0.85732669486756818</v>
      </c>
      <c r="AB247" s="25">
        <v>0.35499999999999998</v>
      </c>
      <c r="AC247" s="47">
        <v>0.5</v>
      </c>
      <c r="AD247" s="25"/>
      <c r="AE247" s="25" t="s">
        <v>577</v>
      </c>
      <c r="AF247" s="48" t="s">
        <v>5</v>
      </c>
      <c r="AG247" s="47">
        <f t="shared" si="28"/>
        <v>5518.2328455739071</v>
      </c>
      <c r="AH247" s="47">
        <v>5425.9605113916132</v>
      </c>
      <c r="AI247" s="25">
        <f t="shared" si="29"/>
        <v>16.607531394084685</v>
      </c>
      <c r="AJ247" s="47">
        <f t="shared" si="30"/>
        <v>0.5</v>
      </c>
      <c r="AK247" s="25">
        <f t="shared" si="31"/>
        <v>0.85732669486756818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4"/>
        <v>18131.148799999999</v>
      </c>
      <c r="M248" s="25"/>
      <c r="N248" s="25"/>
      <c r="O248" s="25"/>
      <c r="P248" s="25">
        <f t="shared" si="25"/>
        <v>296599421.04640174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6"/>
        <v>5.0466007171573128</v>
      </c>
      <c r="W248" s="25">
        <v>3.6818200000000001</v>
      </c>
      <c r="X248" s="25"/>
      <c r="Y248" s="25"/>
      <c r="Z248" s="25"/>
      <c r="AA248" s="46">
        <f t="shared" si="27"/>
        <v>0.72956435556366406</v>
      </c>
      <c r="AB248" s="25">
        <v>0.35499999999999998</v>
      </c>
      <c r="AC248" s="47">
        <v>0.75</v>
      </c>
      <c r="AD248" s="25"/>
      <c r="AE248" s="25" t="s">
        <v>578</v>
      </c>
      <c r="AF248" s="48" t="s">
        <v>5</v>
      </c>
      <c r="AG248" s="47">
        <f t="shared" si="28"/>
        <v>4695.8831609148201</v>
      </c>
      <c r="AH248" s="47">
        <v>4463.9854917410057</v>
      </c>
      <c r="AI248" s="25">
        <f t="shared" si="29"/>
        <v>8.9717346082796663</v>
      </c>
      <c r="AJ248" s="47">
        <f t="shared" si="30"/>
        <v>0.75000000000000011</v>
      </c>
      <c r="AK248" s="25">
        <f t="shared" si="31"/>
        <v>0.72956435556366406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4"/>
        <v>18131.148799999999</v>
      </c>
      <c r="M249" s="25"/>
      <c r="N249" s="25"/>
      <c r="O249" s="25"/>
      <c r="P249" s="25">
        <f t="shared" si="25"/>
        <v>296599421.04640174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6"/>
        <v>6.4822134047165623</v>
      </c>
      <c r="W249" s="25">
        <v>4.1461300000000003</v>
      </c>
      <c r="X249" s="25"/>
      <c r="Y249" s="25"/>
      <c r="Z249" s="25"/>
      <c r="AA249" s="46">
        <f t="shared" si="27"/>
        <v>0.6396163996981663</v>
      </c>
      <c r="AB249" s="25">
        <v>0.35499999999999998</v>
      </c>
      <c r="AC249" s="47">
        <v>1</v>
      </c>
      <c r="AD249" s="25"/>
      <c r="AE249" s="25" t="s">
        <v>579</v>
      </c>
      <c r="AF249" s="48" t="s">
        <v>5</v>
      </c>
      <c r="AG249" s="47">
        <f t="shared" si="28"/>
        <v>4116.9279418359438</v>
      </c>
      <c r="AH249" s="47">
        <v>3475.34877016056</v>
      </c>
      <c r="AI249" s="25">
        <f t="shared" si="29"/>
        <v>6.4822134047165632</v>
      </c>
      <c r="AJ249" s="47">
        <f t="shared" si="30"/>
        <v>1</v>
      </c>
      <c r="AK249" s="25">
        <f t="shared" si="31"/>
        <v>0.6396163996981663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4"/>
        <v>18131.148799999999</v>
      </c>
      <c r="M250" s="25"/>
      <c r="N250" s="25"/>
      <c r="O250" s="25"/>
      <c r="P250" s="25">
        <f t="shared" si="25"/>
        <v>296599421.04640174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6"/>
        <v>9.2987954997459781</v>
      </c>
      <c r="W250" s="25">
        <v>4.3860700000000001</v>
      </c>
      <c r="X250" s="25"/>
      <c r="Y250" s="25"/>
      <c r="Z250" s="25"/>
      <c r="AA250" s="46">
        <f t="shared" si="27"/>
        <v>0.47168152048507977</v>
      </c>
      <c r="AB250" s="25">
        <v>0.35499999999999998</v>
      </c>
      <c r="AC250" s="47">
        <v>1.33</v>
      </c>
      <c r="AD250" s="25"/>
      <c r="AE250" s="25" t="s">
        <v>580</v>
      </c>
      <c r="AF250" s="48" t="s">
        <v>5</v>
      </c>
      <c r="AG250" s="47">
        <f t="shared" si="28"/>
        <v>3036.0053811144567</v>
      </c>
      <c r="AH250" s="47">
        <v>2422.6742468543816</v>
      </c>
      <c r="AI250" s="25">
        <f t="shared" si="29"/>
        <v>5.2568237321193836</v>
      </c>
      <c r="AJ250" s="47">
        <f t="shared" si="30"/>
        <v>1.33</v>
      </c>
      <c r="AK250" s="25">
        <f t="shared" si="31"/>
        <v>0.47168152048507977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4"/>
        <v>18131.148799999999</v>
      </c>
      <c r="M251" s="25"/>
      <c r="N251" s="25"/>
      <c r="O251" s="25"/>
      <c r="P251" s="25">
        <f t="shared" si="25"/>
        <v>296599421.04640174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6"/>
        <v>13.192555857592346</v>
      </c>
      <c r="W251" s="25">
        <v>4.2215100000000003</v>
      </c>
      <c r="X251" s="25"/>
      <c r="Y251" s="25"/>
      <c r="Z251" s="25"/>
      <c r="AA251" s="46">
        <f t="shared" si="27"/>
        <v>0.31999182308335739</v>
      </c>
      <c r="AB251" s="25">
        <v>0.35499999999999998</v>
      </c>
      <c r="AC251" s="47">
        <v>1.67</v>
      </c>
      <c r="AD251" s="25"/>
      <c r="AE251" s="25" t="s">
        <v>581</v>
      </c>
      <c r="AF251" s="48" t="s">
        <v>5</v>
      </c>
      <c r="AG251" s="47">
        <f t="shared" si="28"/>
        <v>2059.6458724832078</v>
      </c>
      <c r="AH251" s="47">
        <v>1707.6260754306461</v>
      </c>
      <c r="AI251" s="25">
        <f t="shared" si="29"/>
        <v>4.7303796685404098</v>
      </c>
      <c r="AJ251" s="47">
        <f t="shared" si="30"/>
        <v>1.67</v>
      </c>
      <c r="AK251" s="25">
        <f t="shared" si="31"/>
        <v>0.31999182308335739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4"/>
        <v>18131.148799999999</v>
      </c>
      <c r="M252" s="25"/>
      <c r="N252" s="25"/>
      <c r="O252" s="25"/>
      <c r="P252" s="25">
        <f t="shared" si="25"/>
        <v>296599421.04640174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6"/>
        <v>17.840429325891449</v>
      </c>
      <c r="W252" s="25">
        <v>3.9899300000000002</v>
      </c>
      <c r="X252" s="25"/>
      <c r="Y252" s="25"/>
      <c r="Z252" s="25"/>
      <c r="AA252" s="46">
        <f t="shared" si="27"/>
        <v>0.2236454026478778</v>
      </c>
      <c r="AB252" s="25">
        <v>0.35499999999999998</v>
      </c>
      <c r="AC252" s="47">
        <v>2</v>
      </c>
      <c r="AD252" s="25"/>
      <c r="AE252" s="25" t="s">
        <v>582</v>
      </c>
      <c r="AF252" s="48" t="s">
        <v>5</v>
      </c>
      <c r="AG252" s="47">
        <f t="shared" si="28"/>
        <v>1439.5065662148279</v>
      </c>
      <c r="AH252" s="47">
        <v>1262.7472115430339</v>
      </c>
      <c r="AI252" s="25">
        <f t="shared" si="29"/>
        <v>4.4601073314728632</v>
      </c>
      <c r="AJ252" s="47">
        <f t="shared" si="30"/>
        <v>1.9999999999999998</v>
      </c>
      <c r="AK252" s="25">
        <f t="shared" si="31"/>
        <v>0.2236454026478778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4"/>
        <v>18131.148799999999</v>
      </c>
      <c r="M253" s="25"/>
      <c r="N253" s="25"/>
      <c r="O253" s="25"/>
      <c r="P253" s="25">
        <f t="shared" si="25"/>
        <v>296599421.04640174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6"/>
        <v>26.421797868568689</v>
      </c>
      <c r="W253" s="25">
        <v>3.7847900000000001</v>
      </c>
      <c r="X253" s="25"/>
      <c r="Y253" s="25"/>
      <c r="Z253" s="25"/>
      <c r="AA253" s="46">
        <f t="shared" si="27"/>
        <v>0.14324498351046647</v>
      </c>
      <c r="AB253" s="25">
        <v>0.35499999999999998</v>
      </c>
      <c r="AC253" s="47">
        <v>2.5</v>
      </c>
      <c r="AD253" s="25"/>
      <c r="AE253" s="25" t="s">
        <v>583</v>
      </c>
      <c r="AF253" s="48" t="s">
        <v>5</v>
      </c>
      <c r="AG253" s="47">
        <f t="shared" si="28"/>
        <v>922.00461936304407</v>
      </c>
      <c r="AH253" s="47">
        <v>852.62753488850217</v>
      </c>
      <c r="AI253" s="25">
        <f t="shared" si="29"/>
        <v>4.2274876589709898</v>
      </c>
      <c r="AJ253" s="47">
        <f t="shared" si="30"/>
        <v>2.5</v>
      </c>
      <c r="AK253" s="25">
        <f t="shared" si="31"/>
        <v>0.14324498351046647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4"/>
        <v>12891.42</v>
      </c>
      <c r="M254" s="15"/>
      <c r="N254" s="15"/>
      <c r="O254" s="15"/>
      <c r="P254" s="15">
        <f t="shared" si="25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6"/>
        <v>3.6875184446391605</v>
      </c>
      <c r="W254" s="15">
        <v>3.5121699999999998</v>
      </c>
      <c r="X254" s="15"/>
      <c r="Y254" s="15"/>
      <c r="Z254" s="15"/>
      <c r="AA254" s="16">
        <f t="shared" si="27"/>
        <v>0.9524481172713648</v>
      </c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8"/>
        <v>4358.8350913238182</v>
      </c>
      <c r="AH254" s="17">
        <v>4343.7313170015586</v>
      </c>
      <c r="AI254" s="15">
        <f t="shared" si="29"/>
        <v>40.972427162657333</v>
      </c>
      <c r="AJ254" s="17">
        <f t="shared" si="30"/>
        <v>0.30000000000000004</v>
      </c>
      <c r="AK254" s="15">
        <f t="shared" si="31"/>
        <v>0.9524481172713648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4"/>
        <v>12891.42</v>
      </c>
      <c r="M255" s="15"/>
      <c r="N255" s="15"/>
      <c r="O255" s="15"/>
      <c r="P255" s="15">
        <f t="shared" si="25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6"/>
        <v>4.1518828485211694</v>
      </c>
      <c r="W255" s="15">
        <v>3.5030199999999998</v>
      </c>
      <c r="X255" s="15"/>
      <c r="Y255" s="15"/>
      <c r="Z255" s="15"/>
      <c r="AA255" s="16">
        <f t="shared" si="27"/>
        <v>0.84371841109334678</v>
      </c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8"/>
        <v>3861.2385816936321</v>
      </c>
      <c r="AH255" s="17">
        <v>3857.9097567035624</v>
      </c>
      <c r="AI255" s="15">
        <f t="shared" si="29"/>
        <v>16.607531394084674</v>
      </c>
      <c r="AJ255" s="17">
        <f t="shared" si="30"/>
        <v>0.5</v>
      </c>
      <c r="AK255" s="15">
        <f t="shared" si="31"/>
        <v>0.84371841109334678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4"/>
        <v>12891.42</v>
      </c>
      <c r="M256" s="15"/>
      <c r="N256" s="15"/>
      <c r="O256" s="15"/>
      <c r="P256" s="15">
        <f t="shared" si="25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6"/>
        <v>5.0466007171573111</v>
      </c>
      <c r="W256" s="15">
        <v>3.6346400000000001</v>
      </c>
      <c r="X256" s="15"/>
      <c r="Y256" s="15"/>
      <c r="Z256" s="15"/>
      <c r="AA256" s="16">
        <f t="shared" si="27"/>
        <v>0.72021548834704496</v>
      </c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8"/>
        <v>3296.033124529336</v>
      </c>
      <c r="AH256" s="17">
        <v>3173.9363281790424</v>
      </c>
      <c r="AI256" s="15">
        <f t="shared" si="29"/>
        <v>8.9717346082796627</v>
      </c>
      <c r="AJ256" s="17">
        <f t="shared" si="30"/>
        <v>0.75000000000000011</v>
      </c>
      <c r="AK256" s="15">
        <f t="shared" si="31"/>
        <v>0.72021548834704496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4"/>
        <v>12891.42</v>
      </c>
      <c r="M257" s="15"/>
      <c r="N257" s="15"/>
      <c r="O257" s="15"/>
      <c r="P257" s="15">
        <f t="shared" si="25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6"/>
        <v>6.4822134047165605</v>
      </c>
      <c r="W257" s="15">
        <v>4.0691899999999999</v>
      </c>
      <c r="X257" s="15"/>
      <c r="Y257" s="15"/>
      <c r="Z257" s="15"/>
      <c r="AA257" s="16">
        <f t="shared" si="27"/>
        <v>0.62774699719685145</v>
      </c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8"/>
        <v>2872.8553190842194</v>
      </c>
      <c r="AH257" s="17">
        <v>2471.0061748885573</v>
      </c>
      <c r="AI257" s="15">
        <f t="shared" si="29"/>
        <v>6.4822134047165587</v>
      </c>
      <c r="AJ257" s="17">
        <f t="shared" si="30"/>
        <v>1</v>
      </c>
      <c r="AK257" s="15">
        <f t="shared" si="31"/>
        <v>0.62774699719685145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4"/>
        <v>12891.42</v>
      </c>
      <c r="M258" s="15"/>
      <c r="N258" s="15"/>
      <c r="O258" s="15"/>
      <c r="P258" s="15">
        <f t="shared" si="25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6"/>
        <v>9.2987954997459763</v>
      </c>
      <c r="W258" s="15">
        <v>4.3205200000000001</v>
      </c>
      <c r="X258" s="15"/>
      <c r="Y258" s="15"/>
      <c r="Z258" s="15"/>
      <c r="AA258" s="16">
        <f t="shared" si="27"/>
        <v>0.46463222039005242</v>
      </c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8"/>
        <v>2126.3680299961588</v>
      </c>
      <c r="AH258" s="17">
        <v>1722.544532830899</v>
      </c>
      <c r="AI258" s="15">
        <f t="shared" si="29"/>
        <v>5.2568237321193818</v>
      </c>
      <c r="AJ258" s="17">
        <f t="shared" si="30"/>
        <v>1.33</v>
      </c>
      <c r="AK258" s="15">
        <f t="shared" si="31"/>
        <v>0.46463222039005242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4"/>
        <v>12891.42</v>
      </c>
      <c r="M259" s="15"/>
      <c r="N259" s="15"/>
      <c r="O259" s="15"/>
      <c r="P259" s="15">
        <f t="shared" si="25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6"/>
        <v>13.192555857592341</v>
      </c>
      <c r="W259" s="15">
        <v>4.1803600000000003</v>
      </c>
      <c r="X259" s="15"/>
      <c r="Y259" s="15"/>
      <c r="Z259" s="15"/>
      <c r="AA259" s="16">
        <f t="shared" si="27"/>
        <v>0.31687263977693869</v>
      </c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8"/>
        <v>1450.1530914849939</v>
      </c>
      <c r="AH259" s="17">
        <v>1214.1384522379599</v>
      </c>
      <c r="AI259" s="15">
        <f t="shared" si="29"/>
        <v>4.7303796685404071</v>
      </c>
      <c r="AJ259" s="17">
        <f t="shared" si="30"/>
        <v>1.67</v>
      </c>
      <c r="AK259" s="15">
        <f t="shared" si="31"/>
        <v>0.31687263977693869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4"/>
        <v>12891.42</v>
      </c>
      <c r="M260" s="15"/>
      <c r="N260" s="15"/>
      <c r="O260" s="15"/>
      <c r="P260" s="15">
        <f t="shared" si="25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6"/>
        <v>17.840429325891449</v>
      </c>
      <c r="W260" s="15">
        <v>3.95581</v>
      </c>
      <c r="X260" s="15"/>
      <c r="Y260" s="15"/>
      <c r="Z260" s="15"/>
      <c r="AA260" s="16">
        <f t="shared" si="27"/>
        <v>0.22173289261929444</v>
      </c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8"/>
        <v>1014.7504055324296</v>
      </c>
      <c r="AH260" s="17">
        <v>897.82533017599519</v>
      </c>
      <c r="AI260" s="15">
        <f t="shared" si="29"/>
        <v>4.4601073314728614</v>
      </c>
      <c r="AJ260" s="17">
        <f t="shared" si="30"/>
        <v>2</v>
      </c>
      <c r="AK260" s="15">
        <f t="shared" si="31"/>
        <v>0.22173289261929444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4"/>
        <v>12891.42</v>
      </c>
      <c r="M261" s="15"/>
      <c r="N261" s="15"/>
      <c r="O261" s="15"/>
      <c r="P261" s="15">
        <f t="shared" si="25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6"/>
        <v>26.421797868568678</v>
      </c>
      <c r="W261" s="15">
        <v>3.7539099999999999</v>
      </c>
      <c r="X261" s="15"/>
      <c r="Y261" s="15"/>
      <c r="Z261" s="15"/>
      <c r="AA261" s="16">
        <f t="shared" si="27"/>
        <v>0.14207625153569298</v>
      </c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8"/>
        <v>650.20544385315327</v>
      </c>
      <c r="AH261" s="17">
        <v>606.22632228424141</v>
      </c>
      <c r="AI261" s="15">
        <f t="shared" si="29"/>
        <v>4.227487658970988</v>
      </c>
      <c r="AJ261" s="17">
        <f t="shared" si="30"/>
        <v>2.5</v>
      </c>
      <c r="AK261" s="15">
        <f t="shared" si="31"/>
        <v>0.14207625153569298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4"/>
        <v>10789.875</v>
      </c>
      <c r="M262" s="15"/>
      <c r="N262" s="15"/>
      <c r="O262" s="15"/>
      <c r="P262" s="15">
        <f t="shared" si="25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6"/>
        <v>3.6875184446391609</v>
      </c>
      <c r="W262" s="15">
        <v>3.3231799999999998</v>
      </c>
      <c r="X262" s="15"/>
      <c r="Y262" s="15"/>
      <c r="Z262" s="15"/>
      <c r="AA262" s="16">
        <f t="shared" si="27"/>
        <v>0.90119684820320589</v>
      </c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28"/>
        <v>3451.9494765898312</v>
      </c>
      <c r="AH262" s="17">
        <v>3635.621052144154</v>
      </c>
      <c r="AI262" s="15">
        <f t="shared" si="29"/>
        <v>40.97242716265734</v>
      </c>
      <c r="AJ262" s="17">
        <f t="shared" si="30"/>
        <v>0.30000000000000004</v>
      </c>
      <c r="AK262" s="15">
        <f t="shared" si="31"/>
        <v>0.90119684820320589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2">2*C263*F263+(E263-2*F263)*H263</f>
        <v>10789.875</v>
      </c>
      <c r="M263" s="15"/>
      <c r="N263" s="15"/>
      <c r="O263" s="15"/>
      <c r="P263" s="15">
        <f t="shared" ref="P263:P293" si="33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34">L263*T263/(S263*1000)</f>
        <v>4.1518828485211712</v>
      </c>
      <c r="W263" s="15">
        <v>3.3917099999999998</v>
      </c>
      <c r="X263" s="15"/>
      <c r="Y263" s="15"/>
      <c r="Z263" s="15"/>
      <c r="AA263" s="16">
        <f t="shared" ref="AA263:AA293" si="35">AK263</f>
        <v>0.8169088877852293</v>
      </c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36">W263*S263</f>
        <v>3129.0923988850363</v>
      </c>
      <c r="AH263" s="17">
        <v>3228.9975841382748</v>
      </c>
      <c r="AI263" s="15">
        <f t="shared" ref="AI263:AI293" si="37">(PI()^2*U263*P263/K263^2)/(S263*1000)</f>
        <v>16.607531394084681</v>
      </c>
      <c r="AJ263" s="17">
        <f t="shared" ref="AJ263:AJ293" si="38">(V263/AI263)^0.5</f>
        <v>0.5</v>
      </c>
      <c r="AK263" s="15">
        <f t="shared" ref="AK263:AK293" si="39">W263/V263</f>
        <v>0.8169088877852293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2"/>
        <v>10789.875</v>
      </c>
      <c r="M264" s="15"/>
      <c r="N264" s="15"/>
      <c r="O264" s="15"/>
      <c r="P264" s="15">
        <f t="shared" si="33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34"/>
        <v>5.046600717157312</v>
      </c>
      <c r="W264" s="15">
        <v>3.5759699999999999</v>
      </c>
      <c r="X264" s="15"/>
      <c r="Y264" s="15"/>
      <c r="Z264" s="15"/>
      <c r="AA264" s="16">
        <f t="shared" si="35"/>
        <v>0.70858984104736145</v>
      </c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6"/>
        <v>2714.186512965669</v>
      </c>
      <c r="AH264" s="17">
        <v>2656.5247458395461</v>
      </c>
      <c r="AI264" s="15">
        <f t="shared" si="37"/>
        <v>8.9717346082796645</v>
      </c>
      <c r="AJ264" s="17">
        <f t="shared" si="38"/>
        <v>0.75000000000000011</v>
      </c>
      <c r="AK264" s="15">
        <f t="shared" si="39"/>
        <v>0.70858984104736145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2"/>
        <v>10789.875</v>
      </c>
      <c r="M265" s="15"/>
      <c r="N265" s="15"/>
      <c r="O265" s="15"/>
      <c r="P265" s="15">
        <f t="shared" si="33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34"/>
        <v>6.4822134047165623</v>
      </c>
      <c r="W265" s="15">
        <v>3.9931100000000002</v>
      </c>
      <c r="X265" s="15"/>
      <c r="Y265" s="15"/>
      <c r="Z265" s="15"/>
      <c r="AA265" s="16">
        <f t="shared" si="35"/>
        <v>0.61601026542794002</v>
      </c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6"/>
        <v>2359.5691857529241</v>
      </c>
      <c r="AH265" s="17">
        <v>2068.1854870352267</v>
      </c>
      <c r="AI265" s="15">
        <f t="shared" si="37"/>
        <v>6.4822134047165605</v>
      </c>
      <c r="AJ265" s="17">
        <f t="shared" si="38"/>
        <v>1</v>
      </c>
      <c r="AK265" s="15">
        <f t="shared" si="39"/>
        <v>0.61601026542794002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2"/>
        <v>10789.875</v>
      </c>
      <c r="M266" s="15"/>
      <c r="N266" s="15"/>
      <c r="O266" s="15"/>
      <c r="P266" s="15">
        <f t="shared" si="33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34"/>
        <v>9.2987954997459763</v>
      </c>
      <c r="W266" s="15">
        <v>4.26206</v>
      </c>
      <c r="X266" s="15"/>
      <c r="Y266" s="15"/>
      <c r="Z266" s="15"/>
      <c r="AA266" s="16">
        <f t="shared" si="35"/>
        <v>0.45834538463787383</v>
      </c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6"/>
        <v>1755.6487395097004</v>
      </c>
      <c r="AH266" s="17">
        <v>1441.7372322970468</v>
      </c>
      <c r="AI266" s="15">
        <f t="shared" si="37"/>
        <v>5.2568237321193809</v>
      </c>
      <c r="AJ266" s="17">
        <f t="shared" si="38"/>
        <v>1.3300000000000003</v>
      </c>
      <c r="AK266" s="15">
        <f t="shared" si="39"/>
        <v>0.45834538463787383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2"/>
        <v>10789.875</v>
      </c>
      <c r="M267" s="15"/>
      <c r="N267" s="15"/>
      <c r="O267" s="15"/>
      <c r="P267" s="15">
        <f t="shared" si="33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34"/>
        <v>13.192555857592344</v>
      </c>
      <c r="W267" s="15">
        <v>4.1481199999999996</v>
      </c>
      <c r="X267" s="15"/>
      <c r="Y267" s="15"/>
      <c r="Z267" s="15"/>
      <c r="AA267" s="16">
        <f t="shared" si="35"/>
        <v>0.31442883735169086</v>
      </c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6"/>
        <v>1204.3899872541267</v>
      </c>
      <c r="AH267" s="17">
        <v>1016.210947462813</v>
      </c>
      <c r="AI267" s="15">
        <f t="shared" si="37"/>
        <v>4.7303796685404089</v>
      </c>
      <c r="AJ267" s="17">
        <f t="shared" si="38"/>
        <v>1.67</v>
      </c>
      <c r="AK267" s="15">
        <f t="shared" si="39"/>
        <v>0.31442883735169086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2"/>
        <v>10789.875</v>
      </c>
      <c r="M268" s="15"/>
      <c r="N268" s="15"/>
      <c r="O268" s="15"/>
      <c r="P268" s="15">
        <f t="shared" si="33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34"/>
        <v>17.840429325891456</v>
      </c>
      <c r="W268" s="15">
        <v>3.9314499999999999</v>
      </c>
      <c r="X268" s="15"/>
      <c r="Y268" s="15"/>
      <c r="Z268" s="15"/>
      <c r="AA268" s="16">
        <f t="shared" si="35"/>
        <v>0.22036745462702323</v>
      </c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6"/>
        <v>844.09673777028195</v>
      </c>
      <c r="AH268" s="17">
        <v>751.46283996896477</v>
      </c>
      <c r="AI268" s="15">
        <f t="shared" si="37"/>
        <v>4.4601073314728632</v>
      </c>
      <c r="AJ268" s="17">
        <f t="shared" si="38"/>
        <v>2</v>
      </c>
      <c r="AK268" s="15">
        <f t="shared" si="39"/>
        <v>0.22036745462702323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2"/>
        <v>10789.875</v>
      </c>
      <c r="M269" s="15"/>
      <c r="N269" s="15"/>
      <c r="O269" s="15"/>
      <c r="P269" s="15">
        <f t="shared" si="33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34"/>
        <v>26.421797868568682</v>
      </c>
      <c r="W269" s="15">
        <v>3.7330700000000001</v>
      </c>
      <c r="X269" s="15"/>
      <c r="Y269" s="15"/>
      <c r="Z269" s="15"/>
      <c r="AA269" s="16">
        <f t="shared" si="35"/>
        <v>0.14128750884287297</v>
      </c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6"/>
        <v>541.18846861397788</v>
      </c>
      <c r="AH269" s="17">
        <v>507.39997914556182</v>
      </c>
      <c r="AI269" s="15">
        <f t="shared" si="37"/>
        <v>4.2274876589709898</v>
      </c>
      <c r="AJ269" s="17">
        <f t="shared" si="38"/>
        <v>2.5</v>
      </c>
      <c r="AK269" s="15">
        <f t="shared" si="39"/>
        <v>0.14128750884287297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2"/>
        <v>8214.7431679999991</v>
      </c>
      <c r="M270" s="15"/>
      <c r="N270" s="15"/>
      <c r="O270" s="15"/>
      <c r="P270" s="15">
        <f t="shared" si="33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34"/>
        <v>3.6389507021946921</v>
      </c>
      <c r="W270" s="15">
        <v>2.8099500000000002</v>
      </c>
      <c r="X270" s="15"/>
      <c r="Y270" s="15"/>
      <c r="Z270" s="15"/>
      <c r="AA270" s="16">
        <f t="shared" si="35"/>
        <v>0.77218688296746851</v>
      </c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6"/>
        <v>2251.877507053061</v>
      </c>
      <c r="AH270" s="17">
        <v>2804.879544008154</v>
      </c>
      <c r="AI270" s="15">
        <f t="shared" si="37"/>
        <v>40.432785579941019</v>
      </c>
      <c r="AJ270" s="17">
        <f t="shared" si="38"/>
        <v>0.30000000000000004</v>
      </c>
      <c r="AK270" s="15">
        <f t="shared" si="39"/>
        <v>0.77218688296746851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2"/>
        <v>8214.7431679999991</v>
      </c>
      <c r="M271" s="15"/>
      <c r="N271" s="15"/>
      <c r="O271" s="15"/>
      <c r="P271" s="15">
        <f t="shared" si="33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34"/>
        <v>4.0420822917637169</v>
      </c>
      <c r="W271" s="15">
        <v>2.9096099999999998</v>
      </c>
      <c r="X271" s="15"/>
      <c r="Y271" s="15"/>
      <c r="Z271" s="15"/>
      <c r="AA271" s="16">
        <f t="shared" si="35"/>
        <v>0.71982948143552627</v>
      </c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6"/>
        <v>2099.1910817353523</v>
      </c>
      <c r="AH271" s="17">
        <v>2525.1386907777101</v>
      </c>
      <c r="AI271" s="15">
        <f t="shared" si="37"/>
        <v>16.168329167054871</v>
      </c>
      <c r="AJ271" s="17">
        <f t="shared" si="38"/>
        <v>0.49999999999999994</v>
      </c>
      <c r="AK271" s="15">
        <f t="shared" si="39"/>
        <v>0.71982948143552627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2"/>
        <v>8214.7431679999991</v>
      </c>
      <c r="M272" s="15"/>
      <c r="N272" s="15"/>
      <c r="O272" s="15"/>
      <c r="P272" s="15">
        <f t="shared" si="33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34"/>
        <v>4.7799636575602573</v>
      </c>
      <c r="W272" s="15">
        <v>3.1117900000000001</v>
      </c>
      <c r="X272" s="15"/>
      <c r="Y272" s="15"/>
      <c r="Z272" s="15"/>
      <c r="AA272" s="16">
        <f t="shared" si="35"/>
        <v>0.65100704167033141</v>
      </c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6"/>
        <v>1898.4887549978423</v>
      </c>
      <c r="AH272" s="17">
        <v>2135.33388901322</v>
      </c>
      <c r="AI272" s="15">
        <f t="shared" si="37"/>
        <v>8.4977131689960128</v>
      </c>
      <c r="AJ272" s="17">
        <f t="shared" si="38"/>
        <v>0.75</v>
      </c>
      <c r="AK272" s="15">
        <f t="shared" si="39"/>
        <v>0.65100704167033141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2"/>
        <v>8214.7431679999991</v>
      </c>
      <c r="M273" s="15"/>
      <c r="N273" s="15"/>
      <c r="O273" s="15"/>
      <c r="P273" s="15">
        <f t="shared" si="33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34"/>
        <v>5.9384940805820268</v>
      </c>
      <c r="W273" s="15">
        <v>3.4035099999999998</v>
      </c>
      <c r="X273" s="15"/>
      <c r="Y273" s="15"/>
      <c r="Z273" s="15"/>
      <c r="AA273" s="16">
        <f t="shared" si="35"/>
        <v>0.5731267816076403</v>
      </c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6"/>
        <v>1671.3717063312627</v>
      </c>
      <c r="AH273" s="17">
        <v>1718.7553355681105</v>
      </c>
      <c r="AI273" s="15">
        <f t="shared" si="37"/>
        <v>5.9384940805820277</v>
      </c>
      <c r="AJ273" s="17">
        <f t="shared" si="38"/>
        <v>1</v>
      </c>
      <c r="AK273" s="15">
        <f t="shared" si="39"/>
        <v>0.5731267816076403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2"/>
        <v>8214.7431679999991</v>
      </c>
      <c r="M274" s="15"/>
      <c r="N274" s="15"/>
      <c r="O274" s="15"/>
      <c r="P274" s="15">
        <f t="shared" si="33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34"/>
        <v>8.2455223846913253</v>
      </c>
      <c r="W274" s="15">
        <v>3.6015299999999999</v>
      </c>
      <c r="X274" s="15"/>
      <c r="Y274" s="15"/>
      <c r="Z274" s="15"/>
      <c r="AA274" s="16">
        <f t="shared" si="35"/>
        <v>0.43678615277142624</v>
      </c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6"/>
        <v>1273.7705528464076</v>
      </c>
      <c r="AH274" s="17">
        <v>1237.8619461624439</v>
      </c>
      <c r="AI274" s="15">
        <f t="shared" si="37"/>
        <v>4.6613841283799671</v>
      </c>
      <c r="AJ274" s="17">
        <f t="shared" si="38"/>
        <v>1.33</v>
      </c>
      <c r="AK274" s="15">
        <f t="shared" si="39"/>
        <v>0.43678615277142624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2"/>
        <v>8214.7431679999991</v>
      </c>
      <c r="M275" s="15"/>
      <c r="N275" s="15"/>
      <c r="O275" s="15"/>
      <c r="P275" s="15">
        <f t="shared" si="33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34"/>
        <v>11.492867109739169</v>
      </c>
      <c r="W275" s="15">
        <v>3.5234399999999999</v>
      </c>
      <c r="X275" s="15"/>
      <c r="Y275" s="15"/>
      <c r="Z275" s="15"/>
      <c r="AA275" s="16">
        <f t="shared" si="35"/>
        <v>0.30657624127700928</v>
      </c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6"/>
        <v>894.04800464300808</v>
      </c>
      <c r="AH275" s="17">
        <v>888.10027026159901</v>
      </c>
      <c r="AI275" s="15">
        <f t="shared" si="37"/>
        <v>4.1209319479863638</v>
      </c>
      <c r="AJ275" s="17">
        <f t="shared" si="38"/>
        <v>1.67</v>
      </c>
      <c r="AK275" s="15">
        <f t="shared" si="39"/>
        <v>0.30657624127700928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2"/>
        <v>8214.7431679999991</v>
      </c>
      <c r="M276" s="15"/>
      <c r="N276" s="15"/>
      <c r="O276" s="15"/>
      <c r="P276" s="15">
        <f t="shared" si="33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34"/>
        <v>15.401128906837329</v>
      </c>
      <c r="W276" s="15">
        <v>3.3333499999999998</v>
      </c>
      <c r="X276" s="15"/>
      <c r="Y276" s="15"/>
      <c r="Z276" s="15"/>
      <c r="AA276" s="16">
        <f t="shared" si="35"/>
        <v>0.21643543276364369</v>
      </c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6"/>
        <v>631.17632987593413</v>
      </c>
      <c r="AH276" s="17">
        <v>662.73183271056735</v>
      </c>
      <c r="AI276" s="15">
        <f t="shared" si="37"/>
        <v>3.8502822267093331</v>
      </c>
      <c r="AJ276" s="17">
        <f t="shared" si="38"/>
        <v>1.9999999999999998</v>
      </c>
      <c r="AK276" s="15">
        <f t="shared" si="39"/>
        <v>0.21643543276364369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2"/>
        <v>8214.7431679999991</v>
      </c>
      <c r="M277" s="15"/>
      <c r="N277" s="15"/>
      <c r="O277" s="15"/>
      <c r="P277" s="15">
        <f t="shared" si="33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34"/>
        <v>22.642589771535768</v>
      </c>
      <c r="W277" s="15">
        <v>3.1509800000000001</v>
      </c>
      <c r="X277" s="15"/>
      <c r="Y277" s="15"/>
      <c r="Z277" s="15"/>
      <c r="AA277" s="16">
        <f t="shared" si="35"/>
        <v>0.13916164324812039</v>
      </c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6"/>
        <v>405.82789113265329</v>
      </c>
      <c r="AH277" s="17">
        <v>450.77963648270901</v>
      </c>
      <c r="AI277" s="15">
        <f t="shared" si="37"/>
        <v>3.6228143634457233</v>
      </c>
      <c r="AJ277" s="17">
        <f t="shared" si="38"/>
        <v>2.5</v>
      </c>
      <c r="AK277" s="15">
        <f t="shared" si="39"/>
        <v>0.13916164324812039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2"/>
        <v>5956.734199999999</v>
      </c>
      <c r="M278" s="15"/>
      <c r="N278" s="15"/>
      <c r="O278" s="15"/>
      <c r="P278" s="15">
        <f t="shared" si="33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34"/>
        <v>3.5792088609326687</v>
      </c>
      <c r="W278" s="15">
        <v>2.2943199999999999</v>
      </c>
      <c r="X278" s="15"/>
      <c r="Y278" s="15"/>
      <c r="Z278" s="15"/>
      <c r="AA278" s="16">
        <f t="shared" si="35"/>
        <v>0.64101316496018812</v>
      </c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6"/>
        <v>1355.5124900408509</v>
      </c>
      <c r="AH278" s="17">
        <v>2067.8430712119402</v>
      </c>
      <c r="AI278" s="15">
        <f t="shared" si="37"/>
        <v>39.768987343696317</v>
      </c>
      <c r="AJ278" s="17">
        <f t="shared" si="38"/>
        <v>0.3</v>
      </c>
      <c r="AK278" s="15">
        <f t="shared" si="39"/>
        <v>0.64101316496018812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2"/>
        <v>5956.734199999999</v>
      </c>
      <c r="M279" s="15"/>
      <c r="N279" s="15"/>
      <c r="O279" s="15"/>
      <c r="P279" s="15">
        <f t="shared" si="33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34"/>
        <v>3.9140050932422641</v>
      </c>
      <c r="W279" s="15">
        <v>2.29731</v>
      </c>
      <c r="X279" s="15"/>
      <c r="Y279" s="15"/>
      <c r="Z279" s="15"/>
      <c r="AA279" s="16">
        <f t="shared" si="35"/>
        <v>0.58694609364878614</v>
      </c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6"/>
        <v>1241.180063705915</v>
      </c>
      <c r="AH279" s="17">
        <v>1890.963876434048</v>
      </c>
      <c r="AI279" s="15">
        <f t="shared" si="37"/>
        <v>15.656020372969053</v>
      </c>
      <c r="AJ279" s="17">
        <f t="shared" si="38"/>
        <v>0.5</v>
      </c>
      <c r="AK279" s="15">
        <f t="shared" si="39"/>
        <v>0.58694609364878614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2"/>
        <v>5956.734199999999</v>
      </c>
      <c r="M280" s="15"/>
      <c r="N280" s="15"/>
      <c r="O280" s="15"/>
      <c r="P280" s="15">
        <f t="shared" si="33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34"/>
        <v>4.4861762487719279</v>
      </c>
      <c r="W280" s="15">
        <v>2.3126899999999999</v>
      </c>
      <c r="X280" s="15"/>
      <c r="Y280" s="15"/>
      <c r="Z280" s="15"/>
      <c r="AA280" s="16">
        <f t="shared" si="35"/>
        <v>0.51551474390536689</v>
      </c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6"/>
        <v>1090.1284284969956</v>
      </c>
      <c r="AH280" s="17">
        <v>1649.7885578004339</v>
      </c>
      <c r="AI280" s="15">
        <f t="shared" si="37"/>
        <v>7.9754244422612048</v>
      </c>
      <c r="AJ280" s="17">
        <f t="shared" si="38"/>
        <v>0.75</v>
      </c>
      <c r="AK280" s="15">
        <f t="shared" si="39"/>
        <v>0.51551474390536689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2"/>
        <v>5956.734199999999</v>
      </c>
      <c r="M281" s="15"/>
      <c r="N281" s="15"/>
      <c r="O281" s="15"/>
      <c r="P281" s="15">
        <f t="shared" si="33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34"/>
        <v>5.3450417358764319</v>
      </c>
      <c r="W281" s="15">
        <v>2.4282599999999999</v>
      </c>
      <c r="X281" s="15"/>
      <c r="Y281" s="15"/>
      <c r="Z281" s="15"/>
      <c r="AA281" s="16">
        <f t="shared" si="35"/>
        <v>0.45430141053928286</v>
      </c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6"/>
        <v>960.68422598999314</v>
      </c>
      <c r="AH281" s="17">
        <v>1384.6930686849744</v>
      </c>
      <c r="AI281" s="15">
        <f t="shared" si="37"/>
        <v>5.3450417358764311</v>
      </c>
      <c r="AJ281" s="17">
        <f t="shared" si="38"/>
        <v>1</v>
      </c>
      <c r="AK281" s="15">
        <f t="shared" si="39"/>
        <v>0.45430141053928286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2"/>
        <v>5956.734199999999</v>
      </c>
      <c r="M282" s="15"/>
      <c r="N282" s="15"/>
      <c r="O282" s="15"/>
      <c r="P282" s="15">
        <f t="shared" si="33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34"/>
        <v>7.0673815389772709</v>
      </c>
      <c r="W282" s="15">
        <v>2.5645099999999998</v>
      </c>
      <c r="X282" s="15"/>
      <c r="Y282" s="15"/>
      <c r="Z282" s="15"/>
      <c r="AA282" s="16">
        <f t="shared" si="35"/>
        <v>0.3628656505746134</v>
      </c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6"/>
        <v>767.33045192798238</v>
      </c>
      <c r="AH282" s="17">
        <v>1047.2396604996427</v>
      </c>
      <c r="AI282" s="15">
        <f t="shared" si="37"/>
        <v>3.9953539142841707</v>
      </c>
      <c r="AJ282" s="17">
        <f t="shared" si="38"/>
        <v>1.33</v>
      </c>
      <c r="AK282" s="15">
        <f t="shared" si="39"/>
        <v>0.3628656505746134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2"/>
        <v>5956.734199999999</v>
      </c>
      <c r="M283" s="15"/>
      <c r="N283" s="15"/>
      <c r="O283" s="15"/>
      <c r="P283" s="15">
        <f t="shared" si="33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34"/>
        <v>9.5577977063610788</v>
      </c>
      <c r="W283" s="15">
        <v>2.5904600000000002</v>
      </c>
      <c r="X283" s="15"/>
      <c r="Y283" s="15"/>
      <c r="Z283" s="15"/>
      <c r="AA283" s="16">
        <f t="shared" si="35"/>
        <v>0.27103105543612316</v>
      </c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6"/>
        <v>573.13328479835002</v>
      </c>
      <c r="AH283" s="17">
        <v>774.36690657034842</v>
      </c>
      <c r="AI283" s="15">
        <f t="shared" si="37"/>
        <v>3.4270851254476957</v>
      </c>
      <c r="AJ283" s="17">
        <f t="shared" si="38"/>
        <v>1.67</v>
      </c>
      <c r="AK283" s="15">
        <f t="shared" si="39"/>
        <v>0.27103105543612316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2"/>
        <v>5956.734199999999</v>
      </c>
      <c r="M284" s="15"/>
      <c r="N284" s="15"/>
      <c r="O284" s="15"/>
      <c r="P284" s="15">
        <f t="shared" si="33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34"/>
        <v>12.603472341119186</v>
      </c>
      <c r="W284" s="15">
        <v>2.5146299999999999</v>
      </c>
      <c r="X284" s="15"/>
      <c r="Y284" s="15"/>
      <c r="Z284" s="15"/>
      <c r="AA284" s="16">
        <f t="shared" si="35"/>
        <v>0.19951882560141368</v>
      </c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6"/>
        <v>421.91061726134063</v>
      </c>
      <c r="AH284" s="17">
        <v>587.23834536877882</v>
      </c>
      <c r="AI284" s="15">
        <f t="shared" si="37"/>
        <v>3.1508680852797957</v>
      </c>
      <c r="AJ284" s="17">
        <f t="shared" si="38"/>
        <v>2</v>
      </c>
      <c r="AK284" s="15">
        <f t="shared" si="39"/>
        <v>0.19951882560141368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2"/>
        <v>5956.734199999999</v>
      </c>
      <c r="M285" s="15"/>
      <c r="N285" s="15"/>
      <c r="O285" s="15"/>
      <c r="P285" s="15">
        <f t="shared" si="33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34"/>
        <v>18.291684640866546</v>
      </c>
      <c r="W285" s="15">
        <v>2.3963399999999999</v>
      </c>
      <c r="X285" s="15"/>
      <c r="Y285" s="15"/>
      <c r="Z285" s="15"/>
      <c r="AA285" s="16">
        <f t="shared" si="35"/>
        <v>0.1310070694443416</v>
      </c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6"/>
        <v>277.03287330531396</v>
      </c>
      <c r="AH285" s="17">
        <v>404.62332413956238</v>
      </c>
      <c r="AI285" s="15">
        <f t="shared" si="37"/>
        <v>2.9266695425386469</v>
      </c>
      <c r="AJ285" s="17">
        <f t="shared" si="38"/>
        <v>2.5</v>
      </c>
      <c r="AK285" s="15">
        <f t="shared" si="39"/>
        <v>0.1310070694443416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2"/>
        <v>4372.38</v>
      </c>
      <c r="M286" s="15"/>
      <c r="N286" s="15"/>
      <c r="O286" s="15"/>
      <c r="P286" s="15">
        <f t="shared" si="33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34"/>
        <v>3.5247992661699814</v>
      </c>
      <c r="W286" s="15">
        <v>1.95895</v>
      </c>
      <c r="X286" s="15"/>
      <c r="Y286" s="15"/>
      <c r="Z286" s="15"/>
      <c r="AA286" s="16">
        <f t="shared" si="35"/>
        <v>0.55576214475571517</v>
      </c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6"/>
        <v>862.65116670288296</v>
      </c>
      <c r="AH286" s="17">
        <v>1541.2741945736698</v>
      </c>
      <c r="AI286" s="15">
        <f t="shared" si="37"/>
        <v>39.164436290777559</v>
      </c>
      <c r="AJ286" s="17">
        <f t="shared" si="38"/>
        <v>0.30000000000000004</v>
      </c>
      <c r="AK286" s="15">
        <f t="shared" si="39"/>
        <v>0.55576214475571517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2"/>
        <v>4372.38</v>
      </c>
      <c r="M287" s="15"/>
      <c r="N287" s="15"/>
      <c r="O287" s="15"/>
      <c r="P287" s="15">
        <f t="shared" si="33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34"/>
        <v>3.8035956888898257</v>
      </c>
      <c r="W287" s="15">
        <v>1.9448000000000001</v>
      </c>
      <c r="X287" s="15"/>
      <c r="Y287" s="15"/>
      <c r="Z287" s="15"/>
      <c r="AA287" s="16">
        <f t="shared" si="35"/>
        <v>0.51130565892707658</v>
      </c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6"/>
        <v>793.64603612774783</v>
      </c>
      <c r="AH287" s="17">
        <v>1428.3016898637995</v>
      </c>
      <c r="AI287" s="15">
        <f t="shared" si="37"/>
        <v>15.214382755559306</v>
      </c>
      <c r="AJ287" s="17">
        <f t="shared" si="38"/>
        <v>0.49999999999999994</v>
      </c>
      <c r="AK287" s="15">
        <f t="shared" si="39"/>
        <v>0.51130565892707658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2"/>
        <v>4372.38</v>
      </c>
      <c r="M288" s="15"/>
      <c r="N288" s="15"/>
      <c r="O288" s="15"/>
      <c r="P288" s="15">
        <f t="shared" si="33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34"/>
        <v>4.2501812715537932</v>
      </c>
      <c r="W288" s="15">
        <v>1.8244499999999999</v>
      </c>
      <c r="X288" s="15"/>
      <c r="Y288" s="15"/>
      <c r="Z288" s="15"/>
      <c r="AA288" s="16">
        <f t="shared" si="35"/>
        <v>0.42926404391524042</v>
      </c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6"/>
        <v>666.30145971861225</v>
      </c>
      <c r="AH288" s="17">
        <v>1278.2236339801821</v>
      </c>
      <c r="AI288" s="15">
        <f t="shared" si="37"/>
        <v>7.5558778160956326</v>
      </c>
      <c r="AJ288" s="17">
        <f t="shared" si="38"/>
        <v>0.75</v>
      </c>
      <c r="AK288" s="15">
        <f t="shared" si="39"/>
        <v>0.42926404391524042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2"/>
        <v>4372.38</v>
      </c>
      <c r="M289" s="15"/>
      <c r="N289" s="15"/>
      <c r="O289" s="15"/>
      <c r="P289" s="15">
        <f t="shared" si="33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34"/>
        <v>4.882643851644163</v>
      </c>
      <c r="W289" s="15">
        <v>1.73878</v>
      </c>
      <c r="X289" s="15"/>
      <c r="Y289" s="15"/>
      <c r="Z289" s="15"/>
      <c r="AA289" s="16">
        <f t="shared" si="35"/>
        <v>0.35611444390204494</v>
      </c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6"/>
        <v>552.75902364109027</v>
      </c>
      <c r="AH289" s="17">
        <v>1112.6517344021763</v>
      </c>
      <c r="AI289" s="15">
        <f t="shared" si="37"/>
        <v>4.8826438516441639</v>
      </c>
      <c r="AJ289" s="17">
        <f t="shared" si="38"/>
        <v>0.99999999999999989</v>
      </c>
      <c r="AK289" s="15">
        <f t="shared" si="39"/>
        <v>0.35611444390204494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2"/>
        <v>4372.38</v>
      </c>
      <c r="M290" s="15"/>
      <c r="N290" s="15"/>
      <c r="O290" s="15"/>
      <c r="P290" s="15">
        <f t="shared" si="33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34"/>
        <v>6.132432893471532</v>
      </c>
      <c r="W290" s="15">
        <v>1.68215</v>
      </c>
      <c r="X290" s="15"/>
      <c r="Y290" s="15"/>
      <c r="Z290" s="15"/>
      <c r="AA290" s="16">
        <f t="shared" si="35"/>
        <v>0.27430385773822069</v>
      </c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6"/>
        <v>425.77304903159171</v>
      </c>
      <c r="AH290" s="17">
        <v>885.89345278992414</v>
      </c>
      <c r="AI290" s="15">
        <f t="shared" si="37"/>
        <v>3.4668058643628976</v>
      </c>
      <c r="AJ290" s="17">
        <f t="shared" si="38"/>
        <v>1.3300000000000003</v>
      </c>
      <c r="AK290" s="15">
        <f t="shared" si="39"/>
        <v>0.27430385773822069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2"/>
        <v>4372.38</v>
      </c>
      <c r="M291" s="15"/>
      <c r="N291" s="15"/>
      <c r="O291" s="15"/>
      <c r="P291" s="15">
        <f t="shared" si="33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34"/>
        <v>7.9820336197556756</v>
      </c>
      <c r="W291" s="15">
        <v>1.6514800000000001</v>
      </c>
      <c r="X291" s="15"/>
      <c r="Y291" s="15"/>
      <c r="Z291" s="15"/>
      <c r="AA291" s="16">
        <f t="shared" si="35"/>
        <v>0.20689965473367058</v>
      </c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6"/>
        <v>321.14858888936436</v>
      </c>
      <c r="AH291" s="17">
        <v>680.61378951775089</v>
      </c>
      <c r="AI291" s="15">
        <f t="shared" si="37"/>
        <v>2.8620723653611377</v>
      </c>
      <c r="AJ291" s="17">
        <f t="shared" si="38"/>
        <v>1.67</v>
      </c>
      <c r="AK291" s="15">
        <f t="shared" si="39"/>
        <v>0.20689965473367058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2"/>
        <v>4372.38</v>
      </c>
      <c r="M292" s="15"/>
      <c r="N292" s="15"/>
      <c r="O292" s="15"/>
      <c r="P292" s="15">
        <f t="shared" si="33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34"/>
        <v>10.294746250927696</v>
      </c>
      <c r="W292" s="15">
        <v>1.6196900000000001</v>
      </c>
      <c r="X292" s="15"/>
      <c r="Y292" s="15"/>
      <c r="Z292" s="15"/>
      <c r="AA292" s="16">
        <f t="shared" si="35"/>
        <v>0.15733170692323223</v>
      </c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6"/>
        <v>244.20947309453578</v>
      </c>
      <c r="AH292" s="17">
        <v>527.71404147143915</v>
      </c>
      <c r="AI292" s="15">
        <f t="shared" si="37"/>
        <v>2.5736865627319245</v>
      </c>
      <c r="AJ292" s="17">
        <f t="shared" si="38"/>
        <v>1.9999999999999998</v>
      </c>
      <c r="AK292" s="15">
        <f t="shared" si="39"/>
        <v>0.15733170692323223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32"/>
        <v>4372.38</v>
      </c>
      <c r="M293" s="42"/>
      <c r="N293" s="42"/>
      <c r="O293" s="42"/>
      <c r="P293" s="42">
        <f t="shared" si="33"/>
        <v>80673246.275399998</v>
      </c>
      <c r="Q293" s="42"/>
      <c r="R293" s="42"/>
      <c r="S293" s="42">
        <v>105.78625278178698</v>
      </c>
      <c r="T293" s="42">
        <v>355</v>
      </c>
      <c r="U293" s="42">
        <v>210000</v>
      </c>
      <c r="V293" s="42">
        <f t="shared" si="34"/>
        <v>14.672935841690373</v>
      </c>
      <c r="W293" s="42">
        <v>1.58378</v>
      </c>
      <c r="X293" s="42"/>
      <c r="Y293" s="42"/>
      <c r="Z293" s="42"/>
      <c r="AA293" s="41">
        <f t="shared" si="35"/>
        <v>0.1079388622077927</v>
      </c>
      <c r="AB293" s="42">
        <v>1.5093980321271014</v>
      </c>
      <c r="AC293" s="43">
        <v>2.5</v>
      </c>
      <c r="AD293" s="42"/>
      <c r="AE293" s="42" t="s">
        <v>623</v>
      </c>
      <c r="AF293" s="44" t="s">
        <v>5</v>
      </c>
      <c r="AG293" s="43">
        <f t="shared" si="36"/>
        <v>167.54215143073858</v>
      </c>
      <c r="AH293" s="43">
        <v>370.25188473625445</v>
      </c>
      <c r="AI293" s="42">
        <f t="shared" si="37"/>
        <v>2.3476697346704594</v>
      </c>
      <c r="AJ293" s="43">
        <f t="shared" si="38"/>
        <v>2.5</v>
      </c>
      <c r="AK293" s="42">
        <f t="shared" si="39"/>
        <v>0.1079388622077927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1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1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1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Q766"/>
  <sheetViews>
    <sheetView tabSelected="1" topLeftCell="P1" zoomScaleNormal="100" workbookViewId="0">
      <pane ySplit="5" topLeftCell="A173" activePane="bottomLeft" state="frozen"/>
      <selection pane="bottomLeft" activeCell="AA185" sqref="AA185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3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3" s="1" customFormat="1" ht="14.65" customHeight="1">
      <c r="I2" s="111" t="s">
        <v>0</v>
      </c>
      <c r="J2" s="112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3" s="1" customFormat="1" ht="15.4" customHeight="1">
      <c r="I3" s="113" t="s">
        <v>1</v>
      </c>
      <c r="J3" s="114"/>
      <c r="K3" s="13" t="s">
        <v>963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3" ht="29.25" customHeight="1">
      <c r="A4" s="25"/>
      <c r="B4" s="110" t="s">
        <v>26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26" t="s">
        <v>27</v>
      </c>
      <c r="T4" s="115" t="s">
        <v>30</v>
      </c>
      <c r="U4" s="115"/>
      <c r="V4" s="115" t="s">
        <v>515</v>
      </c>
      <c r="W4" s="115"/>
      <c r="X4" s="115"/>
      <c r="Y4" s="115"/>
      <c r="Z4" s="115"/>
      <c r="AA4" s="115"/>
      <c r="AB4" s="115"/>
      <c r="AC4" s="115"/>
      <c r="AD4" s="115"/>
      <c r="AE4" s="110" t="s">
        <v>3</v>
      </c>
      <c r="AF4" s="110" t="s">
        <v>4</v>
      </c>
      <c r="AG4" s="110" t="s">
        <v>224</v>
      </c>
      <c r="AH4" s="110" t="s">
        <v>225</v>
      </c>
      <c r="AI4" s="110" t="s">
        <v>223</v>
      </c>
      <c r="AJ4" s="110" t="s">
        <v>517</v>
      </c>
      <c r="AK4" s="110" t="s">
        <v>516</v>
      </c>
      <c r="AL4" s="110" t="s">
        <v>914</v>
      </c>
      <c r="AN4" s="109" t="s">
        <v>964</v>
      </c>
      <c r="AQ4" s="109" t="s">
        <v>965</v>
      </c>
    </row>
    <row r="5" spans="1:43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0"/>
      <c r="AF5" s="110"/>
      <c r="AG5" s="110"/>
      <c r="AH5" s="110"/>
      <c r="AI5" s="110"/>
      <c r="AJ5" s="110"/>
      <c r="AK5" s="110"/>
      <c r="AL5" s="110"/>
      <c r="AN5" s="109"/>
      <c r="AQ5" s="109"/>
    </row>
    <row r="6" spans="1:43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5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3.8555999999999999</v>
      </c>
      <c r="X6" s="15"/>
      <c r="Y6" s="15">
        <f>AK6</f>
        <v>1.0187131143735495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12924.79529947511</v>
      </c>
      <c r="AH6" s="17">
        <v>11732.748093205439</v>
      </c>
      <c r="AI6" s="106">
        <v>43.059948816022462</v>
      </c>
      <c r="AJ6" s="17">
        <f>(V6/AI6)^0.5</f>
        <v>0.29647172660107202</v>
      </c>
      <c r="AK6" s="15">
        <f>W6/V6</f>
        <v>1.0187131143735495</v>
      </c>
      <c r="AL6" s="56">
        <v>26.521000000000001</v>
      </c>
      <c r="AN6" s="105">
        <v>43.059948816022462</v>
      </c>
      <c r="AQ6" s="98">
        <f t="shared" ref="AQ6:AQ37" si="0">AI6/AN6</f>
        <v>1</v>
      </c>
    </row>
    <row r="7" spans="1:43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5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4.1362199999999998</v>
      </c>
      <c r="X7" s="15"/>
      <c r="Y7" s="15">
        <f t="shared" ref="Y7:Y70" si="2">AK7</f>
        <v>0.97062766669684031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3">W7*S7</f>
        <v>12314.717192757824</v>
      </c>
      <c r="AH7" s="17">
        <v>10420.507171923251</v>
      </c>
      <c r="AI7" s="106">
        <v>16.951000000000001</v>
      </c>
      <c r="AJ7" s="17">
        <f t="shared" ref="AJ7:AJ70" si="4">(V7/AI7)^0.5</f>
        <v>0.5013924846573633</v>
      </c>
      <c r="AK7" s="15">
        <f t="shared" ref="AK7:AK70" si="5">W7/V7</f>
        <v>0.97062766669684031</v>
      </c>
      <c r="AL7" s="5">
        <v>26.521000000000001</v>
      </c>
      <c r="AN7" s="105">
        <v>16.951000000000001</v>
      </c>
      <c r="AQ7" s="6">
        <f t="shared" si="0"/>
        <v>1</v>
      </c>
    </row>
    <row r="8" spans="1:43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5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4.0863699999999996</v>
      </c>
      <c r="X8" s="15"/>
      <c r="Y8" s="15">
        <f t="shared" si="2"/>
        <v>0.78891982356499668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3"/>
        <v>10009.321646502949</v>
      </c>
      <c r="AH8" s="17">
        <v>8573.0430095072952</v>
      </c>
      <c r="AI8" s="106">
        <v>9.3440999999999992</v>
      </c>
      <c r="AJ8" s="17">
        <f t="shared" si="4"/>
        <v>0.74453251753853744</v>
      </c>
      <c r="AK8" s="15">
        <f t="shared" si="5"/>
        <v>0.78891982356499668</v>
      </c>
      <c r="AL8" s="5">
        <v>26.521000000000001</v>
      </c>
      <c r="AN8" s="105">
        <v>9.3440999999999992</v>
      </c>
      <c r="AQ8" s="6">
        <f t="shared" si="0"/>
        <v>1</v>
      </c>
    </row>
    <row r="9" spans="1:43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5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4.38361</v>
      </c>
      <c r="X9" s="15"/>
      <c r="Y9" s="15">
        <f t="shared" si="2"/>
        <v>0.65887451745853198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3"/>
        <v>8359.3880809404418</v>
      </c>
      <c r="AH9" s="17">
        <v>6674.3752941734201</v>
      </c>
      <c r="AI9" s="106">
        <v>6.7995999999999999</v>
      </c>
      <c r="AJ9" s="17">
        <f t="shared" si="4"/>
        <v>0.98917450951524921</v>
      </c>
      <c r="AK9" s="15">
        <f t="shared" si="5"/>
        <v>0.65887451745853198</v>
      </c>
      <c r="AL9" s="5">
        <v>26.521000000000001</v>
      </c>
      <c r="AN9" s="105">
        <v>6.7995999999999999</v>
      </c>
      <c r="AQ9" s="6">
        <f t="shared" si="0"/>
        <v>1</v>
      </c>
    </row>
    <row r="10" spans="1:43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5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4.6275599999999999</v>
      </c>
      <c r="X10" s="15"/>
      <c r="Y10" s="15">
        <f t="shared" si="2"/>
        <v>0.48486349588664168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3"/>
        <v>6151.6449961247808</v>
      </c>
      <c r="AH10" s="17">
        <v>4652.7235706153424</v>
      </c>
      <c r="AI10" s="106">
        <v>5.5365000000000002</v>
      </c>
      <c r="AJ10" s="17">
        <f t="shared" si="4"/>
        <v>1.3129513463657247</v>
      </c>
      <c r="AK10" s="15">
        <f t="shared" si="5"/>
        <v>0.48486349588664168</v>
      </c>
      <c r="AL10" s="5">
        <v>26.521000000000001</v>
      </c>
      <c r="AN10" s="105">
        <v>5.5365000000000002</v>
      </c>
      <c r="AQ10" s="6">
        <f t="shared" si="0"/>
        <v>1</v>
      </c>
    </row>
    <row r="11" spans="1:43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5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4.4271000000000003</v>
      </c>
      <c r="X11" s="15"/>
      <c r="Y11" s="15">
        <f t="shared" si="2"/>
        <v>0.32695239054596464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3"/>
        <v>4148.1675860031082</v>
      </c>
      <c r="AH11" s="17">
        <v>3279.480145244263</v>
      </c>
      <c r="AI11" s="106">
        <v>4.9916</v>
      </c>
      <c r="AJ11" s="17">
        <f t="shared" si="4"/>
        <v>1.6470148670899953</v>
      </c>
      <c r="AK11" s="15">
        <f t="shared" si="5"/>
        <v>0.32695239054596464</v>
      </c>
      <c r="AL11" s="5">
        <v>26.521000000000001</v>
      </c>
      <c r="AN11" s="105">
        <v>4.9916</v>
      </c>
      <c r="AQ11" s="6">
        <f t="shared" si="0"/>
        <v>1</v>
      </c>
    </row>
    <row r="12" spans="1:43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5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4.0845599999999997</v>
      </c>
      <c r="X12" s="15"/>
      <c r="Y12" s="15">
        <f t="shared" si="2"/>
        <v>0.22306637278196431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4" t="s">
        <v>218</v>
      </c>
      <c r="AG12" s="17">
        <f t="shared" si="3"/>
        <v>2830.1267213745741</v>
      </c>
      <c r="AH12" s="17">
        <v>2425.0943858851406</v>
      </c>
      <c r="AI12" s="106">
        <v>4.7111999999999998</v>
      </c>
      <c r="AJ12" s="17">
        <f t="shared" si="4"/>
        <v>1.9714683833733562</v>
      </c>
      <c r="AK12" s="15">
        <f t="shared" si="5"/>
        <v>0.22306637278196431</v>
      </c>
      <c r="AL12" s="5">
        <v>26.521000000000001</v>
      </c>
      <c r="AN12" s="105">
        <v>4.7111999999999998</v>
      </c>
      <c r="AQ12" s="6">
        <f t="shared" si="0"/>
        <v>1</v>
      </c>
    </row>
    <row r="13" spans="1:43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5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3.7604700000000002</v>
      </c>
      <c r="X13" s="15"/>
      <c r="Y13" s="15">
        <f t="shared" si="2"/>
        <v>0.13866724567052971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3"/>
        <v>1759.323346039137</v>
      </c>
      <c r="AH13" s="17">
        <v>1637.4633253654408</v>
      </c>
      <c r="AI13" s="106">
        <v>4.4691999999999998</v>
      </c>
      <c r="AJ13" s="17">
        <f t="shared" si="4"/>
        <v>2.4633108767085972</v>
      </c>
      <c r="AK13" s="15">
        <f t="shared" si="5"/>
        <v>0.13866724567052971</v>
      </c>
      <c r="AL13" s="5">
        <v>26.521000000000001</v>
      </c>
      <c r="AN13" s="105">
        <v>4.4691999999999998</v>
      </c>
      <c r="AQ13" s="6">
        <f t="shared" si="0"/>
        <v>1</v>
      </c>
    </row>
    <row r="14" spans="1:43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3.8620999999999999</v>
      </c>
      <c r="X14" s="15"/>
      <c r="Y14" s="15">
        <f t="shared" si="2"/>
        <v>1.0233385779101531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3"/>
        <v>9981.4807547631681</v>
      </c>
      <c r="AH14" s="17">
        <v>9045.6442457914309</v>
      </c>
      <c r="AI14" s="106">
        <v>42.63916362874</v>
      </c>
      <c r="AJ14" s="17">
        <f t="shared" si="4"/>
        <v>0.29750738138153421</v>
      </c>
      <c r="AK14" s="15">
        <f t="shared" si="5"/>
        <v>1.0233385779101531</v>
      </c>
      <c r="AL14" s="56">
        <v>15.672000000000001</v>
      </c>
      <c r="AN14" s="105">
        <v>42.63916362874</v>
      </c>
      <c r="AQ14" s="98">
        <f t="shared" si="0"/>
        <v>1</v>
      </c>
    </row>
    <row r="15" spans="1:43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4.0963599999999998</v>
      </c>
      <c r="X15" s="15"/>
      <c r="Y15" s="15">
        <f t="shared" si="2"/>
        <v>0.96401337423408162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3"/>
        <v>9402.8322101393551</v>
      </c>
      <c r="AH15" s="17">
        <v>8033.9405558807684</v>
      </c>
      <c r="AI15" s="106">
        <v>16.736999999999998</v>
      </c>
      <c r="AJ15" s="17">
        <f t="shared" si="4"/>
        <v>0.50387025423514742</v>
      </c>
      <c r="AK15" s="15">
        <f t="shared" si="5"/>
        <v>0.96401337423408162</v>
      </c>
      <c r="AL15" s="5">
        <v>15.672000000000001</v>
      </c>
      <c r="AN15" s="105">
        <v>16.736999999999998</v>
      </c>
      <c r="AQ15" s="6">
        <f t="shared" si="0"/>
        <v>1</v>
      </c>
    </row>
    <row r="16" spans="1:43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4.01586</v>
      </c>
      <c r="X16" s="15"/>
      <c r="Y16" s="15">
        <f t="shared" si="2"/>
        <v>0.77751656818976944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3"/>
        <v>7583.7722034721</v>
      </c>
      <c r="AH16" s="17">
        <v>6609.5936392584281</v>
      </c>
      <c r="AI16" s="106">
        <v>9.2507000000000001</v>
      </c>
      <c r="AJ16" s="17">
        <f t="shared" si="4"/>
        <v>0.74721771131911685</v>
      </c>
      <c r="AK16" s="15">
        <f t="shared" si="5"/>
        <v>0.77751656818976944</v>
      </c>
      <c r="AL16" s="5">
        <v>15.672000000000001</v>
      </c>
      <c r="AN16" s="105">
        <v>9.2507000000000001</v>
      </c>
      <c r="AQ16" s="6">
        <f t="shared" si="0"/>
        <v>1</v>
      </c>
    </row>
    <row r="17" spans="1:43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4.3561300000000003</v>
      </c>
      <c r="X17" s="15"/>
      <c r="Y17" s="15">
        <f t="shared" si="2"/>
        <v>0.65661007238766389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3"/>
        <v>6404.4695884576913</v>
      </c>
      <c r="AH17" s="17">
        <v>5145.7701123708239</v>
      </c>
      <c r="AI17" s="106">
        <v>6.7378999999999998</v>
      </c>
      <c r="AJ17" s="17">
        <f t="shared" si="4"/>
        <v>0.99228029052843447</v>
      </c>
      <c r="AK17" s="15">
        <f t="shared" si="5"/>
        <v>0.65661007238766389</v>
      </c>
      <c r="AL17" s="5">
        <v>15.672000000000001</v>
      </c>
      <c r="AN17" s="105">
        <v>6.7378999999999998</v>
      </c>
      <c r="AQ17" s="6">
        <f t="shared" si="0"/>
        <v>1</v>
      </c>
    </row>
    <row r="18" spans="1:43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4.6087999999999996</v>
      </c>
      <c r="X18" s="15"/>
      <c r="Y18" s="15">
        <f t="shared" si="2"/>
        <v>0.48427405088631992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3"/>
        <v>4723.5316084970227</v>
      </c>
      <c r="AH18" s="17">
        <v>3587.129107303329</v>
      </c>
      <c r="AI18" s="106">
        <v>5.4893000000000001</v>
      </c>
      <c r="AJ18" s="17">
        <f t="shared" si="4"/>
        <v>1.3167091349710243</v>
      </c>
      <c r="AK18" s="15">
        <f t="shared" si="5"/>
        <v>0.48427405088631992</v>
      </c>
      <c r="AL18" s="5">
        <v>15.672000000000001</v>
      </c>
      <c r="AN18" s="105">
        <v>5.4893000000000001</v>
      </c>
      <c r="AQ18" s="6">
        <f t="shared" si="0"/>
        <v>1</v>
      </c>
    </row>
    <row r="19" spans="1:43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4.4131400000000003</v>
      </c>
      <c r="X19" s="15"/>
      <c r="Y19" s="15">
        <f t="shared" si="2"/>
        <v>0.32685023119358075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3"/>
        <v>3188.0448590251954</v>
      </c>
      <c r="AH19" s="17">
        <v>2528.3940701151973</v>
      </c>
      <c r="AI19" s="106">
        <v>4.9505999999999997</v>
      </c>
      <c r="AJ19" s="17">
        <f t="shared" si="4"/>
        <v>1.6514694167873953</v>
      </c>
      <c r="AK19" s="15">
        <f t="shared" si="5"/>
        <v>0.32685023119358075</v>
      </c>
      <c r="AL19" s="5">
        <v>15.672000000000001</v>
      </c>
      <c r="AN19" s="105">
        <v>4.9505999999999997</v>
      </c>
      <c r="AQ19" s="6">
        <f t="shared" si="0"/>
        <v>1</v>
      </c>
    </row>
    <row r="20" spans="1:43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4.0778499999999998</v>
      </c>
      <c r="X20" s="15"/>
      <c r="Y20" s="15">
        <f t="shared" si="2"/>
        <v>0.22333458317710916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3"/>
        <v>2178.3697907762144</v>
      </c>
      <c r="AH20" s="17">
        <v>1869.6848260031022</v>
      </c>
      <c r="AI20" s="106">
        <v>4.6730999999999998</v>
      </c>
      <c r="AJ20" s="17">
        <f t="shared" si="4"/>
        <v>1.9766742135973967</v>
      </c>
      <c r="AK20" s="15">
        <f t="shared" si="5"/>
        <v>0.22333458317710916</v>
      </c>
      <c r="AL20" s="5">
        <v>15.672000000000001</v>
      </c>
      <c r="AN20" s="105">
        <v>4.6730999999999998</v>
      </c>
      <c r="AQ20" s="6">
        <f t="shared" si="0"/>
        <v>1</v>
      </c>
    </row>
    <row r="21" spans="1:43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3.76464</v>
      </c>
      <c r="X21" s="15"/>
      <c r="Y21" s="15">
        <f t="shared" si="2"/>
        <v>0.13921663099944792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3"/>
        <v>1357.8967441076552</v>
      </c>
      <c r="AH21" s="17">
        <v>1262.4417220177211</v>
      </c>
      <c r="AI21" s="106">
        <v>4.4336000000000002</v>
      </c>
      <c r="AJ21" s="17">
        <f t="shared" si="4"/>
        <v>2.4696642329825638</v>
      </c>
      <c r="AK21" s="15">
        <f t="shared" si="5"/>
        <v>0.13921663099944792</v>
      </c>
      <c r="AL21" s="5">
        <v>15.672000000000001</v>
      </c>
      <c r="AN21" s="105">
        <v>4.4336000000000002</v>
      </c>
      <c r="AQ21" s="6">
        <f t="shared" si="0"/>
        <v>1</v>
      </c>
    </row>
    <row r="22" spans="1:43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5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3.86416</v>
      </c>
      <c r="X22" s="15"/>
      <c r="Y22" s="15">
        <f t="shared" si="2"/>
        <v>1.0257399576536981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3"/>
        <v>8719.2209637086271</v>
      </c>
      <c r="AH22" s="17">
        <v>7897.5180564418115</v>
      </c>
      <c r="AI22" s="106">
        <v>15.577999999999999</v>
      </c>
      <c r="AJ22" s="17">
        <f t="shared" si="4"/>
        <v>0.49175984548526802</v>
      </c>
      <c r="AK22" s="15">
        <f t="shared" si="5"/>
        <v>1.0257399576536981</v>
      </c>
      <c r="AL22" s="56">
        <v>10.936</v>
      </c>
      <c r="AN22" s="105">
        <v>15.577999999999999</v>
      </c>
      <c r="AQ22" s="98">
        <f t="shared" si="0"/>
        <v>1</v>
      </c>
    </row>
    <row r="23" spans="1:43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5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4.0656400000000001</v>
      </c>
      <c r="X23" s="15"/>
      <c r="Y23" s="15">
        <f t="shared" si="2"/>
        <v>0.95851784854839284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3"/>
        <v>8147.8047694166544</v>
      </c>
      <c r="AH23" s="17">
        <v>7014.2257290262514</v>
      </c>
      <c r="AI23" s="106">
        <v>16.600999999999999</v>
      </c>
      <c r="AJ23" s="17">
        <f t="shared" si="4"/>
        <v>0.50547215126800593</v>
      </c>
      <c r="AK23" s="15">
        <f t="shared" si="5"/>
        <v>0.95851784854839284</v>
      </c>
      <c r="AL23" s="5">
        <v>10.936</v>
      </c>
      <c r="AN23" s="105">
        <v>16.600999999999999</v>
      </c>
      <c r="AQ23" s="6">
        <f t="shared" si="0"/>
        <v>1</v>
      </c>
    </row>
    <row r="24" spans="1:43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5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3.97471</v>
      </c>
      <c r="X24" s="15"/>
      <c r="Y24" s="15">
        <f t="shared" si="2"/>
        <v>0.77094407819179489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3"/>
        <v>6553.3488466151357</v>
      </c>
      <c r="AH24" s="17">
        <v>5770.6652719702761</v>
      </c>
      <c r="AI24" s="106">
        <v>9.1949000000000005</v>
      </c>
      <c r="AJ24" s="17">
        <f t="shared" si="4"/>
        <v>0.74880335244639362</v>
      </c>
      <c r="AK24" s="15">
        <f t="shared" si="5"/>
        <v>0.77094407819179489</v>
      </c>
      <c r="AL24" s="5">
        <v>10.936</v>
      </c>
      <c r="AN24" s="105">
        <v>9.1949000000000005</v>
      </c>
      <c r="AQ24" s="6">
        <f t="shared" si="0"/>
        <v>1</v>
      </c>
    </row>
    <row r="25" spans="1:43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5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4.3424199999999997</v>
      </c>
      <c r="X25" s="15"/>
      <c r="Y25" s="15">
        <f t="shared" si="2"/>
        <v>0.65572973243286881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3"/>
        <v>5573.9784600318735</v>
      </c>
      <c r="AH25" s="17">
        <v>4492.6388074188026</v>
      </c>
      <c r="AI25" s="106">
        <v>6.7024999999999997</v>
      </c>
      <c r="AJ25" s="17">
        <f t="shared" si="4"/>
        <v>0.99399697729636383</v>
      </c>
      <c r="AK25" s="15">
        <f t="shared" si="5"/>
        <v>0.65572973243286881</v>
      </c>
      <c r="AL25" s="5">
        <v>10.936</v>
      </c>
      <c r="AN25" s="105">
        <v>6.7024999999999997</v>
      </c>
      <c r="AQ25" s="6">
        <f t="shared" si="0"/>
        <v>1</v>
      </c>
    </row>
    <row r="26" spans="1:43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5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4.6031599999999999</v>
      </c>
      <c r="X26" s="15"/>
      <c r="Y26" s="15">
        <f t="shared" si="2"/>
        <v>0.48455797800243861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3"/>
        <v>4118.9465696504785</v>
      </c>
      <c r="AH26" s="17">
        <v>3131.8296547972859</v>
      </c>
      <c r="AI26" s="106">
        <v>5.4630999999999998</v>
      </c>
      <c r="AJ26" s="17">
        <f t="shared" si="4"/>
        <v>1.3186683604619418</v>
      </c>
      <c r="AK26" s="15">
        <f t="shared" si="5"/>
        <v>0.48455797800243861</v>
      </c>
      <c r="AL26" s="5">
        <v>10.936</v>
      </c>
      <c r="AN26" s="105">
        <v>5.4630999999999998</v>
      </c>
      <c r="AQ26" s="6">
        <f t="shared" si="0"/>
        <v>1</v>
      </c>
    </row>
    <row r="27" spans="1:43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5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4.4055999999999997</v>
      </c>
      <c r="X27" s="15"/>
      <c r="Y27" s="15">
        <f t="shared" si="2"/>
        <v>0.32688312133401404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3"/>
        <v>2778.64398569164</v>
      </c>
      <c r="AH27" s="17">
        <v>2207.4754743782323</v>
      </c>
      <c r="AI27" s="106">
        <v>4.9276</v>
      </c>
      <c r="AJ27" s="17">
        <f t="shared" si="4"/>
        <v>1.6538212211510712</v>
      </c>
      <c r="AK27" s="15">
        <f t="shared" si="5"/>
        <v>0.32688312133401404</v>
      </c>
      <c r="AL27" s="5">
        <v>10.936</v>
      </c>
      <c r="AN27" s="105">
        <v>4.9276</v>
      </c>
      <c r="AQ27" s="6">
        <f t="shared" si="0"/>
        <v>1</v>
      </c>
    </row>
    <row r="28" spans="1:43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5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4.07491</v>
      </c>
      <c r="X28" s="15"/>
      <c r="Y28" s="15">
        <f t="shared" si="2"/>
        <v>0.22357801411718653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3"/>
        <v>1900.5071345510216</v>
      </c>
      <c r="AH28" s="17">
        <v>1632.3734685989571</v>
      </c>
      <c r="AI28" s="106">
        <v>4.6520999999999999</v>
      </c>
      <c r="AJ28" s="17">
        <f t="shared" si="4"/>
        <v>1.9793379095950698</v>
      </c>
      <c r="AK28" s="15">
        <f t="shared" si="5"/>
        <v>0.22357801411718653</v>
      </c>
      <c r="AL28" s="5">
        <v>10.936</v>
      </c>
      <c r="AN28" s="105">
        <v>4.6520999999999999</v>
      </c>
      <c r="AQ28" s="6">
        <f t="shared" si="0"/>
        <v>1</v>
      </c>
    </row>
    <row r="29" spans="1:43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5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3.7677700000000001</v>
      </c>
      <c r="X29" s="15"/>
      <c r="Y29" s="15">
        <f t="shared" si="2"/>
        <v>0.13958488480899567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3"/>
        <v>1186.5302163205256</v>
      </c>
      <c r="AH29" s="17">
        <v>1102.2052187691497</v>
      </c>
      <c r="AI29" s="106">
        <v>4.4139999999999997</v>
      </c>
      <c r="AJ29" s="17">
        <f t="shared" si="4"/>
        <v>2.4729015754724109</v>
      </c>
      <c r="AK29" s="15">
        <f t="shared" si="5"/>
        <v>0.13958488480899567</v>
      </c>
      <c r="AL29" s="5">
        <v>10.936</v>
      </c>
      <c r="AN29" s="105">
        <v>4.4139999999999997</v>
      </c>
      <c r="AQ29" s="6">
        <f t="shared" si="0"/>
        <v>1</v>
      </c>
    </row>
    <row r="30" spans="1:43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5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3.86768</v>
      </c>
      <c r="X30" s="15"/>
      <c r="Y30" s="15">
        <f t="shared" si="2"/>
        <v>1.0302345937397397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3"/>
        <v>7026.5141508561155</v>
      </c>
      <c r="AH30" s="17">
        <v>6358.5403983774268</v>
      </c>
      <c r="AI30" s="106">
        <v>42.050022134952336</v>
      </c>
      <c r="AJ30" s="17">
        <f t="shared" si="4"/>
        <v>0.29879552482933619</v>
      </c>
      <c r="AK30" s="15">
        <f t="shared" si="5"/>
        <v>1.0302345937397397</v>
      </c>
      <c r="AL30" s="56">
        <v>6.1308999999999996</v>
      </c>
      <c r="AN30" s="105">
        <v>42.050022134952336</v>
      </c>
      <c r="AQ30" s="98">
        <f t="shared" si="0"/>
        <v>1</v>
      </c>
    </row>
    <row r="31" spans="1:43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5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3.9754499999999999</v>
      </c>
      <c r="X31" s="15"/>
      <c r="Y31" s="15">
        <f t="shared" si="2"/>
        <v>0.94050476498925339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3"/>
        <v>6414.5293511800301</v>
      </c>
      <c r="AH31" s="17">
        <v>5647.3739398382841</v>
      </c>
      <c r="AI31" s="106">
        <v>17.044317632338284</v>
      </c>
      <c r="AJ31" s="17">
        <f t="shared" si="4"/>
        <v>0.49799254138222698</v>
      </c>
      <c r="AK31" s="15">
        <f t="shared" si="5"/>
        <v>0.94050476498925339</v>
      </c>
      <c r="AL31" s="5">
        <v>6.1308999999999996</v>
      </c>
      <c r="AN31" s="105">
        <v>17.044317632338284</v>
      </c>
      <c r="AQ31" s="98">
        <f t="shared" si="0"/>
        <v>1</v>
      </c>
    </row>
    <row r="32" spans="1:43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5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3.8986700000000001</v>
      </c>
      <c r="X32" s="15"/>
      <c r="Y32" s="15">
        <f t="shared" si="2"/>
        <v>0.75881747966484991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3"/>
        <v>5175.3666506455738</v>
      </c>
      <c r="AH32" s="17">
        <v>4646.1442690095619</v>
      </c>
      <c r="AI32" s="106">
        <v>9.0890000000000004</v>
      </c>
      <c r="AJ32" s="17">
        <f t="shared" si="4"/>
        <v>0.75185055241377818</v>
      </c>
      <c r="AK32" s="15">
        <f t="shared" si="5"/>
        <v>0.75881747966484991</v>
      </c>
      <c r="AL32" s="5">
        <v>6.1308999999999996</v>
      </c>
      <c r="AN32" s="105">
        <v>9.0890000000000004</v>
      </c>
      <c r="AQ32" s="6">
        <f t="shared" si="0"/>
        <v>1</v>
      </c>
    </row>
    <row r="33" spans="1:43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5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4.3240699999999999</v>
      </c>
      <c r="X33" s="15"/>
      <c r="Y33" s="15">
        <f t="shared" si="2"/>
        <v>0.6552230796265035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3"/>
        <v>4468.8212460920404</v>
      </c>
      <c r="AH33" s="17">
        <v>3617.1649305682245</v>
      </c>
      <c r="AI33" s="106">
        <v>6.6388999999999996</v>
      </c>
      <c r="AJ33" s="17">
        <f t="shared" si="4"/>
        <v>0.99701961169883668</v>
      </c>
      <c r="AK33" s="15">
        <f t="shared" si="5"/>
        <v>0.6552230796265035</v>
      </c>
      <c r="AL33" s="5">
        <v>6.1308999999999996</v>
      </c>
      <c r="AN33" s="105">
        <v>6.6388999999999996</v>
      </c>
      <c r="AQ33" s="6">
        <f t="shared" si="0"/>
        <v>1</v>
      </c>
    </row>
    <row r="34" spans="1:43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5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4.5959199999999996</v>
      </c>
      <c r="X34" s="15"/>
      <c r="Y34" s="15">
        <f t="shared" si="2"/>
        <v>0.48547353406011506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3"/>
        <v>3311.0775717178731</v>
      </c>
      <c r="AH34" s="17">
        <v>2521.5346439913133</v>
      </c>
      <c r="AI34" s="106">
        <v>5.4168000000000003</v>
      </c>
      <c r="AJ34" s="17">
        <f t="shared" si="4"/>
        <v>1.3220018116915118</v>
      </c>
      <c r="AK34" s="15">
        <f t="shared" si="5"/>
        <v>0.48547353406011506</v>
      </c>
      <c r="AL34" s="5">
        <v>6.1308999999999996</v>
      </c>
      <c r="AN34" s="105">
        <v>5.4168000000000003</v>
      </c>
      <c r="AQ34" s="6">
        <f t="shared" si="0"/>
        <v>1</v>
      </c>
    </row>
    <row r="35" spans="1:43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5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4.3931100000000001</v>
      </c>
      <c r="X35" s="15"/>
      <c r="Y35" s="15">
        <f t="shared" si="2"/>
        <v>0.32708673484558348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3"/>
        <v>2230.8312931010073</v>
      </c>
      <c r="AH35" s="17">
        <v>1777.3079949861317</v>
      </c>
      <c r="AI35" s="106">
        <v>4.8888999999999996</v>
      </c>
      <c r="AJ35" s="17">
        <f t="shared" si="4"/>
        <v>1.6574826693812967</v>
      </c>
      <c r="AK35" s="15">
        <f t="shared" si="5"/>
        <v>0.32708673484558348</v>
      </c>
      <c r="AL35" s="5">
        <v>6.1308999999999996</v>
      </c>
      <c r="AN35" s="105">
        <v>4.8888999999999996</v>
      </c>
      <c r="AQ35" s="6">
        <f t="shared" si="0"/>
        <v>1</v>
      </c>
    </row>
    <row r="36" spans="1:43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5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4.0699899999999998</v>
      </c>
      <c r="X36" s="15"/>
      <c r="Y36" s="15">
        <f t="shared" si="2"/>
        <v>0.22408244584621367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3"/>
        <v>1528.3106258171606</v>
      </c>
      <c r="AH36" s="17">
        <v>1314.2752661210623</v>
      </c>
      <c r="AI36" s="106">
        <v>4.6165000000000003</v>
      </c>
      <c r="AJ36" s="17">
        <f t="shared" si="4"/>
        <v>1.9835188545521034</v>
      </c>
      <c r="AK36" s="15">
        <f t="shared" si="5"/>
        <v>0.22408244584621367</v>
      </c>
      <c r="AL36" s="5">
        <v>6.1308999999999996</v>
      </c>
      <c r="AN36" s="105">
        <v>4.6165000000000003</v>
      </c>
      <c r="AQ36" s="6">
        <f t="shared" si="0"/>
        <v>1</v>
      </c>
    </row>
    <row r="37" spans="1:43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5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3.7741500000000001</v>
      </c>
      <c r="X37" s="15"/>
      <c r="Y37" s="15">
        <f t="shared" si="2"/>
        <v>0.1403061107710572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3"/>
        <v>956.93046882239537</v>
      </c>
      <c r="AH37" s="17">
        <v>887.42011867000087</v>
      </c>
      <c r="AI37" s="106">
        <v>4.3815</v>
      </c>
      <c r="AJ37" s="17">
        <f t="shared" si="4"/>
        <v>2.4777636492823336</v>
      </c>
      <c r="AK37" s="15">
        <f t="shared" si="5"/>
        <v>0.1403061107710572</v>
      </c>
      <c r="AL37" s="5">
        <v>6.1308999999999996</v>
      </c>
      <c r="AN37" s="105">
        <v>4.3815</v>
      </c>
      <c r="AQ37" s="6">
        <f t="shared" si="0"/>
        <v>1</v>
      </c>
    </row>
    <row r="38" spans="1:43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5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3.8597899999999998</v>
      </c>
      <c r="X38" s="15"/>
      <c r="Y38" s="15">
        <f t="shared" si="2"/>
        <v>1.0319713566839466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3"/>
        <v>5799.9086381906427</v>
      </c>
      <c r="AH38" s="17">
        <v>5259.2706426171508</v>
      </c>
      <c r="AI38" s="106">
        <v>41.735015378530434</v>
      </c>
      <c r="AJ38" s="17">
        <f t="shared" si="4"/>
        <v>0.29936272799904123</v>
      </c>
      <c r="AK38" s="15">
        <f t="shared" si="5"/>
        <v>1.0319713566839466</v>
      </c>
      <c r="AL38" s="56">
        <v>3.2757000000000001</v>
      </c>
      <c r="AN38" s="105">
        <v>41.735015378530434</v>
      </c>
      <c r="AQ38" s="98">
        <f t="shared" ref="AQ38:AQ69" si="6">AI38/AN38</f>
        <v>1</v>
      </c>
    </row>
    <row r="39" spans="1:43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5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3.8633000000000002</v>
      </c>
      <c r="X39" s="15"/>
      <c r="Y39" s="15">
        <f t="shared" si="2"/>
        <v>0.91738473900089201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3"/>
        <v>5155.9063512894418</v>
      </c>
      <c r="AH39" s="17">
        <v>4671.0512332754497</v>
      </c>
      <c r="AI39" s="106">
        <v>16.916634579150902</v>
      </c>
      <c r="AJ39" s="17">
        <f t="shared" si="4"/>
        <v>0.49893787999840211</v>
      </c>
      <c r="AK39" s="15">
        <f t="shared" si="5"/>
        <v>0.91738473900089201</v>
      </c>
      <c r="AL39" s="5">
        <v>3.2757000000000001</v>
      </c>
      <c r="AN39" s="105">
        <v>16.916634579150902</v>
      </c>
      <c r="AQ39" s="98">
        <f t="shared" si="6"/>
        <v>1</v>
      </c>
    </row>
    <row r="40" spans="1:43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3.8212700000000002</v>
      </c>
      <c r="X40" s="15"/>
      <c r="Y40" s="15">
        <f t="shared" si="2"/>
        <v>0.74652945451564967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3"/>
        <v>4195.6616371815817</v>
      </c>
      <c r="AH40" s="17">
        <v>3842.9149811804809</v>
      </c>
      <c r="AI40" s="106">
        <v>9.1387185914606928</v>
      </c>
      <c r="AJ40" s="17">
        <f t="shared" si="4"/>
        <v>0.74840681999760295</v>
      </c>
      <c r="AK40" s="15">
        <f t="shared" si="5"/>
        <v>0.74652945451564967</v>
      </c>
      <c r="AL40" s="5">
        <v>3.2757000000000001</v>
      </c>
      <c r="AN40" s="105">
        <v>9.1387185914606928</v>
      </c>
      <c r="AQ40" s="98">
        <f t="shared" si="6"/>
        <v>1</v>
      </c>
    </row>
    <row r="41" spans="1:43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4.3085899999999997</v>
      </c>
      <c r="X41" s="15"/>
      <c r="Y41" s="15">
        <f t="shared" si="2"/>
        <v>0.65531485436110493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3"/>
        <v>3683.0152890645059</v>
      </c>
      <c r="AH41" s="17">
        <v>2991.8264471035236</v>
      </c>
      <c r="AI41" s="106">
        <v>6.6028618480120294</v>
      </c>
      <c r="AJ41" s="17">
        <f t="shared" si="4"/>
        <v>0.99787575999680422</v>
      </c>
      <c r="AK41" s="15">
        <f t="shared" si="5"/>
        <v>0.65531485436110493</v>
      </c>
      <c r="AL41" s="5">
        <v>3.2757000000000001</v>
      </c>
      <c r="AN41" s="105">
        <v>6.6028618480120294</v>
      </c>
      <c r="AQ41" s="98">
        <f t="shared" si="6"/>
        <v>1</v>
      </c>
    </row>
    <row r="42" spans="1:43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4.5886800000000001</v>
      </c>
      <c r="X42" s="15"/>
      <c r="Y42" s="15">
        <f t="shared" si="2"/>
        <v>0.4865183705943566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3"/>
        <v>2734.3414930777421</v>
      </c>
      <c r="AH42" s="17">
        <v>2085.6096362727617</v>
      </c>
      <c r="AI42" s="106">
        <v>5.3696999999999999</v>
      </c>
      <c r="AJ42" s="17">
        <f t="shared" si="4"/>
        <v>1.325315426254932</v>
      </c>
      <c r="AK42" s="15">
        <f t="shared" si="5"/>
        <v>0.4865183705943566</v>
      </c>
      <c r="AL42" s="5">
        <v>3.2757000000000001</v>
      </c>
      <c r="AN42" s="105">
        <v>5.3696999999999999</v>
      </c>
      <c r="AQ42" s="6">
        <f t="shared" si="6"/>
        <v>1</v>
      </c>
    </row>
    <row r="43" spans="1:43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4.37981</v>
      </c>
      <c r="X43" s="15"/>
      <c r="Y43" s="15">
        <f t="shared" si="2"/>
        <v>0.32731393635677458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3"/>
        <v>1839.5771496759128</v>
      </c>
      <c r="AH43" s="17">
        <v>1470.0455097060592</v>
      </c>
      <c r="AI43" s="106">
        <v>4.8505000000000003</v>
      </c>
      <c r="AJ43" s="17">
        <f t="shared" si="4"/>
        <v>1.6609330708451666</v>
      </c>
      <c r="AK43" s="15">
        <f t="shared" si="5"/>
        <v>0.32731393635677458</v>
      </c>
      <c r="AL43" s="5">
        <v>3.2757000000000001</v>
      </c>
      <c r="AN43" s="105">
        <v>4.8505000000000003</v>
      </c>
      <c r="AQ43" s="6">
        <f t="shared" si="6"/>
        <v>1</v>
      </c>
    </row>
    <row r="44" spans="1:43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4.0648900000000001</v>
      </c>
      <c r="X44" s="15"/>
      <c r="Y44" s="15">
        <f t="shared" si="2"/>
        <v>0.22463719326507553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4" t="s">
        <v>218</v>
      </c>
      <c r="AG44" s="17">
        <f t="shared" si="3"/>
        <v>1262.5110079252263</v>
      </c>
      <c r="AH44" s="17">
        <v>1087.0622643511365</v>
      </c>
      <c r="AI44" s="106">
        <v>4.5826000000000002</v>
      </c>
      <c r="AJ44" s="17">
        <f t="shared" si="4"/>
        <v>1.9871360000721772</v>
      </c>
      <c r="AK44" s="15">
        <f t="shared" si="5"/>
        <v>0.22463719326507553</v>
      </c>
      <c r="AL44" s="5">
        <v>3.2757000000000001</v>
      </c>
      <c r="AN44" s="105">
        <v>4.5826000000000002</v>
      </c>
      <c r="AQ44" s="6">
        <f t="shared" si="6"/>
        <v>1</v>
      </c>
    </row>
    <row r="45" spans="1:43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3.7800199999999999</v>
      </c>
      <c r="X45" s="15"/>
      <c r="Y45" s="15">
        <f t="shared" si="2"/>
        <v>0.14104896372487041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3"/>
        <v>792.7265595282006</v>
      </c>
      <c r="AH45" s="17">
        <v>734.00219002775179</v>
      </c>
      <c r="AI45" s="106">
        <v>4.3507999999999996</v>
      </c>
      <c r="AJ45" s="17">
        <f t="shared" si="4"/>
        <v>2.4818614825087537</v>
      </c>
      <c r="AK45" s="15">
        <f t="shared" si="5"/>
        <v>0.14104896372487041</v>
      </c>
      <c r="AL45" s="5">
        <v>3.2757000000000001</v>
      </c>
      <c r="AN45" s="105">
        <v>4.3507999999999996</v>
      </c>
      <c r="AQ45" s="6">
        <f t="shared" si="6"/>
        <v>1</v>
      </c>
    </row>
    <row r="46" spans="1:43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5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3.8457400000000002</v>
      </c>
      <c r="X46" s="15"/>
      <c r="Y46" s="15">
        <f t="shared" si="2"/>
        <v>1.0310082425585927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3"/>
        <v>5134.6050829130882</v>
      </c>
      <c r="AH46" s="17">
        <v>4672.9934395450055</v>
      </c>
      <c r="AI46" s="106">
        <v>41.542904551397591</v>
      </c>
      <c r="AJ46" s="17">
        <f t="shared" si="4"/>
        <v>0.29964736441136586</v>
      </c>
      <c r="AK46" s="15">
        <f t="shared" si="5"/>
        <v>1.0310082425585927</v>
      </c>
      <c r="AL46" s="56">
        <v>1.7927999999999999</v>
      </c>
      <c r="AN46" s="105">
        <v>41.542904551397591</v>
      </c>
      <c r="AQ46" s="98">
        <f t="shared" si="6"/>
        <v>1</v>
      </c>
    </row>
    <row r="47" spans="1:43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5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3.80647</v>
      </c>
      <c r="X47" s="15"/>
      <c r="Y47" s="15">
        <f t="shared" si="2"/>
        <v>0.9063454101612668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3"/>
        <v>4513.761925258822</v>
      </c>
      <c r="AH47" s="17">
        <v>4150.3457897752714</v>
      </c>
      <c r="AI47" s="106">
        <v>16.838765465366503</v>
      </c>
      <c r="AJ47" s="17">
        <f t="shared" si="4"/>
        <v>0.49941227401894306</v>
      </c>
      <c r="AK47" s="15">
        <f t="shared" si="5"/>
        <v>0.9063454101612668</v>
      </c>
      <c r="AL47" s="5">
        <v>1.7927999999999999</v>
      </c>
      <c r="AN47" s="105">
        <f>AI47</f>
        <v>16.838765465366503</v>
      </c>
      <c r="AQ47" s="98">
        <f t="shared" si="6"/>
        <v>1</v>
      </c>
    </row>
    <row r="48" spans="1:43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5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3.7637999999999998</v>
      </c>
      <c r="X48" s="15"/>
      <c r="Y48" s="15">
        <f t="shared" si="2"/>
        <v>0.73729962335116606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3"/>
        <v>3671.8837322715749</v>
      </c>
      <c r="AH48" s="17">
        <v>3414.5260276716385</v>
      </c>
      <c r="AI48" s="106">
        <v>9.0966520731758305</v>
      </c>
      <c r="AJ48" s="17">
        <f t="shared" si="4"/>
        <v>0.74911841102841459</v>
      </c>
      <c r="AK48" s="15">
        <f t="shared" si="5"/>
        <v>0.73729962335116606</v>
      </c>
      <c r="AL48" s="5">
        <v>1.7927999999999999</v>
      </c>
      <c r="AN48" s="105">
        <f>AI48</f>
        <v>9.0966520731758305</v>
      </c>
      <c r="AQ48" s="98">
        <f t="shared" si="6"/>
        <v>1</v>
      </c>
    </row>
    <row r="49" spans="1:43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5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4.2992299999999997</v>
      </c>
      <c r="X49" s="15"/>
      <c r="Y49" s="15">
        <f t="shared" si="2"/>
        <v>0.65566767669103321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3"/>
        <v>3265.3420666016345</v>
      </c>
      <c r="AH49" s="17">
        <v>2658.3125892556859</v>
      </c>
      <c r="AI49" s="106">
        <v>6.5724681548610722</v>
      </c>
      <c r="AJ49" s="17">
        <f t="shared" si="4"/>
        <v>0.99882454803788601</v>
      </c>
      <c r="AK49" s="15">
        <f t="shared" si="5"/>
        <v>0.65566767669103321</v>
      </c>
      <c r="AL49" s="5">
        <v>1.7927999999999999</v>
      </c>
      <c r="AN49" s="105">
        <f>AI49</f>
        <v>6.5724681548610722</v>
      </c>
      <c r="AQ49" s="98">
        <f t="shared" si="6"/>
        <v>1</v>
      </c>
    </row>
    <row r="50" spans="1:43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5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4.5805400000000001</v>
      </c>
      <c r="X50" s="15"/>
      <c r="Y50" s="15">
        <f t="shared" si="2"/>
        <v>0.48697470418609617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3"/>
        <v>2425.2209518314562</v>
      </c>
      <c r="AH50" s="17">
        <v>1853.1162988228673</v>
      </c>
      <c r="AI50" s="106">
        <v>5.3300168349800403</v>
      </c>
      <c r="AJ50" s="17">
        <f t="shared" si="4"/>
        <v>1.3284366488903889</v>
      </c>
      <c r="AK50" s="15">
        <f t="shared" si="5"/>
        <v>0.48697470418609617</v>
      </c>
      <c r="AL50" s="5">
        <v>1.7927999999999999</v>
      </c>
      <c r="AN50" s="105">
        <f>AI50</f>
        <v>5.3300168349800403</v>
      </c>
      <c r="AQ50" s="98">
        <f t="shared" si="6"/>
        <v>1</v>
      </c>
    </row>
    <row r="51" spans="1:43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5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4.3682800000000004</v>
      </c>
      <c r="X51" s="15"/>
      <c r="Y51" s="15">
        <f t="shared" si="2"/>
        <v>0.32733914651562884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3"/>
        <v>1630.2073796854843</v>
      </c>
      <c r="AH51" s="17">
        <v>1306.1721842233544</v>
      </c>
      <c r="AI51" s="106">
        <v>4.8224999999999998</v>
      </c>
      <c r="AJ51" s="17">
        <f t="shared" si="4"/>
        <v>1.6634898031442582</v>
      </c>
      <c r="AK51" s="15">
        <f t="shared" si="5"/>
        <v>0.32733914651562884</v>
      </c>
      <c r="AL51" s="5">
        <v>1.7927999999999999</v>
      </c>
      <c r="AN51" s="105">
        <v>4.8224999999999998</v>
      </c>
      <c r="AQ51" s="6">
        <f t="shared" si="6"/>
        <v>1</v>
      </c>
    </row>
    <row r="52" spans="1:43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5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4.0598299999999998</v>
      </c>
      <c r="X52" s="15"/>
      <c r="Y52" s="15">
        <f t="shared" si="2"/>
        <v>0.22496707737495336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3"/>
        <v>1120.3762019505793</v>
      </c>
      <c r="AH52" s="17">
        <v>965.88199674051077</v>
      </c>
      <c r="AI52" s="106">
        <v>4.5585000000000004</v>
      </c>
      <c r="AJ52" s="17">
        <f t="shared" si="4"/>
        <v>1.9896810400686959</v>
      </c>
      <c r="AK52" s="15">
        <f t="shared" si="5"/>
        <v>0.22496707737495336</v>
      </c>
      <c r="AL52" s="5">
        <v>1.7927999999999999</v>
      </c>
      <c r="AN52" s="105">
        <v>4.5585000000000004</v>
      </c>
      <c r="AQ52" s="6">
        <f t="shared" si="6"/>
        <v>1</v>
      </c>
    </row>
    <row r="53" spans="1:43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5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3.7830599999999999</v>
      </c>
      <c r="X53" s="15"/>
      <c r="Y53" s="15">
        <f t="shared" si="2"/>
        <v>0.14154589627110575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3"/>
        <v>704.92382937259094</v>
      </c>
      <c r="AH53" s="17">
        <v>652.17929475188566</v>
      </c>
      <c r="AI53" s="106">
        <v>4.3297999999999996</v>
      </c>
      <c r="AJ53" s="17">
        <f t="shared" si="4"/>
        <v>2.4845003099159175</v>
      </c>
      <c r="AK53" s="15">
        <f t="shared" si="5"/>
        <v>0.14154589627110575</v>
      </c>
      <c r="AL53" s="5">
        <v>1.7927999999999999</v>
      </c>
      <c r="AN53" s="105">
        <v>4.3297999999999996</v>
      </c>
      <c r="AQ53" s="6">
        <f t="shared" si="6"/>
        <v>1</v>
      </c>
    </row>
    <row r="54" spans="1:43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25503.804399999994</v>
      </c>
      <c r="M54" s="15"/>
      <c r="N54" s="15"/>
      <c r="O54" s="15"/>
      <c r="P54" s="9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3.7858155601206209</v>
      </c>
      <c r="W54" s="15">
        <v>3.83745</v>
      </c>
      <c r="X54" s="15"/>
      <c r="Y54" s="15">
        <f t="shared" si="2"/>
        <v>1.0136389211411383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3"/>
        <v>17837.637656137314</v>
      </c>
      <c r="AH54" s="17">
        <v>16269.067166081799</v>
      </c>
      <c r="AI54" s="106">
        <v>29.218</v>
      </c>
      <c r="AJ54" s="17">
        <f t="shared" si="4"/>
        <v>0.35996019927957579</v>
      </c>
      <c r="AK54" s="15">
        <f t="shared" si="5"/>
        <v>1.0136389211411383</v>
      </c>
      <c r="AL54" s="56">
        <v>29.24</v>
      </c>
      <c r="AN54" s="105">
        <v>29.218</v>
      </c>
      <c r="AQ54" s="6">
        <f t="shared" si="6"/>
        <v>1</v>
      </c>
    </row>
    <row r="55" spans="1:43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3.74796</v>
      </c>
      <c r="X55" s="15"/>
      <c r="Y55" s="15">
        <f t="shared" si="2"/>
        <v>0.87927475833839686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3"/>
        <v>15473.147500858619</v>
      </c>
      <c r="AH55" s="17">
        <v>14449.464843009309</v>
      </c>
      <c r="AI55" s="106">
        <v>14.803000000000001</v>
      </c>
      <c r="AJ55" s="17">
        <f t="shared" si="4"/>
        <v>0.53661190207046938</v>
      </c>
      <c r="AK55" s="15">
        <f t="shared" si="5"/>
        <v>0.87927475833839686</v>
      </c>
      <c r="AL55" s="5">
        <v>29.24</v>
      </c>
      <c r="AN55" s="105">
        <v>14.803000000000001</v>
      </c>
      <c r="AQ55" s="6">
        <f t="shared" si="6"/>
        <v>1</v>
      </c>
    </row>
    <row r="56" spans="1:43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3.73603</v>
      </c>
      <c r="X56" s="15"/>
      <c r="Y56" s="15">
        <f t="shared" si="2"/>
        <v>0.7210844981978688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3"/>
        <v>12689.374618558308</v>
      </c>
      <c r="AH56" s="17">
        <v>11887.701963034044</v>
      </c>
      <c r="AI56" s="106">
        <v>8.6748999999999992</v>
      </c>
      <c r="AJ56" s="17">
        <f t="shared" si="4"/>
        <v>0.77282268078390148</v>
      </c>
      <c r="AK56" s="15">
        <f t="shared" si="5"/>
        <v>0.7210844981978688</v>
      </c>
      <c r="AL56" s="5">
        <v>29.24</v>
      </c>
      <c r="AN56" s="105">
        <v>8.6748999999999992</v>
      </c>
      <c r="AQ56" s="6">
        <f t="shared" si="6"/>
        <v>1</v>
      </c>
    </row>
    <row r="57" spans="1:43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4.33439</v>
      </c>
      <c r="X57" s="15"/>
      <c r="Y57" s="15">
        <f t="shared" si="2"/>
        <v>0.6512974990708571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3"/>
        <v>11461.289175533497</v>
      </c>
      <c r="AH57" s="17">
        <v>9254.938322201564</v>
      </c>
      <c r="AI57" s="106">
        <v>6.4608999999999996</v>
      </c>
      <c r="AJ57" s="17">
        <f t="shared" si="4"/>
        <v>1.0149105756383863</v>
      </c>
      <c r="AK57" s="15">
        <f t="shared" si="5"/>
        <v>0.6512974990708571</v>
      </c>
      <c r="AL57" s="5">
        <v>29.24</v>
      </c>
      <c r="AN57" s="105">
        <v>6.4608999999999996</v>
      </c>
      <c r="AQ57" s="6">
        <f t="shared" si="6"/>
        <v>1</v>
      </c>
    </row>
    <row r="58" spans="1:43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5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4.60128</v>
      </c>
      <c r="X58" s="15"/>
      <c r="Y58" s="15">
        <f t="shared" si="2"/>
        <v>0.48197744449634278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3"/>
        <v>8481.658344056139</v>
      </c>
      <c r="AH58" s="17">
        <v>6451.6404574806329</v>
      </c>
      <c r="AI58" s="106">
        <v>5.3316999999999997</v>
      </c>
      <c r="AJ58" s="17">
        <f t="shared" si="4"/>
        <v>1.338114020691471</v>
      </c>
      <c r="AK58" s="15">
        <f t="shared" si="5"/>
        <v>0.48197744449634278</v>
      </c>
      <c r="AL58" s="5">
        <v>29.24</v>
      </c>
      <c r="AN58" s="105">
        <v>5.3316999999999997</v>
      </c>
      <c r="AQ58" s="6">
        <f t="shared" si="6"/>
        <v>1</v>
      </c>
    </row>
    <row r="59" spans="1:43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5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4.4014100000000003</v>
      </c>
      <c r="X59" s="15"/>
      <c r="Y59" s="15">
        <f t="shared" si="2"/>
        <v>0.32496578214121186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3"/>
        <v>5718.6259836515101</v>
      </c>
      <c r="AH59" s="17">
        <v>4547.4497814973574</v>
      </c>
      <c r="AI59" s="106">
        <v>4.8384999999999998</v>
      </c>
      <c r="AJ59" s="17">
        <f t="shared" si="4"/>
        <v>1.6730993228530124</v>
      </c>
      <c r="AK59" s="15">
        <f t="shared" si="5"/>
        <v>0.32496578214121186</v>
      </c>
      <c r="AL59" s="5">
        <v>29.24</v>
      </c>
      <c r="AN59" s="105">
        <v>4.8384999999999998</v>
      </c>
      <c r="AQ59" s="6">
        <f t="shared" si="6"/>
        <v>1</v>
      </c>
    </row>
    <row r="60" spans="1:43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5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4.1056299999999997</v>
      </c>
      <c r="X60" s="15"/>
      <c r="Y60" s="15">
        <f t="shared" si="2"/>
        <v>0.22415542605383473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4" t="s">
        <v>218</v>
      </c>
      <c r="AG60" s="17">
        <f t="shared" si="3"/>
        <v>3944.6031374802074</v>
      </c>
      <c r="AH60" s="17">
        <v>3362.7265440823276</v>
      </c>
      <c r="AI60" s="106">
        <v>4.5826000000000002</v>
      </c>
      <c r="AJ60" s="17">
        <f t="shared" si="4"/>
        <v>1.9992140746316445</v>
      </c>
      <c r="AK60" s="15">
        <f t="shared" si="5"/>
        <v>0.22415542605383473</v>
      </c>
      <c r="AL60" s="5">
        <v>29.24</v>
      </c>
      <c r="AN60" s="105">
        <v>4.5826000000000002</v>
      </c>
      <c r="AQ60" s="6">
        <f t="shared" si="6"/>
        <v>1</v>
      </c>
    </row>
    <row r="61" spans="1:43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5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3.8370600000000001</v>
      </c>
      <c r="X61" s="15"/>
      <c r="Y61" s="15">
        <f t="shared" si="2"/>
        <v>0.14145261282710786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3"/>
        <v>2489.2300408939273</v>
      </c>
      <c r="AH61" s="17">
        <v>2270.5678678802901</v>
      </c>
      <c r="AI61" s="106">
        <v>4.3598999999999997</v>
      </c>
      <c r="AJ61" s="17">
        <f t="shared" si="4"/>
        <v>2.494339384405782</v>
      </c>
      <c r="AK61" s="15">
        <f t="shared" si="5"/>
        <v>0.14145261282710786</v>
      </c>
      <c r="AL61" s="5">
        <v>29.24</v>
      </c>
      <c r="AN61" s="105">
        <v>4.3598999999999997</v>
      </c>
      <c r="AQ61" s="6">
        <f t="shared" si="6"/>
        <v>1</v>
      </c>
    </row>
    <row r="62" spans="1:43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3.8450700000000002</v>
      </c>
      <c r="X62" s="15"/>
      <c r="Y62" s="15">
        <f t="shared" si="2"/>
        <v>1.0238588967186413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3"/>
        <v>12750.546781309295</v>
      </c>
      <c r="AH62" s="17">
        <v>11606.268217375113</v>
      </c>
      <c r="AI62" s="106">
        <v>41.68211995699383</v>
      </c>
      <c r="AJ62" s="17">
        <f t="shared" si="4"/>
        <v>0.3001630098378677</v>
      </c>
      <c r="AK62" s="15">
        <f t="shared" si="5"/>
        <v>1.0238588967186413</v>
      </c>
      <c r="AL62" s="56">
        <v>14.43</v>
      </c>
      <c r="AN62" s="105">
        <v>41.68211995699383</v>
      </c>
      <c r="AQ62" s="98">
        <f t="shared" si="6"/>
        <v>1</v>
      </c>
    </row>
    <row r="63" spans="1:43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3.7547999999999999</v>
      </c>
      <c r="X63" s="15"/>
      <c r="Y63" s="15">
        <f t="shared" si="2"/>
        <v>0.88799757040382965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3"/>
        <v>11058.608368213905</v>
      </c>
      <c r="AH63" s="17">
        <v>10308.173348446966</v>
      </c>
      <c r="AI63" s="106">
        <v>14.784000000000001</v>
      </c>
      <c r="AJ63" s="17">
        <f t="shared" si="4"/>
        <v>0.5348001727713132</v>
      </c>
      <c r="AK63" s="15">
        <f t="shared" si="5"/>
        <v>0.88799757040382965</v>
      </c>
      <c r="AL63" s="5">
        <v>14.43</v>
      </c>
      <c r="AN63" s="105">
        <v>14.784000000000001</v>
      </c>
      <c r="AQ63" s="6">
        <f t="shared" si="6"/>
        <v>1</v>
      </c>
    </row>
    <row r="64" spans="1:43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3.7270099999999999</v>
      </c>
      <c r="X64" s="15"/>
      <c r="Y64" s="15">
        <f t="shared" si="2"/>
        <v>0.72515637957617529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3"/>
        <v>9030.6783202097449</v>
      </c>
      <c r="AH64" s="17">
        <v>8480.6249837628839</v>
      </c>
      <c r="AI64" s="106">
        <v>8.6549999999999994</v>
      </c>
      <c r="AJ64" s="17">
        <f t="shared" si="4"/>
        <v>0.77060337523077538</v>
      </c>
      <c r="AK64" s="15">
        <f t="shared" si="5"/>
        <v>0.72515637957617529</v>
      </c>
      <c r="AL64" s="5">
        <v>14.43</v>
      </c>
      <c r="AN64" s="105">
        <v>8.6549999999999994</v>
      </c>
      <c r="AQ64" s="6">
        <f t="shared" si="6"/>
        <v>1</v>
      </c>
    </row>
    <row r="65" spans="1:43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4.3196599999999998</v>
      </c>
      <c r="X65" s="15"/>
      <c r="Y65" s="15">
        <f t="shared" si="2"/>
        <v>0.65432919682863777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3"/>
        <v>8148.6375332369389</v>
      </c>
      <c r="AH65" s="17">
        <v>6602.4250441769227</v>
      </c>
      <c r="AI65" s="106">
        <v>6.4428000000000001</v>
      </c>
      <c r="AJ65" s="17">
        <f t="shared" si="4"/>
        <v>1.0122535481766948</v>
      </c>
      <c r="AK65" s="15">
        <f t="shared" si="5"/>
        <v>0.65432919682863777</v>
      </c>
      <c r="AL65" s="5">
        <v>14.43</v>
      </c>
      <c r="AN65" s="105">
        <v>6.4428000000000001</v>
      </c>
      <c r="AQ65" s="6">
        <f t="shared" si="6"/>
        <v>1</v>
      </c>
    </row>
    <row r="66" spans="1:43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4.5913000000000004</v>
      </c>
      <c r="X66" s="15"/>
      <c r="Y66" s="15">
        <f t="shared" si="2"/>
        <v>0.48481833222002502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3"/>
        <v>6037.6472238698771</v>
      </c>
      <c r="AH66" s="17">
        <v>4602.566872899738</v>
      </c>
      <c r="AI66" s="106">
        <v>5.3148999999999997</v>
      </c>
      <c r="AJ66" s="17">
        <f t="shared" si="4"/>
        <v>1.3348447876948879</v>
      </c>
      <c r="AK66" s="15">
        <f t="shared" si="5"/>
        <v>0.48481833222002502</v>
      </c>
      <c r="AL66" s="5">
        <v>14.43</v>
      </c>
      <c r="AN66" s="105">
        <v>5.3148999999999997</v>
      </c>
      <c r="AQ66" s="6">
        <f t="shared" si="6"/>
        <v>1</v>
      </c>
    </row>
    <row r="67" spans="1:43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4.3851000000000004</v>
      </c>
      <c r="X67" s="15"/>
      <c r="Y67" s="15">
        <f t="shared" si="2"/>
        <v>0.32637780634722363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3"/>
        <v>4064.5205130790291</v>
      </c>
      <c r="AH67" s="17">
        <v>3244.127111303414</v>
      </c>
      <c r="AI67" s="106">
        <v>4.8224</v>
      </c>
      <c r="AJ67" s="17">
        <f t="shared" si="4"/>
        <v>1.6691594515553019</v>
      </c>
      <c r="AK67" s="15">
        <f t="shared" si="5"/>
        <v>0.32637780634722363</v>
      </c>
      <c r="AL67" s="5">
        <v>14.43</v>
      </c>
      <c r="AN67" s="105">
        <v>4.8224</v>
      </c>
      <c r="AQ67" s="6">
        <f t="shared" si="6"/>
        <v>1</v>
      </c>
    </row>
    <row r="68" spans="1:43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4.0885899999999999</v>
      </c>
      <c r="X68" s="15"/>
      <c r="Y68" s="15">
        <f t="shared" si="2"/>
        <v>0.22502891169985859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4" t="s">
        <v>218</v>
      </c>
      <c r="AG68" s="17">
        <f t="shared" si="3"/>
        <v>2802.3799714704619</v>
      </c>
      <c r="AH68" s="17">
        <v>2398.9516924285917</v>
      </c>
      <c r="AI68" s="106">
        <v>4.5669000000000004</v>
      </c>
      <c r="AJ68" s="17">
        <f t="shared" si="4"/>
        <v>1.9946048470905522</v>
      </c>
      <c r="AK68" s="15">
        <f t="shared" si="5"/>
        <v>0.22502891169985859</v>
      </c>
      <c r="AL68" s="5">
        <v>14.43</v>
      </c>
      <c r="AN68" s="105">
        <v>4.5669000000000004</v>
      </c>
      <c r="AQ68" s="6">
        <f t="shared" si="6"/>
        <v>1</v>
      </c>
    </row>
    <row r="69" spans="1:43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3.8210500000000001</v>
      </c>
      <c r="X69" s="15"/>
      <c r="Y69" s="15">
        <f t="shared" si="2"/>
        <v>0.14200067667657226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3"/>
        <v>1768.3943331888272</v>
      </c>
      <c r="AH69" s="17">
        <v>1619.8113518956557</v>
      </c>
      <c r="AI69" s="106">
        <v>4.3445</v>
      </c>
      <c r="AJ69" s="17">
        <f t="shared" si="4"/>
        <v>2.4887212301334571</v>
      </c>
      <c r="AK69" s="15">
        <f t="shared" si="5"/>
        <v>0.14200067667657226</v>
      </c>
      <c r="AL69" s="5">
        <v>14.43</v>
      </c>
      <c r="AN69" s="105">
        <v>4.3445</v>
      </c>
      <c r="AQ69" s="6">
        <f t="shared" si="6"/>
        <v>1</v>
      </c>
    </row>
    <row r="70" spans="1:43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3.8567900000000002</v>
      </c>
      <c r="X70" s="15"/>
      <c r="Y70" s="15">
        <f t="shared" si="2"/>
        <v>1.0300534446372873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3"/>
        <v>10806.45392540942</v>
      </c>
      <c r="AH70" s="17">
        <v>9806.7534760598755</v>
      </c>
      <c r="AI70" s="106">
        <v>41.591280717500112</v>
      </c>
      <c r="AJ70" s="17">
        <f t="shared" si="4"/>
        <v>0.30004194351389951</v>
      </c>
      <c r="AK70" s="15">
        <f t="shared" si="5"/>
        <v>1.0300534446372873</v>
      </c>
      <c r="AL70" s="56">
        <v>10.167</v>
      </c>
      <c r="AN70" s="105">
        <f>AI70</f>
        <v>41.591280717500112</v>
      </c>
      <c r="AQ70" s="98">
        <f t="shared" ref="AQ70:AQ101" si="7">AI70/AN70</f>
        <v>1</v>
      </c>
    </row>
    <row r="71" spans="1:43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3.7665199999999999</v>
      </c>
      <c r="X71" s="15"/>
      <c r="Y71" s="15">
        <f t="shared" ref="Y71:Y134" si="9">AK71</f>
        <v>0.89343539695107743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0">W71*S71</f>
        <v>9373.1723365882845</v>
      </c>
      <c r="AH71" s="17">
        <v>8709.9240620145374</v>
      </c>
      <c r="AI71" s="106">
        <v>16.858373986338023</v>
      </c>
      <c r="AJ71" s="17">
        <f t="shared" ref="AJ71:AJ134" si="11">(V71/AI71)^0.5</f>
        <v>0.50006990585649913</v>
      </c>
      <c r="AK71" s="15">
        <f t="shared" ref="AK71:AK134" si="12">W71/V71</f>
        <v>0.89343539695107743</v>
      </c>
      <c r="AL71" s="5">
        <v>10.167</v>
      </c>
      <c r="AN71" s="105">
        <f>AI71</f>
        <v>16.858373986338023</v>
      </c>
      <c r="AQ71" s="98">
        <f t="shared" si="7"/>
        <v>1</v>
      </c>
    </row>
    <row r="72" spans="1:43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3.7287300000000001</v>
      </c>
      <c r="X72" s="15"/>
      <c r="Y72" s="15">
        <f t="shared" si="9"/>
        <v>0.72766244190667728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0"/>
        <v>7634.0219943484317</v>
      </c>
      <c r="AH72" s="17">
        <v>7165.7312222176215</v>
      </c>
      <c r="AI72" s="106">
        <v>8.6529000000000007</v>
      </c>
      <c r="AJ72" s="17">
        <f t="shared" si="11"/>
        <v>0.76954610853477523</v>
      </c>
      <c r="AK72" s="15">
        <f t="shared" si="12"/>
        <v>0.72766244190667728</v>
      </c>
      <c r="AL72" s="5">
        <v>10.167</v>
      </c>
      <c r="AN72" s="105">
        <v>8.6529000000000007</v>
      </c>
      <c r="AQ72" s="6">
        <f t="shared" si="7"/>
        <v>1</v>
      </c>
    </row>
    <row r="73" spans="1:43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4.3180399999999999</v>
      </c>
      <c r="X73" s="15"/>
      <c r="Y73" s="15">
        <f t="shared" si="9"/>
        <v>0.65604148674678842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0"/>
        <v>6882.63520363517</v>
      </c>
      <c r="AH73" s="17">
        <v>5578.7401720973157</v>
      </c>
      <c r="AI73" s="106">
        <v>6.4398999999999997</v>
      </c>
      <c r="AJ73" s="17">
        <f t="shared" si="11"/>
        <v>1.0109696469606528</v>
      </c>
      <c r="AK73" s="15">
        <f t="shared" si="12"/>
        <v>0.65604148674678842</v>
      </c>
      <c r="AL73" s="5">
        <v>10.167</v>
      </c>
      <c r="AN73" s="105">
        <v>6.4398999999999997</v>
      </c>
      <c r="AQ73" s="6">
        <f t="shared" si="7"/>
        <v>1</v>
      </c>
    </row>
    <row r="74" spans="1:43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</v>
      </c>
      <c r="W74" s="15">
        <v>4.5900499999999997</v>
      </c>
      <c r="X74" s="15"/>
      <c r="Y74" s="15">
        <f t="shared" si="9"/>
        <v>0.48613701198117854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0"/>
        <v>5100.1404332575166</v>
      </c>
      <c r="AH74" s="17">
        <v>3888.9536097430987</v>
      </c>
      <c r="AI74" s="106">
        <v>5.3117999999999999</v>
      </c>
      <c r="AJ74" s="17">
        <f t="shared" si="11"/>
        <v>1.3332405289959182</v>
      </c>
      <c r="AK74" s="15">
        <f t="shared" si="12"/>
        <v>0.48613701198117854</v>
      </c>
      <c r="AL74" s="5">
        <v>10.167</v>
      </c>
      <c r="AN74" s="105">
        <v>5.3117999999999999</v>
      </c>
      <c r="AQ74" s="6">
        <f t="shared" si="7"/>
        <v>1</v>
      </c>
    </row>
    <row r="75" spans="1:43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5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8"/>
        <v>13.395563085853036</v>
      </c>
      <c r="W75" s="15">
        <v>4.3807799999999997</v>
      </c>
      <c r="X75" s="15"/>
      <c r="Y75" s="15">
        <f t="shared" si="9"/>
        <v>0.32703216519703543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4" t="s">
        <v>218</v>
      </c>
      <c r="AG75" s="17">
        <f t="shared" si="10"/>
        <v>3430.9462715044779</v>
      </c>
      <c r="AH75" s="17">
        <v>2741.1355855043321</v>
      </c>
      <c r="AI75" s="106">
        <v>4.8193000000000001</v>
      </c>
      <c r="AJ75" s="17">
        <f t="shared" si="11"/>
        <v>1.6672030882215136</v>
      </c>
      <c r="AK75" s="15">
        <f t="shared" si="12"/>
        <v>0.32703216519703543</v>
      </c>
      <c r="AL75" s="5">
        <v>10.167</v>
      </c>
      <c r="AN75" s="105">
        <v>4.8193000000000001</v>
      </c>
      <c r="AQ75" s="6">
        <f t="shared" si="7"/>
        <v>1</v>
      </c>
    </row>
    <row r="76" spans="1:43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18.114958094048667</v>
      </c>
      <c r="W76" s="15">
        <v>4.0839800000000004</v>
      </c>
      <c r="X76" s="15"/>
      <c r="Y76" s="15">
        <f t="shared" si="9"/>
        <v>0.22544794080101771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0"/>
        <v>2365.2100748058951</v>
      </c>
      <c r="AH76" s="17">
        <v>2027.001910347414</v>
      </c>
      <c r="AI76" s="106">
        <v>4.5636000000000001</v>
      </c>
      <c r="AJ76" s="17">
        <f t="shared" si="11"/>
        <v>1.9923465454633851</v>
      </c>
      <c r="AK76" s="15">
        <f t="shared" si="12"/>
        <v>0.22544794080101771</v>
      </c>
      <c r="AL76" s="5">
        <v>10.167</v>
      </c>
      <c r="AN76" s="105">
        <v>4.5636000000000001</v>
      </c>
      <c r="AQ76" s="6">
        <f t="shared" si="7"/>
        <v>1</v>
      </c>
    </row>
    <row r="77" spans="1:43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26.828376852115351</v>
      </c>
      <c r="W77" s="15">
        <v>3.81704</v>
      </c>
      <c r="X77" s="15"/>
      <c r="Y77" s="15">
        <f t="shared" si="9"/>
        <v>0.14227621823863845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0"/>
        <v>1492.6423527652414</v>
      </c>
      <c r="AH77" s="17">
        <v>1368.6647859803263</v>
      </c>
      <c r="AI77" s="106">
        <v>4.3414000000000001</v>
      </c>
      <c r="AJ77" s="17">
        <f t="shared" si="11"/>
        <v>2.4858922369609067</v>
      </c>
      <c r="AK77" s="15">
        <f t="shared" si="12"/>
        <v>0.14227621823863845</v>
      </c>
      <c r="AL77" s="5">
        <v>10.167</v>
      </c>
      <c r="AN77" s="105">
        <v>4.3414000000000001</v>
      </c>
      <c r="AQ77" s="6">
        <f t="shared" si="7"/>
        <v>1</v>
      </c>
    </row>
    <row r="78" spans="1:43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5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8"/>
        <v>3.681841251474721</v>
      </c>
      <c r="W78" s="15">
        <v>3.8437299999999999</v>
      </c>
      <c r="X78" s="15"/>
      <c r="Y78" s="15">
        <f t="shared" si="9"/>
        <v>1.0439695080444971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0"/>
        <v>8271.3375679118581</v>
      </c>
      <c r="AH78" s="17">
        <v>7531.6636412264916</v>
      </c>
      <c r="AI78" s="106">
        <v>40.924834693975306</v>
      </c>
      <c r="AJ78" s="17">
        <f t="shared" si="11"/>
        <v>0.29994322913819166</v>
      </c>
      <c r="AK78" s="15">
        <f t="shared" si="12"/>
        <v>1.0439695080444971</v>
      </c>
      <c r="AL78" s="56">
        <v>5.66</v>
      </c>
      <c r="AN78" s="105">
        <f>AI78</f>
        <v>40.924834693975306</v>
      </c>
      <c r="AQ78" s="98">
        <f t="shared" si="7"/>
        <v>1</v>
      </c>
    </row>
    <row r="79" spans="1:43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5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8"/>
        <v>4.0909083399290154</v>
      </c>
      <c r="W79" s="15">
        <v>3.6910099999999999</v>
      </c>
      <c r="X79" s="15"/>
      <c r="Y79" s="15">
        <f t="shared" si="9"/>
        <v>0.90224705451700382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0"/>
        <v>7148.4750273436393</v>
      </c>
      <c r="AH79" s="17">
        <v>6778.5409943898112</v>
      </c>
      <c r="AI79" s="106">
        <v>16.36982830190928</v>
      </c>
      <c r="AJ79" s="17">
        <f t="shared" si="11"/>
        <v>0.49990538189698608</v>
      </c>
      <c r="AK79" s="15">
        <f t="shared" si="12"/>
        <v>0.90224705451700382</v>
      </c>
      <c r="AL79" s="5">
        <v>5.66</v>
      </c>
      <c r="AN79" s="105">
        <f>AI79</f>
        <v>16.36982830190928</v>
      </c>
      <c r="AQ79" s="98">
        <f t="shared" si="7"/>
        <v>1</v>
      </c>
    </row>
    <row r="80" spans="1:43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5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8"/>
        <v>4.8405361429467515</v>
      </c>
      <c r="W80" s="15">
        <v>3.54603</v>
      </c>
      <c r="X80" s="15"/>
      <c r="Y80" s="15">
        <f t="shared" si="9"/>
        <v>0.73256967725920108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0"/>
        <v>5804.1265055500344</v>
      </c>
      <c r="AH80" s="17">
        <v>5728.7848014329038</v>
      </c>
      <c r="AI80" s="106">
        <v>8.608655417762515</v>
      </c>
      <c r="AJ80" s="17">
        <f t="shared" si="11"/>
        <v>0.74985807284547923</v>
      </c>
      <c r="AK80" s="15">
        <f t="shared" si="12"/>
        <v>0.73256967725920108</v>
      </c>
      <c r="AL80" s="5">
        <v>5.66</v>
      </c>
      <c r="AN80" s="105">
        <f>AI80</f>
        <v>8.608655417762515</v>
      </c>
      <c r="AQ80" s="98">
        <f t="shared" si="7"/>
        <v>1</v>
      </c>
    </row>
    <row r="81" spans="1:43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5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8"/>
        <v>6.0182332307823714</v>
      </c>
      <c r="W81" s="15">
        <v>3.9665699999999999</v>
      </c>
      <c r="X81" s="15"/>
      <c r="Y81" s="15">
        <f t="shared" si="9"/>
        <v>0.65909210359471981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0"/>
        <v>5221.9660010842936</v>
      </c>
      <c r="AH81" s="17">
        <v>4607.7293489828817</v>
      </c>
      <c r="AI81" s="106">
        <v>5.9137000000000004</v>
      </c>
      <c r="AJ81" s="17">
        <f t="shared" si="11"/>
        <v>1.0087995100233584</v>
      </c>
      <c r="AK81" s="15">
        <f t="shared" si="12"/>
        <v>0.65909210359471981</v>
      </c>
      <c r="AL81" s="5">
        <v>5.66</v>
      </c>
      <c r="AN81" s="105">
        <v>5.9137000000000004</v>
      </c>
      <c r="AQ81" s="6">
        <f t="shared" si="7"/>
        <v>1</v>
      </c>
    </row>
    <row r="82" spans="1:43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5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8"/>
        <v>8.362804083987287</v>
      </c>
      <c r="W82" s="15">
        <v>4.0839999999999996</v>
      </c>
      <c r="X82" s="15"/>
      <c r="Y82" s="15">
        <f t="shared" si="9"/>
        <v>0.4883529446564287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0"/>
        <v>3869.2050164408934</v>
      </c>
      <c r="AH82" s="17">
        <v>3315.9200679586502</v>
      </c>
      <c r="AI82" s="106">
        <v>4.7247000000000003</v>
      </c>
      <c r="AJ82" s="17">
        <f t="shared" si="11"/>
        <v>1.3304202374950791</v>
      </c>
      <c r="AK82" s="15">
        <f t="shared" si="12"/>
        <v>0.4883529446564287</v>
      </c>
      <c r="AL82" s="5">
        <v>5.66</v>
      </c>
      <c r="AN82" s="105">
        <v>4.7247000000000003</v>
      </c>
      <c r="AQ82" s="6">
        <f t="shared" si="7"/>
        <v>1</v>
      </c>
    </row>
    <row r="83" spans="1:43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5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8"/>
        <v>11.661542066942829</v>
      </c>
      <c r="W83" s="15">
        <v>3.8266300000000002</v>
      </c>
      <c r="X83" s="15"/>
      <c r="Y83" s="15">
        <f t="shared" si="9"/>
        <v>0.32814099353527293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0"/>
        <v>2599.8507681361698</v>
      </c>
      <c r="AH83" s="17">
        <v>2377.9350730215865</v>
      </c>
      <c r="AI83" s="106">
        <v>4.2129000000000003</v>
      </c>
      <c r="AJ83" s="17">
        <f t="shared" si="11"/>
        <v>1.6637475017171801</v>
      </c>
      <c r="AK83" s="15">
        <f t="shared" si="12"/>
        <v>0.32814099353527293</v>
      </c>
      <c r="AL83" s="5">
        <v>5.66</v>
      </c>
      <c r="AN83" s="105">
        <v>4.2129000000000003</v>
      </c>
      <c r="AQ83" s="6">
        <f t="shared" si="7"/>
        <v>1</v>
      </c>
    </row>
    <row r="84" spans="1:43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5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8"/>
        <v>15.630784471990504</v>
      </c>
      <c r="W84" s="15">
        <v>3.5358900000000002</v>
      </c>
      <c r="X84" s="15"/>
      <c r="Y84" s="15">
        <f t="shared" si="9"/>
        <v>0.22621321446381135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0"/>
        <v>1792.280181302837</v>
      </c>
      <c r="AH84" s="17">
        <v>1774.0881742814197</v>
      </c>
      <c r="AI84" s="106">
        <v>3.9540000000000002</v>
      </c>
      <c r="AJ84" s="17">
        <f t="shared" si="11"/>
        <v>1.9882548700869582</v>
      </c>
      <c r="AK84" s="15">
        <f t="shared" si="12"/>
        <v>0.22621321446381135</v>
      </c>
      <c r="AL84" s="5">
        <v>5.66</v>
      </c>
      <c r="AN84" s="105">
        <v>3.9540000000000002</v>
      </c>
      <c r="AQ84" s="6">
        <f t="shared" si="7"/>
        <v>1</v>
      </c>
    </row>
    <row r="85" spans="1:43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5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8"/>
        <v>22.984500980559634</v>
      </c>
      <c r="W85" s="15">
        <v>3.2840500000000001</v>
      </c>
      <c r="X85" s="15"/>
      <c r="Y85" s="15">
        <f t="shared" si="9"/>
        <v>0.14288106593124036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0"/>
        <v>1132.0421901920022</v>
      </c>
      <c r="AH85" s="17">
        <v>1206.4821381136119</v>
      </c>
      <c r="AI85" s="106">
        <v>3.7343999999999999</v>
      </c>
      <c r="AJ85" s="17">
        <f t="shared" si="11"/>
        <v>2.4808877941476348</v>
      </c>
      <c r="AK85" s="15">
        <f t="shared" si="12"/>
        <v>0.14288106593124036</v>
      </c>
      <c r="AL85" s="5">
        <v>5.66</v>
      </c>
      <c r="AN85" s="105">
        <v>3.7343999999999999</v>
      </c>
      <c r="AQ85" s="6">
        <f t="shared" si="7"/>
        <v>1</v>
      </c>
    </row>
    <row r="86" spans="1:43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5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8"/>
        <v>3.6092611684523135</v>
      </c>
      <c r="W86" s="15">
        <v>3.81203</v>
      </c>
      <c r="X86" s="15"/>
      <c r="Y86" s="15">
        <f t="shared" si="9"/>
        <v>1.0561801493668677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0"/>
        <v>6056.8300112544093</v>
      </c>
      <c r="AH86" s="17">
        <v>5561.0540943776496</v>
      </c>
      <c r="AI86" s="106">
        <v>40.127545409659696</v>
      </c>
      <c r="AJ86" s="17">
        <f t="shared" si="11"/>
        <v>0.29990786632051653</v>
      </c>
      <c r="AK86" s="15">
        <f t="shared" si="12"/>
        <v>1.0561801493668677</v>
      </c>
      <c r="AL86" s="56">
        <v>2.8845000000000001</v>
      </c>
      <c r="AN86" s="105">
        <f>AI86</f>
        <v>40.127545409659696</v>
      </c>
      <c r="AQ86" s="98">
        <f t="shared" si="7"/>
        <v>1</v>
      </c>
    </row>
    <row r="87" spans="1:43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5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8"/>
        <v>3.9474305174373816</v>
      </c>
      <c r="W87" s="15">
        <v>3.6106500000000001</v>
      </c>
      <c r="X87" s="15"/>
      <c r="Y87" s="15">
        <f t="shared" si="9"/>
        <v>0.91468361103515639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0"/>
        <v>5245.396014535323</v>
      </c>
      <c r="AH87" s="17">
        <v>5084.6484845868827</v>
      </c>
      <c r="AI87" s="106">
        <v>15.799424973957416</v>
      </c>
      <c r="AJ87" s="17">
        <f t="shared" si="11"/>
        <v>0.49984644386752752</v>
      </c>
      <c r="AK87" s="15">
        <f t="shared" si="12"/>
        <v>0.91468361103515639</v>
      </c>
      <c r="AL87" s="5">
        <v>2.8845000000000001</v>
      </c>
      <c r="AN87" s="105">
        <f>AI87</f>
        <v>15.799424973957416</v>
      </c>
      <c r="AQ87" s="98">
        <f t="shared" si="7"/>
        <v>1</v>
      </c>
    </row>
    <row r="88" spans="1:43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5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8"/>
        <v>4.5257510831742502</v>
      </c>
      <c r="W88" s="15">
        <v>3.3479100000000002</v>
      </c>
      <c r="X88" s="15"/>
      <c r="Y88" s="15">
        <f t="shared" si="9"/>
        <v>0.73974682621118848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0"/>
        <v>4242.1937019096558</v>
      </c>
      <c r="AH88" s="17">
        <v>4434.9095276407661</v>
      </c>
      <c r="AI88" s="106">
        <v>8.0507238961935776</v>
      </c>
      <c r="AJ88" s="17">
        <f t="shared" si="11"/>
        <v>0.74976966580129145</v>
      </c>
      <c r="AK88" s="15">
        <f t="shared" si="12"/>
        <v>0.73974682621118848</v>
      </c>
      <c r="AL88" s="5">
        <v>2.8845000000000001</v>
      </c>
      <c r="AN88" s="105">
        <f>AI88</f>
        <v>8.0507238961935776</v>
      </c>
      <c r="AQ88" s="98">
        <f t="shared" si="7"/>
        <v>1</v>
      </c>
    </row>
    <row r="89" spans="1:43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5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8"/>
        <v>5.3942991480692353</v>
      </c>
      <c r="W89" s="15">
        <v>3.5778500000000002</v>
      </c>
      <c r="X89" s="15"/>
      <c r="Y89" s="15">
        <f t="shared" si="9"/>
        <v>0.66326503254470215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0"/>
        <v>3803.5969118909916</v>
      </c>
      <c r="AH89" s="17">
        <v>3720.8349124805318</v>
      </c>
      <c r="AI89" s="106">
        <v>5.3976139858903949</v>
      </c>
      <c r="AJ89" s="17">
        <f t="shared" si="11"/>
        <v>0.99969288773505516</v>
      </c>
      <c r="AK89" s="15">
        <f t="shared" si="12"/>
        <v>0.66326503254470215</v>
      </c>
      <c r="AL89" s="5">
        <v>2.8845000000000001</v>
      </c>
      <c r="AN89" s="105">
        <f>AI89</f>
        <v>5.3976139858903949</v>
      </c>
      <c r="AQ89" s="98">
        <f t="shared" si="7"/>
        <v>1</v>
      </c>
    </row>
    <row r="90" spans="1:43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5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8"/>
        <v>7.1361039810195708</v>
      </c>
      <c r="W90" s="15">
        <v>3.5040300000000002</v>
      </c>
      <c r="X90" s="15"/>
      <c r="Y90" s="15">
        <f t="shared" si="9"/>
        <v>0.49102843923237816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0"/>
        <v>2815.8792691804556</v>
      </c>
      <c r="AH90" s="17">
        <v>2812.640714300846</v>
      </c>
      <c r="AI90" s="106">
        <v>4.0538999999999996</v>
      </c>
      <c r="AJ90" s="17">
        <f t="shared" si="11"/>
        <v>1.3267651915874281</v>
      </c>
      <c r="AK90" s="15">
        <f t="shared" si="12"/>
        <v>0.49102843923237816</v>
      </c>
      <c r="AL90" s="5">
        <v>2.8845000000000001</v>
      </c>
      <c r="AN90" s="105">
        <v>4.0538999999999996</v>
      </c>
      <c r="AQ90" s="6">
        <f t="shared" si="7"/>
        <v>1</v>
      </c>
    </row>
    <row r="91" spans="1:43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5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8"/>
        <v>9.6540001643770541</v>
      </c>
      <c r="W91" s="15">
        <v>3.1820499999999998</v>
      </c>
      <c r="X91" s="15"/>
      <c r="Y91" s="15">
        <f t="shared" si="9"/>
        <v>0.32960948268280132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0"/>
        <v>1890.1970538870439</v>
      </c>
      <c r="AH91" s="17">
        <v>2079.0652845193049</v>
      </c>
      <c r="AI91" s="106">
        <v>3.5065</v>
      </c>
      <c r="AJ91" s="17">
        <f t="shared" si="11"/>
        <v>1.6592687323600319</v>
      </c>
      <c r="AK91" s="15">
        <f t="shared" si="12"/>
        <v>0.32960948268280132</v>
      </c>
      <c r="AL91" s="5">
        <v>2.8845000000000001</v>
      </c>
      <c r="AN91" s="105">
        <v>3.5065</v>
      </c>
      <c r="AQ91" s="6">
        <f t="shared" si="7"/>
        <v>1</v>
      </c>
    </row>
    <row r="92" spans="1:43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5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8"/>
        <v>12.732697879825539</v>
      </c>
      <c r="W92" s="15">
        <v>2.8938199999999998</v>
      </c>
      <c r="X92" s="15"/>
      <c r="Y92" s="15">
        <f t="shared" si="9"/>
        <v>0.22727469286655613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0"/>
        <v>1303.3422199593256</v>
      </c>
      <c r="AH92" s="17">
        <v>1576.3585053174145</v>
      </c>
      <c r="AI92" s="106">
        <v>3.2383999999999999</v>
      </c>
      <c r="AJ92" s="17">
        <f t="shared" si="11"/>
        <v>1.9828733312224964</v>
      </c>
      <c r="AK92" s="15">
        <f t="shared" si="12"/>
        <v>0.22727469286655613</v>
      </c>
      <c r="AL92" s="5">
        <v>2.8845000000000001</v>
      </c>
      <c r="AN92" s="105">
        <v>3.2383999999999999</v>
      </c>
      <c r="AQ92" s="6">
        <f t="shared" si="7"/>
        <v>1</v>
      </c>
    </row>
    <row r="93" spans="1:43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5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8"/>
        <v>18.481998261263946</v>
      </c>
      <c r="W93" s="15">
        <v>2.65455</v>
      </c>
      <c r="X93" s="15"/>
      <c r="Y93" s="15">
        <f t="shared" si="9"/>
        <v>0.14362894977452836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0"/>
        <v>823.6626431587481</v>
      </c>
      <c r="AH93" s="17">
        <v>1085.9916939050379</v>
      </c>
      <c r="AI93" s="106">
        <v>3.0190999999999999</v>
      </c>
      <c r="AJ93" s="17">
        <f t="shared" si="11"/>
        <v>2.474205189353448</v>
      </c>
      <c r="AK93" s="15">
        <f t="shared" si="12"/>
        <v>0.14362894977452836</v>
      </c>
      <c r="AL93" s="5">
        <v>2.8845000000000001</v>
      </c>
      <c r="AN93" s="105">
        <v>3.0190999999999999</v>
      </c>
      <c r="AQ93" s="6">
        <f t="shared" si="7"/>
        <v>1</v>
      </c>
    </row>
    <row r="94" spans="1:43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95">
        <v>111662338.05210707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8"/>
        <v>3.5475365887672572</v>
      </c>
      <c r="W94" s="15">
        <v>3.7929400000000002</v>
      </c>
      <c r="X94" s="15"/>
      <c r="Y94" s="15">
        <f t="shared" si="9"/>
        <v>1.0691757237993755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0"/>
        <v>4527.5543533175942</v>
      </c>
      <c r="AH94" s="17">
        <v>4177.8779091184097</v>
      </c>
      <c r="AI94" s="106">
        <v>39.441413973065899</v>
      </c>
      <c r="AJ94" s="17">
        <f t="shared" si="11"/>
        <v>0.2999074151305226</v>
      </c>
      <c r="AK94" s="15">
        <f t="shared" si="12"/>
        <v>1.0691757237993755</v>
      </c>
      <c r="AL94" s="56">
        <v>1.5359</v>
      </c>
      <c r="AN94" s="105">
        <f>AI94</f>
        <v>39.441413973065899</v>
      </c>
      <c r="AQ94" s="98">
        <f t="shared" si="7"/>
        <v>1</v>
      </c>
    </row>
    <row r="95" spans="1:43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5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8"/>
        <v>3.82942328227763</v>
      </c>
      <c r="W95" s="15">
        <v>3.5464500000000001</v>
      </c>
      <c r="X95" s="15"/>
      <c r="Y95" s="15">
        <f t="shared" si="9"/>
        <v>0.92610550951961479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0"/>
        <v>3921.7061685210224</v>
      </c>
      <c r="AH95" s="17">
        <v>3870.3412115844235</v>
      </c>
      <c r="AI95" s="106">
        <v>15.327152085126654</v>
      </c>
      <c r="AJ95" s="17">
        <f t="shared" si="11"/>
        <v>0.49984569188420436</v>
      </c>
      <c r="AK95" s="15">
        <f t="shared" si="12"/>
        <v>0.92610550951961479</v>
      </c>
      <c r="AL95" s="5">
        <v>1.5359</v>
      </c>
      <c r="AN95" s="105">
        <f>AI95</f>
        <v>15.327152085126654</v>
      </c>
      <c r="AQ95" s="98">
        <f t="shared" si="7"/>
        <v>1</v>
      </c>
    </row>
    <row r="96" spans="1:43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5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8"/>
        <v>4.2817257841060421</v>
      </c>
      <c r="W96" s="15">
        <v>3.20207</v>
      </c>
      <c r="X96" s="15"/>
      <c r="Y96" s="15">
        <f t="shared" si="9"/>
        <v>0.74784564950100896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0"/>
        <v>3166.8431583686634</v>
      </c>
      <c r="AH96" s="17">
        <v>3461.4955495321219</v>
      </c>
      <c r="AI96" s="106">
        <v>7.6166574723339595</v>
      </c>
      <c r="AJ96" s="17">
        <f t="shared" si="11"/>
        <v>0.74976853782630648</v>
      </c>
      <c r="AK96" s="15">
        <f t="shared" si="12"/>
        <v>0.74784564950100896</v>
      </c>
      <c r="AL96" s="5">
        <v>1.5359</v>
      </c>
      <c r="AN96" s="105">
        <f>AI96</f>
        <v>7.6166574723339595</v>
      </c>
      <c r="AQ96" s="98">
        <f t="shared" si="7"/>
        <v>1</v>
      </c>
    </row>
    <row r="97" spans="1:43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5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8"/>
        <v>4.9233803640768867</v>
      </c>
      <c r="W97" s="15">
        <v>3.2898299999999998</v>
      </c>
      <c r="X97" s="15"/>
      <c r="Y97" s="15">
        <f t="shared" si="9"/>
        <v>0.66820553293099649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0"/>
        <v>2829.5974199469597</v>
      </c>
      <c r="AH97" s="17">
        <v>3010.3655720248034</v>
      </c>
      <c r="AI97" s="106">
        <v>4.9264206416122809</v>
      </c>
      <c r="AJ97" s="17">
        <f t="shared" si="11"/>
        <v>0.99969138376840871</v>
      </c>
      <c r="AK97" s="15">
        <f t="shared" si="12"/>
        <v>0.66820553293099649</v>
      </c>
      <c r="AL97" s="5">
        <v>1.5359</v>
      </c>
      <c r="AN97" s="105">
        <f>AI97</f>
        <v>4.9264206416122809</v>
      </c>
      <c r="AQ97" s="98">
        <f t="shared" si="7"/>
        <v>1</v>
      </c>
    </row>
    <row r="98" spans="1:43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5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8"/>
        <v>6.1922580536058973</v>
      </c>
      <c r="W98" s="15">
        <v>3.0584899999999999</v>
      </c>
      <c r="X98" s="15"/>
      <c r="Y98" s="15">
        <f t="shared" si="9"/>
        <v>0.49392159911988315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0"/>
        <v>2091.5709518227281</v>
      </c>
      <c r="AH98" s="17">
        <v>2393.5008227522562</v>
      </c>
      <c r="AI98" s="106">
        <v>3.5379999999999998</v>
      </c>
      <c r="AJ98" s="17">
        <f t="shared" si="11"/>
        <v>1.3229566359060365</v>
      </c>
      <c r="AK98" s="15">
        <f t="shared" si="12"/>
        <v>0.49392159911988315</v>
      </c>
      <c r="AL98" s="5">
        <v>1.5359</v>
      </c>
      <c r="AN98" s="105">
        <v>3.5379999999999998</v>
      </c>
      <c r="AQ98" s="6">
        <f t="shared" si="7"/>
        <v>1</v>
      </c>
    </row>
    <row r="99" spans="1:43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5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8"/>
        <v>8.0691858549511917</v>
      </c>
      <c r="W99" s="15">
        <v>2.67319</v>
      </c>
      <c r="X99" s="15"/>
      <c r="Y99" s="15">
        <f t="shared" si="9"/>
        <v>0.3312837314758032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0"/>
        <v>1402.8611642028059</v>
      </c>
      <c r="AH99" s="17">
        <v>1836.7620987321591</v>
      </c>
      <c r="AI99" s="106">
        <v>2.948</v>
      </c>
      <c r="AJ99" s="17">
        <f t="shared" si="11"/>
        <v>1.6544403734921072</v>
      </c>
      <c r="AK99" s="15">
        <f t="shared" si="12"/>
        <v>0.3312837314758032</v>
      </c>
      <c r="AL99" s="5">
        <v>1.5359</v>
      </c>
      <c r="AN99" s="105">
        <v>2.948</v>
      </c>
      <c r="AQ99" s="6">
        <f t="shared" si="7"/>
        <v>1</v>
      </c>
    </row>
    <row r="100" spans="1:43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6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8"/>
        <v>10.414484593793627</v>
      </c>
      <c r="W100" s="31">
        <v>2.3793099999999998</v>
      </c>
      <c r="X100" s="31"/>
      <c r="Y100" s="31">
        <f t="shared" si="9"/>
        <v>0.22846161791030137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0"/>
        <v>967.44844622927428</v>
      </c>
      <c r="AH100" s="34">
        <v>1423.1308916460907</v>
      </c>
      <c r="AI100" s="107">
        <v>2.6640999999999999</v>
      </c>
      <c r="AJ100" s="34">
        <f t="shared" si="11"/>
        <v>1.9771682584463406</v>
      </c>
      <c r="AK100" s="31">
        <f t="shared" si="12"/>
        <v>0.22846161791030137</v>
      </c>
      <c r="AL100" s="5">
        <v>1.5359</v>
      </c>
      <c r="AN100" s="105">
        <v>2.6640999999999999</v>
      </c>
      <c r="AQ100" s="6">
        <f t="shared" si="7"/>
        <v>1</v>
      </c>
    </row>
    <row r="101" spans="1:43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7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8"/>
        <v>14.852293050697826</v>
      </c>
      <c r="W101" s="42">
        <v>2.14574</v>
      </c>
      <c r="X101" s="42"/>
      <c r="Y101" s="42">
        <f t="shared" si="9"/>
        <v>0.14447196757265598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0"/>
        <v>611.78407922650854</v>
      </c>
      <c r="AH101" s="43">
        <v>997.90481479246318</v>
      </c>
      <c r="AI101" s="108">
        <v>2.4401999999999999</v>
      </c>
      <c r="AJ101" s="43">
        <f t="shared" si="11"/>
        <v>2.4670846063065928</v>
      </c>
      <c r="AK101" s="42">
        <f t="shared" si="12"/>
        <v>0.14447196757265598</v>
      </c>
      <c r="AL101" s="5">
        <v>1.5359</v>
      </c>
      <c r="AN101" s="105">
        <v>2.4401999999999999</v>
      </c>
      <c r="AQ101" s="6">
        <f t="shared" si="7"/>
        <v>1</v>
      </c>
    </row>
    <row r="102" spans="1:43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ref="L102:L134" si="13">2*C102*F102+(E102-2*F102)*H102</f>
        <v>15434.550000000001</v>
      </c>
      <c r="M102" s="36"/>
      <c r="N102" s="36"/>
      <c r="O102" s="36"/>
      <c r="P102" s="36">
        <f t="shared" ref="P102:P134" si="14">(H102*(E102-2*F102)^3)/12 + (C102*F102^3)/6 + 2*C102*F102*(E102/2 - F102/2)^2</f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4.6087999999999996</v>
      </c>
      <c r="X102" s="36"/>
      <c r="Y102" s="36">
        <f t="shared" si="9"/>
        <v>1.249536947007837</v>
      </c>
      <c r="Z102" s="36"/>
      <c r="AA102" s="38"/>
      <c r="AB102" s="36">
        <v>0.3550200773318104</v>
      </c>
      <c r="AC102" s="39">
        <v>0.3</v>
      </c>
      <c r="AD102" s="36"/>
      <c r="AE102" s="36" t="s">
        <v>135</v>
      </c>
      <c r="AF102" s="40" t="s">
        <v>5</v>
      </c>
      <c r="AG102" s="39">
        <f t="shared" si="10"/>
        <v>8871.5786233023136</v>
      </c>
      <c r="AH102" s="39">
        <v>6737.2255644762408</v>
      </c>
      <c r="AI102" s="36">
        <f t="shared" ref="AI102:AI134" si="15">(PI()^2*U102*P102/K102^2)/(S102*1000)</f>
        <v>40.860238702785502</v>
      </c>
      <c r="AJ102" s="39">
        <f t="shared" si="11"/>
        <v>0.30044773224364668</v>
      </c>
      <c r="AK102" s="36">
        <f t="shared" si="12"/>
        <v>1.249536947007837</v>
      </c>
      <c r="AL102" s="56">
        <v>26.521000000000001</v>
      </c>
      <c r="AN102" s="5">
        <v>35.716000000000001</v>
      </c>
      <c r="AQ102" s="5">
        <f t="shared" ref="AQ102:AQ133" si="16">AI102/AN102</f>
        <v>1.1440317701530267</v>
      </c>
    </row>
    <row r="103" spans="1:43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3"/>
        <v>15434.550000000001</v>
      </c>
      <c r="M103" s="15"/>
      <c r="N103" s="15"/>
      <c r="O103" s="15"/>
      <c r="P103" s="15">
        <f t="shared" si="14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4.153939239175422</v>
      </c>
      <c r="W103" s="15">
        <v>4.3897000000000004</v>
      </c>
      <c r="X103" s="15"/>
      <c r="Y103" s="15">
        <f t="shared" si="9"/>
        <v>1.0567559483299949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0"/>
        <v>7502.8541602564937</v>
      </c>
      <c r="AH103" s="17">
        <v>5982.1831926777968</v>
      </c>
      <c r="AI103" s="15">
        <f t="shared" si="15"/>
        <v>16.566271697353649</v>
      </c>
      <c r="AJ103" s="17">
        <f t="shared" si="11"/>
        <v>0.50074622040607786</v>
      </c>
      <c r="AK103" s="15">
        <f t="shared" si="12"/>
        <v>1.0567559483299949</v>
      </c>
      <c r="AL103" s="5">
        <v>26.521000000000001</v>
      </c>
      <c r="AN103" s="5">
        <v>17.076000000000001</v>
      </c>
      <c r="AQ103" s="5">
        <f t="shared" si="16"/>
        <v>0.97014943179630175</v>
      </c>
    </row>
    <row r="104" spans="1:43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3"/>
        <v>15434.550000000001</v>
      </c>
      <c r="M104" s="15"/>
      <c r="N104" s="15"/>
      <c r="O104" s="15"/>
      <c r="P104" s="15">
        <f t="shared" si="14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5.0517068854483735</v>
      </c>
      <c r="W104" s="15">
        <v>4.5543100000000001</v>
      </c>
      <c r="X104" s="15"/>
      <c r="Y104" s="15">
        <f t="shared" si="9"/>
        <v>0.90153884682400254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0"/>
        <v>6400.8293477938078</v>
      </c>
      <c r="AH104" s="17">
        <v>4919.0552942769218</v>
      </c>
      <c r="AI104" s="15">
        <f t="shared" si="15"/>
        <v>8.9540654712066541</v>
      </c>
      <c r="AJ104" s="17">
        <f t="shared" si="11"/>
        <v>0.75111933060911673</v>
      </c>
      <c r="AK104" s="15">
        <f t="shared" si="12"/>
        <v>0.90153884682400254</v>
      </c>
      <c r="AL104" s="5">
        <v>26.521000000000001</v>
      </c>
      <c r="AN104" s="5">
        <v>9.3122000000000007</v>
      </c>
      <c r="AQ104" s="5">
        <f t="shared" si="16"/>
        <v>0.96154136199895335</v>
      </c>
    </row>
    <row r="105" spans="1:43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3"/>
        <v>15434.550000000001</v>
      </c>
      <c r="M105" s="15"/>
      <c r="N105" s="15"/>
      <c r="O105" s="15"/>
      <c r="P105" s="15">
        <f t="shared" si="14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6.4926212516107089</v>
      </c>
      <c r="W105" s="15">
        <v>4.8664500000000004</v>
      </c>
      <c r="X105" s="15"/>
      <c r="Y105" s="15">
        <f t="shared" si="9"/>
        <v>0.74953548211251608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0"/>
        <v>5321.621722702278</v>
      </c>
      <c r="AH105" s="17">
        <v>3827.3641010301089</v>
      </c>
      <c r="AI105" s="15">
        <f t="shared" si="15"/>
        <v>6.4732848441679556</v>
      </c>
      <c r="AJ105" s="17">
        <f t="shared" si="11"/>
        <v>1.0014924408121557</v>
      </c>
      <c r="AK105" s="15">
        <f t="shared" si="12"/>
        <v>0.74953548211251608</v>
      </c>
      <c r="AL105" s="5">
        <v>26.521000000000001</v>
      </c>
      <c r="AN105" s="5">
        <v>6.7670000000000003</v>
      </c>
      <c r="AQ105" s="5">
        <f t="shared" si="16"/>
        <v>0.95659595746533987</v>
      </c>
    </row>
    <row r="106" spans="1:43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3"/>
        <v>15434.550000000001</v>
      </c>
      <c r="M106" s="15"/>
      <c r="N106" s="15"/>
      <c r="O106" s="15"/>
      <c r="P106" s="15">
        <f t="shared" si="14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9.3187330614180777</v>
      </c>
      <c r="W106" s="15">
        <v>4.7639300000000002</v>
      </c>
      <c r="X106" s="15"/>
      <c r="Y106" s="15">
        <f t="shared" si="9"/>
        <v>0.51122078168800444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0"/>
        <v>3629.6128493611914</v>
      </c>
      <c r="AH106" s="17">
        <v>2666.6313259775375</v>
      </c>
      <c r="AI106" s="15">
        <f t="shared" si="15"/>
        <v>5.2524053885061557</v>
      </c>
      <c r="AJ106" s="17">
        <f t="shared" si="11"/>
        <v>1.3319849462801672</v>
      </c>
      <c r="AK106" s="15">
        <f t="shared" si="12"/>
        <v>0.51122078168800444</v>
      </c>
      <c r="AL106" s="5">
        <v>26.521000000000001</v>
      </c>
      <c r="AN106" s="5">
        <v>5.5064000000000002</v>
      </c>
      <c r="AQ106" s="5">
        <f t="shared" si="16"/>
        <v>0.95387283679103507</v>
      </c>
    </row>
    <row r="107" spans="1:43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3"/>
        <v>15434.550000000001</v>
      </c>
      <c r="M107" s="15"/>
      <c r="N107" s="15"/>
      <c r="O107" s="15"/>
      <c r="P107" s="15">
        <f t="shared" si="14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13.224532825935254</v>
      </c>
      <c r="W107" s="15">
        <v>4.5419999999999998</v>
      </c>
      <c r="X107" s="15"/>
      <c r="Y107" s="15">
        <f t="shared" si="9"/>
        <v>0.34345258617321206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0"/>
        <v>2438.4766124030853</v>
      </c>
      <c r="AH107" s="17">
        <v>1879.0550734061646</v>
      </c>
      <c r="AI107" s="15">
        <f t="shared" si="15"/>
        <v>4.727723243414192</v>
      </c>
      <c r="AJ107" s="17">
        <f t="shared" si="11"/>
        <v>1.6724923761562998</v>
      </c>
      <c r="AK107" s="15">
        <f t="shared" si="12"/>
        <v>0.34345258617321206</v>
      </c>
      <c r="AL107" s="5">
        <v>26.521000000000001</v>
      </c>
      <c r="AN107" s="5">
        <v>4.9631999999999996</v>
      </c>
      <c r="AQ107" s="5">
        <f t="shared" si="16"/>
        <v>0.95255545684521925</v>
      </c>
    </row>
    <row r="108" spans="1:43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3"/>
        <v>15434.550000000001</v>
      </c>
      <c r="M108" s="15"/>
      <c r="N108" s="15"/>
      <c r="O108" s="15"/>
      <c r="P108" s="15">
        <f t="shared" si="14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17.886215442179413</v>
      </c>
      <c r="W108" s="15">
        <v>4.37507</v>
      </c>
      <c r="X108" s="15"/>
      <c r="Y108" s="15">
        <f t="shared" si="9"/>
        <v>0.2446056861018612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0"/>
        <v>1736.6741985148019</v>
      </c>
      <c r="AH108" s="17">
        <v>1389.3171297377658</v>
      </c>
      <c r="AI108" s="15">
        <f t="shared" si="15"/>
        <v>4.4582366217904346</v>
      </c>
      <c r="AJ108" s="17">
        <f t="shared" si="11"/>
        <v>2.0029848816243114</v>
      </c>
      <c r="AK108" s="15">
        <f t="shared" si="12"/>
        <v>0.2446056861018612</v>
      </c>
      <c r="AL108" s="5">
        <v>26.521000000000001</v>
      </c>
      <c r="AN108" s="5">
        <v>4.6836000000000002</v>
      </c>
      <c r="AQ108" s="5">
        <f t="shared" si="16"/>
        <v>0.95188244550995693</v>
      </c>
    </row>
    <row r="109" spans="1:43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3"/>
        <v>15434.550000000001</v>
      </c>
      <c r="M109" s="15"/>
      <c r="N109" s="15"/>
      <c r="O109" s="15"/>
      <c r="P109" s="15">
        <f t="shared" si="14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26.492657579321744</v>
      </c>
      <c r="W109" s="15">
        <v>4.16974</v>
      </c>
      <c r="X109" s="15"/>
      <c r="Y109" s="15">
        <f t="shared" si="9"/>
        <v>0.15739228831669186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0"/>
        <v>1117.4684060736624</v>
      </c>
      <c r="AH109" s="17">
        <v>937.98160586938718</v>
      </c>
      <c r="AI109" s="15">
        <f t="shared" si="15"/>
        <v>4.2262010893651905</v>
      </c>
      <c r="AJ109" s="17">
        <f t="shared" si="11"/>
        <v>2.5037311020303892</v>
      </c>
      <c r="AK109" s="15">
        <f t="shared" si="12"/>
        <v>0.15739228831669186</v>
      </c>
      <c r="AL109" s="5">
        <v>26.521000000000001</v>
      </c>
      <c r="AN109" s="5">
        <v>4.4425999999999997</v>
      </c>
      <c r="AQ109" s="5">
        <f t="shared" si="16"/>
        <v>0.95129003046981286</v>
      </c>
    </row>
    <row r="110" spans="1:43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3"/>
        <v>11835.099999999999</v>
      </c>
      <c r="M110" s="15"/>
      <c r="N110" s="15"/>
      <c r="O110" s="15"/>
      <c r="P110" s="15">
        <f t="shared" si="14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3.6875184446391596</v>
      </c>
      <c r="W110" s="15">
        <v>4.4131400000000003</v>
      </c>
      <c r="X110" s="15"/>
      <c r="Y110" s="15">
        <f t="shared" si="9"/>
        <v>1.1967777426078328</v>
      </c>
      <c r="Z110" s="15"/>
      <c r="AA110" s="16"/>
      <c r="AB110" s="15">
        <v>0.50420742049940981</v>
      </c>
      <c r="AC110" s="17">
        <v>0.3</v>
      </c>
      <c r="AD110" s="15"/>
      <c r="AE110" s="15" t="s">
        <v>136</v>
      </c>
      <c r="AF110" s="22" t="s">
        <v>5</v>
      </c>
      <c r="AG110" s="17">
        <f t="shared" si="10"/>
        <v>6515.4327603074607</v>
      </c>
      <c r="AH110" s="17">
        <v>5167.2991704491842</v>
      </c>
      <c r="AI110" s="15">
        <f t="shared" si="15"/>
        <v>40.972427162657326</v>
      </c>
      <c r="AJ110" s="17">
        <f t="shared" si="11"/>
        <v>0.30000000000000004</v>
      </c>
      <c r="AK110" s="15">
        <f t="shared" si="12"/>
        <v>1.1967777426078328</v>
      </c>
      <c r="AL110" s="56">
        <v>15.672000000000001</v>
      </c>
      <c r="AN110" s="5">
        <v>21.7</v>
      </c>
      <c r="AQ110" s="5">
        <f t="shared" si="16"/>
        <v>1.8881302839934253</v>
      </c>
    </row>
    <row r="111" spans="1:43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3"/>
        <v>11835.099999999999</v>
      </c>
      <c r="M111" s="15"/>
      <c r="N111" s="15"/>
      <c r="O111" s="15"/>
      <c r="P111" s="15">
        <f t="shared" si="14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4.1518828485211703</v>
      </c>
      <c r="W111" s="15">
        <v>4.35175</v>
      </c>
      <c r="X111" s="15"/>
      <c r="Y111" s="15">
        <f t="shared" si="9"/>
        <v>1.048138918840164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0"/>
        <v>5706.2213024480034</v>
      </c>
      <c r="AH111" s="17">
        <v>4589.3662454341384</v>
      </c>
      <c r="AI111" s="15">
        <f t="shared" si="15"/>
        <v>16.607531394084678</v>
      </c>
      <c r="AJ111" s="17">
        <f t="shared" si="11"/>
        <v>0.5</v>
      </c>
      <c r="AK111" s="15">
        <f t="shared" si="12"/>
        <v>1.048138918840164</v>
      </c>
      <c r="AL111" s="5">
        <v>15.672000000000001</v>
      </c>
      <c r="AN111" s="5">
        <v>16.896000000000001</v>
      </c>
      <c r="AQ111" s="5">
        <f t="shared" si="16"/>
        <v>0.98292681072944343</v>
      </c>
    </row>
    <row r="112" spans="1:43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3"/>
        <v>11835.099999999999</v>
      </c>
      <c r="M112" s="15"/>
      <c r="N112" s="15"/>
      <c r="O112" s="15"/>
      <c r="P112" s="15">
        <f t="shared" si="14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5.0466007171573128</v>
      </c>
      <c r="W112" s="15">
        <v>4.4842399999999998</v>
      </c>
      <c r="X112" s="15"/>
      <c r="Y112" s="15">
        <f t="shared" si="9"/>
        <v>0.88856643339239971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0"/>
        <v>4837.4853940874982</v>
      </c>
      <c r="AH112" s="17">
        <v>3775.7120223953771</v>
      </c>
      <c r="AI112" s="15">
        <f t="shared" si="15"/>
        <v>8.9717346082796627</v>
      </c>
      <c r="AJ112" s="17">
        <f t="shared" si="11"/>
        <v>0.75000000000000022</v>
      </c>
      <c r="AK112" s="15">
        <f t="shared" si="12"/>
        <v>0.88856643339239971</v>
      </c>
      <c r="AL112" s="5">
        <v>15.672000000000001</v>
      </c>
      <c r="AN112" s="5">
        <v>9.2317999999999998</v>
      </c>
      <c r="AQ112" s="5">
        <f t="shared" si="16"/>
        <v>0.97182939494786102</v>
      </c>
    </row>
    <row r="113" spans="1:43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3"/>
        <v>11835.099999999999</v>
      </c>
      <c r="M113" s="15"/>
      <c r="N113" s="15"/>
      <c r="O113" s="15"/>
      <c r="P113" s="15">
        <f t="shared" si="14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6.4822134047165632</v>
      </c>
      <c r="W113" s="15">
        <v>4.8378199999999998</v>
      </c>
      <c r="X113" s="15"/>
      <c r="Y113" s="15">
        <f t="shared" si="9"/>
        <v>0.74632223562401134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0"/>
        <v>4063.0872137835186</v>
      </c>
      <c r="AH113" s="17">
        <v>2939.506895304562</v>
      </c>
      <c r="AI113" s="15">
        <f t="shared" si="15"/>
        <v>6.4822134047165623</v>
      </c>
      <c r="AJ113" s="17">
        <f t="shared" si="11"/>
        <v>1</v>
      </c>
      <c r="AK113" s="15">
        <f t="shared" si="12"/>
        <v>0.74632223562401134</v>
      </c>
      <c r="AL113" s="5">
        <v>15.672000000000001</v>
      </c>
      <c r="AN113" s="5">
        <v>6.7108999999999996</v>
      </c>
      <c r="AQ113" s="5">
        <f t="shared" si="16"/>
        <v>0.96592311086688265</v>
      </c>
    </row>
    <row r="114" spans="1:43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3"/>
        <v>11835.099999999999</v>
      </c>
      <c r="M114" s="15"/>
      <c r="N114" s="15"/>
      <c r="O114" s="15"/>
      <c r="P114" s="15">
        <f t="shared" si="14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9.2987954997459781</v>
      </c>
      <c r="W114" s="15">
        <v>4.7508800000000004</v>
      </c>
      <c r="X114" s="15"/>
      <c r="Y114" s="15">
        <f t="shared" si="9"/>
        <v>0.5109134833785498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0"/>
        <v>2781.4875968813976</v>
      </c>
      <c r="AH114" s="17">
        <v>2049.137546956541</v>
      </c>
      <c r="AI114" s="15">
        <f t="shared" si="15"/>
        <v>5.2568237321193818</v>
      </c>
      <c r="AJ114" s="17">
        <f t="shared" si="11"/>
        <v>1.3300000000000003</v>
      </c>
      <c r="AK114" s="15">
        <f t="shared" si="12"/>
        <v>0.5109134833785498</v>
      </c>
      <c r="AL114" s="5">
        <v>15.672000000000001</v>
      </c>
      <c r="AN114" s="5">
        <v>5.4607999999999999</v>
      </c>
      <c r="AQ114" s="5">
        <f t="shared" si="16"/>
        <v>0.96264718211972278</v>
      </c>
    </row>
    <row r="115" spans="1:43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3"/>
        <v>11835.099999999999</v>
      </c>
      <c r="M115" s="15"/>
      <c r="N115" s="15"/>
      <c r="O115" s="15"/>
      <c r="P115" s="15">
        <f t="shared" si="14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13.19255585759235</v>
      </c>
      <c r="W115" s="15">
        <v>4.5224099999999998</v>
      </c>
      <c r="X115" s="15"/>
      <c r="Y115" s="15">
        <f t="shared" si="9"/>
        <v>0.34280014038351342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0"/>
        <v>1866.2540130683428</v>
      </c>
      <c r="AH115" s="17">
        <v>1444.3380953383705</v>
      </c>
      <c r="AI115" s="15">
        <f t="shared" si="15"/>
        <v>4.7303796685404098</v>
      </c>
      <c r="AJ115" s="17">
        <f t="shared" si="11"/>
        <v>1.67</v>
      </c>
      <c r="AK115" s="15">
        <f t="shared" si="12"/>
        <v>0.34280014038351342</v>
      </c>
      <c r="AL115" s="5">
        <v>15.672000000000001</v>
      </c>
      <c r="AN115" s="5">
        <v>4.9218999999999999</v>
      </c>
      <c r="AQ115" s="5">
        <f t="shared" si="16"/>
        <v>0.96108813030342144</v>
      </c>
    </row>
    <row r="116" spans="1:43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3"/>
        <v>11835.099999999999</v>
      </c>
      <c r="M116" s="15"/>
      <c r="N116" s="15"/>
      <c r="O116" s="15"/>
      <c r="P116" s="15">
        <f t="shared" si="14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17.840429325891453</v>
      </c>
      <c r="W116" s="15">
        <v>4.3521000000000001</v>
      </c>
      <c r="X116" s="15"/>
      <c r="Y116" s="15">
        <f t="shared" si="9"/>
        <v>0.24394592307730428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0"/>
        <v>1328.0772213376135</v>
      </c>
      <c r="AH116" s="17">
        <v>1068.0522677975339</v>
      </c>
      <c r="AI116" s="15">
        <f t="shared" si="15"/>
        <v>4.4601073314728623</v>
      </c>
      <c r="AJ116" s="17">
        <f t="shared" si="11"/>
        <v>2</v>
      </c>
      <c r="AK116" s="15">
        <f t="shared" si="12"/>
        <v>0.24394592307730428</v>
      </c>
      <c r="AL116" s="5">
        <v>15.672000000000001</v>
      </c>
      <c r="AN116" s="5">
        <v>4.6445999999999996</v>
      </c>
      <c r="AQ116" s="5">
        <f t="shared" si="16"/>
        <v>0.96027802856497069</v>
      </c>
    </row>
    <row r="117" spans="1:43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3"/>
        <v>11835.099999999999</v>
      </c>
      <c r="M117" s="15"/>
      <c r="N117" s="15"/>
      <c r="O117" s="15"/>
      <c r="P117" s="15">
        <f t="shared" si="14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26.421797868568682</v>
      </c>
      <c r="W117" s="15">
        <v>4.1463099999999997</v>
      </c>
      <c r="X117" s="15"/>
      <c r="Y117" s="15">
        <f t="shared" si="9"/>
        <v>0.15692762546383879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0"/>
        <v>854.33690445845582</v>
      </c>
      <c r="AH117" s="17">
        <v>721.16632996678868</v>
      </c>
      <c r="AI117" s="15">
        <f t="shared" si="15"/>
        <v>4.2274876589709889</v>
      </c>
      <c r="AJ117" s="17">
        <f t="shared" si="11"/>
        <v>2.5</v>
      </c>
      <c r="AK117" s="15">
        <f t="shared" si="12"/>
        <v>0.15692762546383879</v>
      </c>
      <c r="AL117" s="5">
        <v>15.672000000000001</v>
      </c>
      <c r="AN117" s="5">
        <v>4.4055</v>
      </c>
      <c r="AQ117" s="5">
        <f t="shared" si="16"/>
        <v>0.95959315831823599</v>
      </c>
    </row>
    <row r="118" spans="1:43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3"/>
        <v>10343.099999999999</v>
      </c>
      <c r="M118" s="15"/>
      <c r="N118" s="15"/>
      <c r="O118" s="15"/>
      <c r="P118" s="15">
        <f t="shared" si="14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3.6875184446391605</v>
      </c>
      <c r="W118" s="15">
        <v>4.0778499999999998</v>
      </c>
      <c r="X118" s="15"/>
      <c r="Y118" s="15">
        <f t="shared" si="9"/>
        <v>1.1058520957171876</v>
      </c>
      <c r="Z118" s="15"/>
      <c r="AA118" s="16"/>
      <c r="AB118" s="15">
        <v>0.60172287236842936</v>
      </c>
      <c r="AC118" s="17">
        <v>0.3</v>
      </c>
      <c r="AD118" s="15"/>
      <c r="AE118" s="15" t="s">
        <v>137</v>
      </c>
      <c r="AF118" s="22" t="s">
        <v>5</v>
      </c>
      <c r="AG118" s="17">
        <f t="shared" si="10"/>
        <v>5261.4518531577232</v>
      </c>
      <c r="AH118" s="17">
        <v>4515.8800559245765</v>
      </c>
      <c r="AI118" s="15">
        <f t="shared" si="15"/>
        <v>40.972427162657333</v>
      </c>
      <c r="AJ118" s="17">
        <f t="shared" si="11"/>
        <v>0.30000000000000004</v>
      </c>
      <c r="AK118" s="15">
        <f t="shared" si="12"/>
        <v>1.1058520957171876</v>
      </c>
      <c r="AL118" s="56">
        <v>10.936</v>
      </c>
      <c r="AN118" s="5">
        <v>17.765999999999998</v>
      </c>
      <c r="AQ118" s="5">
        <f t="shared" si="16"/>
        <v>2.3062269032228602</v>
      </c>
    </row>
    <row r="119" spans="1:43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3"/>
        <v>10343.099999999999</v>
      </c>
      <c r="M119" s="15"/>
      <c r="N119" s="15"/>
      <c r="O119" s="15"/>
      <c r="P119" s="15">
        <f t="shared" si="14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4.1518828485211703</v>
      </c>
      <c r="W119" s="15">
        <v>4.3270200000000001</v>
      </c>
      <c r="X119" s="15"/>
      <c r="Y119" s="15">
        <f t="shared" si="9"/>
        <v>1.0421825850749162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0"/>
        <v>4958.5234000166474</v>
      </c>
      <c r="AH119" s="17">
        <v>4010.8046415450513</v>
      </c>
      <c r="AI119" s="15">
        <f t="shared" si="15"/>
        <v>16.607531394084681</v>
      </c>
      <c r="AJ119" s="17">
        <f t="shared" si="11"/>
        <v>0.5</v>
      </c>
      <c r="AK119" s="15">
        <f t="shared" si="12"/>
        <v>1.0421825850749162</v>
      </c>
      <c r="AL119" s="5">
        <v>10.936</v>
      </c>
      <c r="AN119" s="5">
        <v>16.759</v>
      </c>
      <c r="AQ119" s="5">
        <f t="shared" si="16"/>
        <v>0.99096195441760726</v>
      </c>
    </row>
    <row r="120" spans="1:43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3"/>
        <v>10343.099999999999</v>
      </c>
      <c r="M120" s="15"/>
      <c r="N120" s="15"/>
      <c r="O120" s="15"/>
      <c r="P120" s="15">
        <f t="shared" si="14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5.046600717157312</v>
      </c>
      <c r="W120" s="15">
        <v>4.4561900000000003</v>
      </c>
      <c r="X120" s="15"/>
      <c r="Y120" s="15">
        <f t="shared" si="9"/>
        <v>0.88300823658387562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0"/>
        <v>4201.1995462329141</v>
      </c>
      <c r="AH120" s="17">
        <v>3299.7242962744403</v>
      </c>
      <c r="AI120" s="15">
        <f t="shared" si="15"/>
        <v>8.9717346082796663</v>
      </c>
      <c r="AJ120" s="17">
        <f t="shared" si="11"/>
        <v>0.75</v>
      </c>
      <c r="AK120" s="15">
        <f t="shared" si="12"/>
        <v>0.88300823658387562</v>
      </c>
      <c r="AL120" s="5">
        <v>10.936</v>
      </c>
      <c r="AN120" s="5">
        <v>9.1747999999999994</v>
      </c>
      <c r="AQ120" s="5">
        <f t="shared" si="16"/>
        <v>0.97786704977543559</v>
      </c>
    </row>
    <row r="121" spans="1:43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3"/>
        <v>10343.099999999999</v>
      </c>
      <c r="M121" s="15"/>
      <c r="N121" s="15"/>
      <c r="O121" s="15"/>
      <c r="P121" s="15">
        <f t="shared" si="14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6.4822134047165623</v>
      </c>
      <c r="W121" s="15">
        <v>4.8276599999999998</v>
      </c>
      <c r="X121" s="15"/>
      <c r="Y121" s="15">
        <f t="shared" si="9"/>
        <v>0.74475486976212746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0"/>
        <v>3543.4140829808634</v>
      </c>
      <c r="AH121" s="17">
        <v>2568.935942140296</v>
      </c>
      <c r="AI121" s="15">
        <f t="shared" si="15"/>
        <v>6.4822134047165623</v>
      </c>
      <c r="AJ121" s="17">
        <f t="shared" si="11"/>
        <v>1</v>
      </c>
      <c r="AK121" s="15">
        <f t="shared" si="12"/>
        <v>0.74475486976212746</v>
      </c>
      <c r="AL121" s="5">
        <v>10.936</v>
      </c>
      <c r="AN121" s="5">
        <v>6.6744000000000003</v>
      </c>
      <c r="AQ121" s="5">
        <f t="shared" si="16"/>
        <v>0.97120541242906655</v>
      </c>
    </row>
    <row r="122" spans="1:43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3"/>
        <v>10343.099999999999</v>
      </c>
      <c r="M122" s="15"/>
      <c r="N122" s="15"/>
      <c r="O122" s="15"/>
      <c r="P122" s="15">
        <f t="shared" si="14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9.2987954997459781</v>
      </c>
      <c r="W122" s="15">
        <v>4.7446200000000003</v>
      </c>
      <c r="X122" s="15"/>
      <c r="Y122" s="15">
        <f t="shared" si="9"/>
        <v>0.51024027790799487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0"/>
        <v>2427.6344604778833</v>
      </c>
      <c r="AH122" s="17">
        <v>1790.8116164566586</v>
      </c>
      <c r="AI122" s="15">
        <f t="shared" si="15"/>
        <v>5.2568237321193827</v>
      </c>
      <c r="AJ122" s="17">
        <f t="shared" si="11"/>
        <v>1.33</v>
      </c>
      <c r="AK122" s="15">
        <f t="shared" si="12"/>
        <v>0.51024027790799487</v>
      </c>
      <c r="AL122" s="5">
        <v>10.936</v>
      </c>
      <c r="AN122" s="5">
        <v>5.4335000000000004</v>
      </c>
      <c r="AQ122" s="5">
        <f t="shared" si="16"/>
        <v>0.96748389290869274</v>
      </c>
    </row>
    <row r="123" spans="1:43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3"/>
        <v>10343.099999999999</v>
      </c>
      <c r="M123" s="15"/>
      <c r="N123" s="15"/>
      <c r="O123" s="15"/>
      <c r="P123" s="15">
        <f t="shared" si="14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13.192555857592344</v>
      </c>
      <c r="W123" s="15">
        <v>4.5114599999999996</v>
      </c>
      <c r="X123" s="15"/>
      <c r="Y123" s="15">
        <f t="shared" si="9"/>
        <v>0.34197012684268036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0"/>
        <v>1627.034360715402</v>
      </c>
      <c r="AH123" s="17">
        <v>1262.2566225798096</v>
      </c>
      <c r="AI123" s="15">
        <f t="shared" si="15"/>
        <v>4.7303796685404098</v>
      </c>
      <c r="AJ123" s="17">
        <f t="shared" si="11"/>
        <v>1.6699999999999997</v>
      </c>
      <c r="AK123" s="15">
        <f t="shared" si="12"/>
        <v>0.34197012684268036</v>
      </c>
      <c r="AL123" s="5">
        <v>10.936</v>
      </c>
      <c r="AN123" s="5">
        <v>4.8982999999999999</v>
      </c>
      <c r="AQ123" s="5">
        <f t="shared" si="16"/>
        <v>0.9657186510708633</v>
      </c>
    </row>
    <row r="124" spans="1:43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3"/>
        <v>10343.099999999999</v>
      </c>
      <c r="M124" s="15"/>
      <c r="N124" s="15"/>
      <c r="O124" s="15"/>
      <c r="P124" s="15">
        <f t="shared" si="14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17.840429325891456</v>
      </c>
      <c r="W124" s="15">
        <v>4.3393899999999999</v>
      </c>
      <c r="X124" s="15"/>
      <c r="Y124" s="15">
        <f t="shared" si="9"/>
        <v>0.24323349627591812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0"/>
        <v>1157.2626526524662</v>
      </c>
      <c r="AH124" s="17">
        <v>933.4075260079486</v>
      </c>
      <c r="AI124" s="15">
        <f t="shared" si="15"/>
        <v>4.4601073314728641</v>
      </c>
      <c r="AJ124" s="17">
        <f t="shared" si="11"/>
        <v>2</v>
      </c>
      <c r="AK124" s="15">
        <f t="shared" si="12"/>
        <v>0.24323349627591812</v>
      </c>
      <c r="AL124" s="5">
        <v>10.936</v>
      </c>
      <c r="AN124" s="5">
        <v>4.6228999999999996</v>
      </c>
      <c r="AQ124" s="5">
        <f t="shared" si="16"/>
        <v>0.9647855959403977</v>
      </c>
    </row>
    <row r="125" spans="1:43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3"/>
        <v>10343.099999999999</v>
      </c>
      <c r="M125" s="15"/>
      <c r="N125" s="15"/>
      <c r="O125" s="15"/>
      <c r="P125" s="15">
        <f t="shared" si="14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26.421797868568685</v>
      </c>
      <c r="W125" s="15">
        <v>4.1336500000000003</v>
      </c>
      <c r="X125" s="15"/>
      <c r="Y125" s="15">
        <f t="shared" si="9"/>
        <v>0.15644847563221206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0"/>
        <v>744.35462502330483</v>
      </c>
      <c r="AH125" s="17">
        <v>630.25200188249289</v>
      </c>
      <c r="AI125" s="15">
        <f t="shared" si="15"/>
        <v>4.2274876589709889</v>
      </c>
      <c r="AJ125" s="17">
        <f t="shared" si="11"/>
        <v>2.5</v>
      </c>
      <c r="AK125" s="15">
        <f t="shared" si="12"/>
        <v>0.15644847563221206</v>
      </c>
      <c r="AL125" s="5">
        <v>10.936</v>
      </c>
      <c r="AN125" s="5">
        <v>4.3853999999999997</v>
      </c>
      <c r="AQ125" s="5">
        <f t="shared" si="16"/>
        <v>0.9639913483310506</v>
      </c>
    </row>
    <row r="126" spans="1:43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3"/>
        <v>8515.4</v>
      </c>
      <c r="M126" s="15"/>
      <c r="N126" s="15"/>
      <c r="O126" s="15"/>
      <c r="P126" s="15">
        <f t="shared" si="14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3.6875184446391613</v>
      </c>
      <c r="W126" s="15">
        <v>3.76464</v>
      </c>
      <c r="X126" s="15"/>
      <c r="Y126" s="15">
        <f t="shared" si="9"/>
        <v>1.0209142154862862</v>
      </c>
      <c r="Z126" s="15"/>
      <c r="AA126" s="16"/>
      <c r="AB126" s="15">
        <v>0.80762280341764636</v>
      </c>
      <c r="AC126" s="17">
        <v>0.3</v>
      </c>
      <c r="AD126" s="15"/>
      <c r="AE126" s="15" t="s">
        <v>138</v>
      </c>
      <c r="AF126" s="24" t="s">
        <v>218</v>
      </c>
      <c r="AG126" s="17">
        <f t="shared" si="10"/>
        <v>3999.0067388538841</v>
      </c>
      <c r="AH126" s="17">
        <v>3717.8916406319318</v>
      </c>
      <c r="AI126" s="15">
        <f t="shared" si="15"/>
        <v>40.972427162657347</v>
      </c>
      <c r="AJ126" s="17">
        <f t="shared" si="11"/>
        <v>0.3</v>
      </c>
      <c r="AK126" s="15">
        <f t="shared" si="12"/>
        <v>1.0209142154862862</v>
      </c>
      <c r="AL126" s="56">
        <v>6.1308999999999996</v>
      </c>
      <c r="AN126" s="5">
        <v>8.9801000000000002</v>
      </c>
      <c r="AQ126" s="5">
        <f t="shared" si="16"/>
        <v>4.562580278911966</v>
      </c>
    </row>
    <row r="127" spans="1:43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3"/>
        <v>8515.4</v>
      </c>
      <c r="M127" s="15"/>
      <c r="N127" s="15"/>
      <c r="O127" s="15"/>
      <c r="P127" s="15">
        <f t="shared" si="14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4.1518828485211712</v>
      </c>
      <c r="W127" s="15">
        <v>4.2882400000000001</v>
      </c>
      <c r="X127" s="15"/>
      <c r="Y127" s="15">
        <f t="shared" si="9"/>
        <v>1.0328422444596184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0"/>
        <v>4045.7298302968597</v>
      </c>
      <c r="AH127" s="17">
        <v>3302.0666767809194</v>
      </c>
      <c r="AI127" s="15">
        <f t="shared" si="15"/>
        <v>16.607531394084685</v>
      </c>
      <c r="AJ127" s="17">
        <f t="shared" si="11"/>
        <v>0.5</v>
      </c>
      <c r="AK127" s="15">
        <f t="shared" si="12"/>
        <v>1.0328422444596184</v>
      </c>
      <c r="AL127" s="5">
        <v>6.1308999999999996</v>
      </c>
      <c r="AN127" s="5">
        <v>10.097</v>
      </c>
      <c r="AQ127" s="5">
        <f t="shared" si="16"/>
        <v>1.6447985930558271</v>
      </c>
    </row>
    <row r="128" spans="1:43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3"/>
        <v>8515.4</v>
      </c>
      <c r="M128" s="15"/>
      <c r="N128" s="15"/>
      <c r="O128" s="15"/>
      <c r="P128" s="15">
        <f t="shared" si="14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5.046600717157312</v>
      </c>
      <c r="W128" s="15">
        <v>4.4213899999999997</v>
      </c>
      <c r="X128" s="15"/>
      <c r="Y128" s="15">
        <f t="shared" si="9"/>
        <v>0.87611250578399513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0"/>
        <v>3431.8062786063952</v>
      </c>
      <c r="AH128" s="17">
        <v>2716.6393317762927</v>
      </c>
      <c r="AI128" s="15">
        <f t="shared" si="15"/>
        <v>8.9717346082796663</v>
      </c>
      <c r="AJ128" s="17">
        <f t="shared" si="11"/>
        <v>0.75</v>
      </c>
      <c r="AK128" s="15">
        <f t="shared" si="12"/>
        <v>0.87611250578399513</v>
      </c>
      <c r="AL128" s="5">
        <v>6.1308999999999996</v>
      </c>
      <c r="AN128" s="5">
        <v>9.0775000000000006</v>
      </c>
      <c r="AQ128" s="5">
        <f t="shared" si="16"/>
        <v>0.98834862112692545</v>
      </c>
    </row>
    <row r="129" spans="1:43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3"/>
        <v>8515.4</v>
      </c>
      <c r="M129" s="15"/>
      <c r="N129" s="15"/>
      <c r="O129" s="15"/>
      <c r="P129" s="15">
        <f t="shared" si="14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6.4822134047165614</v>
      </c>
      <c r="W129" s="15">
        <v>4.8169199999999996</v>
      </c>
      <c r="X129" s="15"/>
      <c r="Y129" s="15">
        <f t="shared" si="9"/>
        <v>0.74309802829001781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0"/>
        <v>2910.7773970463759</v>
      </c>
      <c r="AH129" s="17">
        <v>2114.9865245140704</v>
      </c>
      <c r="AI129" s="15">
        <f t="shared" si="15"/>
        <v>6.4822134047165614</v>
      </c>
      <c r="AJ129" s="17">
        <f t="shared" si="11"/>
        <v>1</v>
      </c>
      <c r="AK129" s="15">
        <f t="shared" si="12"/>
        <v>0.74309802829001781</v>
      </c>
      <c r="AL129" s="5">
        <v>6.1308999999999996</v>
      </c>
      <c r="AN129" s="5">
        <v>6.6154000000000002</v>
      </c>
      <c r="AQ129" s="5">
        <f t="shared" si="16"/>
        <v>0.97986718939392348</v>
      </c>
    </row>
    <row r="130" spans="1:43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3"/>
        <v>8515.4</v>
      </c>
      <c r="M130" s="15"/>
      <c r="N130" s="15"/>
      <c r="O130" s="15"/>
      <c r="P130" s="15">
        <f t="shared" si="14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9.2987954997459781</v>
      </c>
      <c r="W130" s="15">
        <v>4.7352400000000001</v>
      </c>
      <c r="X130" s="15"/>
      <c r="Y130" s="15">
        <f t="shared" si="9"/>
        <v>0.50923154511026247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0"/>
        <v>1994.7027376466876</v>
      </c>
      <c r="AH130" s="17">
        <v>1474.3623515943029</v>
      </c>
      <c r="AI130" s="15">
        <f t="shared" si="15"/>
        <v>5.2568237321193827</v>
      </c>
      <c r="AJ130" s="17">
        <f t="shared" si="11"/>
        <v>1.33</v>
      </c>
      <c r="AK130" s="15">
        <f t="shared" si="12"/>
        <v>0.50923154511026247</v>
      </c>
      <c r="AL130" s="5">
        <v>6.1308999999999996</v>
      </c>
      <c r="AN130" s="5">
        <v>5.391</v>
      </c>
      <c r="AQ130" s="5">
        <f t="shared" si="16"/>
        <v>0.9751110614207722</v>
      </c>
    </row>
    <row r="131" spans="1:43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3"/>
        <v>8515.4</v>
      </c>
      <c r="M131" s="15"/>
      <c r="N131" s="15"/>
      <c r="O131" s="15"/>
      <c r="P131" s="15">
        <f t="shared" si="14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13.192555857592346</v>
      </c>
      <c r="W131" s="15">
        <v>4.4952399999999999</v>
      </c>
      <c r="X131" s="15"/>
      <c r="Y131" s="15">
        <f t="shared" si="9"/>
        <v>0.3407406455977201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0"/>
        <v>1334.7097310204997</v>
      </c>
      <c r="AH131" s="17">
        <v>1039.206818450572</v>
      </c>
      <c r="AI131" s="15">
        <f t="shared" si="15"/>
        <v>4.7303796685404107</v>
      </c>
      <c r="AJ131" s="17">
        <f t="shared" si="11"/>
        <v>1.6699999999999997</v>
      </c>
      <c r="AK131" s="15">
        <f t="shared" si="12"/>
        <v>0.3407406455977201</v>
      </c>
      <c r="AL131" s="5">
        <v>6.1308999999999996</v>
      </c>
      <c r="AN131" s="5">
        <v>4.8624000000000001</v>
      </c>
      <c r="AQ131" s="5">
        <f t="shared" si="16"/>
        <v>0.97284873077912359</v>
      </c>
    </row>
    <row r="132" spans="1:43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3"/>
        <v>8515.4</v>
      </c>
      <c r="M132" s="15"/>
      <c r="N132" s="15"/>
      <c r="O132" s="15"/>
      <c r="P132" s="15">
        <f t="shared" si="14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17.840429325891453</v>
      </c>
      <c r="W132" s="15">
        <v>4.32036</v>
      </c>
      <c r="X132" s="15"/>
      <c r="Y132" s="15">
        <f t="shared" si="9"/>
        <v>0.24216681791003478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0"/>
        <v>948.58776776631066</v>
      </c>
      <c r="AH132" s="17">
        <v>768.46771731570686</v>
      </c>
      <c r="AI132" s="15">
        <f t="shared" si="15"/>
        <v>4.4601073314728632</v>
      </c>
      <c r="AJ132" s="17">
        <f t="shared" si="11"/>
        <v>2</v>
      </c>
      <c r="AK132" s="15">
        <f t="shared" si="12"/>
        <v>0.24216681791003478</v>
      </c>
      <c r="AL132" s="5">
        <v>6.1308999999999996</v>
      </c>
      <c r="AN132" s="5">
        <v>4.5902000000000003</v>
      </c>
      <c r="AQ132" s="5">
        <f t="shared" si="16"/>
        <v>0.97165860561040107</v>
      </c>
    </row>
    <row r="133" spans="1:43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3"/>
        <v>8515.4</v>
      </c>
      <c r="M133" s="15"/>
      <c r="N133" s="15"/>
      <c r="O133" s="15"/>
      <c r="P133" s="15">
        <f t="shared" si="14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26.421797868568685</v>
      </c>
      <c r="W133" s="15">
        <v>4.1151400000000002</v>
      </c>
      <c r="X133" s="15"/>
      <c r="Y133" s="15">
        <f t="shared" si="9"/>
        <v>0.1557479177030327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0"/>
        <v>610.07767646786613</v>
      </c>
      <c r="AH133" s="17">
        <v>518.88194997923063</v>
      </c>
      <c r="AI133" s="15">
        <f t="shared" si="15"/>
        <v>4.2274876589709889</v>
      </c>
      <c r="AJ133" s="17">
        <f t="shared" si="11"/>
        <v>2.5</v>
      </c>
      <c r="AK133" s="15">
        <f t="shared" si="12"/>
        <v>0.1557479177030327</v>
      </c>
      <c r="AL133" s="5">
        <v>6.1308999999999996</v>
      </c>
      <c r="AN133" s="5">
        <v>4.3552</v>
      </c>
      <c r="AQ133" s="5">
        <f t="shared" si="16"/>
        <v>0.97067589524499198</v>
      </c>
    </row>
    <row r="134" spans="1:43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3"/>
        <v>7396.4</v>
      </c>
      <c r="M134" s="15"/>
      <c r="N134" s="15"/>
      <c r="O134" s="15"/>
      <c r="P134" s="15">
        <f t="shared" si="14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3.6875184446391609</v>
      </c>
      <c r="W134" s="15">
        <v>3.86416</v>
      </c>
      <c r="X134" s="15"/>
      <c r="Y134" s="15">
        <f t="shared" si="9"/>
        <v>1.0479025550686092</v>
      </c>
      <c r="Z134" s="15"/>
      <c r="AA134" s="16"/>
      <c r="AB134" s="15">
        <v>1.1133153135475653</v>
      </c>
      <c r="AC134" s="17">
        <v>0.3</v>
      </c>
      <c r="AD134" s="15"/>
      <c r="AE134" s="15" t="s">
        <v>139</v>
      </c>
      <c r="AF134" s="22" t="s">
        <v>5</v>
      </c>
      <c r="AG134" s="17">
        <f t="shared" si="10"/>
        <v>3565.3249708223516</v>
      </c>
      <c r="AH134" s="17">
        <v>3229.3273047384764</v>
      </c>
      <c r="AI134" s="15">
        <f t="shared" si="15"/>
        <v>40.972427162657347</v>
      </c>
      <c r="AJ134" s="17">
        <f t="shared" si="11"/>
        <v>0.3</v>
      </c>
      <c r="AK134" s="15">
        <f t="shared" si="12"/>
        <v>1.0479025550686092</v>
      </c>
      <c r="AL134" s="56">
        <v>3.2757000000000001</v>
      </c>
      <c r="AN134" s="5">
        <v>4.8437999999999999</v>
      </c>
      <c r="AQ134" s="5">
        <f t="shared" ref="AQ134:AQ165" si="17">AI134/AN134</f>
        <v>8.4587363563023548</v>
      </c>
    </row>
    <row r="135" spans="1:43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8">2*C135*F135+(E135-2*F135)*H135</f>
        <v>7396.4</v>
      </c>
      <c r="M135" s="15"/>
      <c r="N135" s="15"/>
      <c r="O135" s="15"/>
      <c r="P135" s="15">
        <f t="shared" ref="P135:P198" si="19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20">L135*T135/(S135*1000)</f>
        <v>4.1518828485211703</v>
      </c>
      <c r="W135" s="15">
        <v>4.2539400000000001</v>
      </c>
      <c r="X135" s="15"/>
      <c r="Y135" s="15">
        <f t="shared" ref="Y135:Y198" si="21">AK135</f>
        <v>1.0245809323630557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22">W135*S135</f>
        <v>3485.9767877398481</v>
      </c>
      <c r="AH135" s="17">
        <v>2868.1454738641041</v>
      </c>
      <c r="AI135" s="15">
        <f t="shared" ref="AI135:AI198" si="23">(PI()^2*U135*P135/K135^2)/(S135*1000)</f>
        <v>16.607531394084685</v>
      </c>
      <c r="AJ135" s="17">
        <f t="shared" ref="AJ135:AJ198" si="24">(V135/AI135)^0.5</f>
        <v>0.49999999999999994</v>
      </c>
      <c r="AK135" s="15">
        <f t="shared" ref="AK135:AK166" si="25">W135/V135</f>
        <v>1.0245809323630557</v>
      </c>
      <c r="AL135" s="5">
        <v>3.2757000000000001</v>
      </c>
      <c r="AN135" s="5">
        <v>5.4516999999999998</v>
      </c>
      <c r="AQ135" s="5">
        <f t="shared" si="17"/>
        <v>3.0463032437743611</v>
      </c>
    </row>
    <row r="136" spans="1:43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8"/>
        <v>7396.4</v>
      </c>
      <c r="M136" s="15"/>
      <c r="N136" s="15"/>
      <c r="O136" s="15"/>
      <c r="P136" s="15">
        <f t="shared" si="19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20"/>
        <v>5.0466007171573128</v>
      </c>
      <c r="W136" s="15">
        <v>4.3967200000000002</v>
      </c>
      <c r="X136" s="15"/>
      <c r="Y136" s="15">
        <f t="shared" si="21"/>
        <v>0.87122406673706843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2"/>
        <v>2964.2039761184642</v>
      </c>
      <c r="AH136" s="17">
        <v>2359.6485371855892</v>
      </c>
      <c r="AI136" s="15">
        <f t="shared" si="23"/>
        <v>8.9717346082796663</v>
      </c>
      <c r="AJ136" s="17">
        <f t="shared" si="24"/>
        <v>0.75000000000000011</v>
      </c>
      <c r="AK136" s="15">
        <f t="shared" si="25"/>
        <v>0.87122406673706843</v>
      </c>
      <c r="AL136" s="5">
        <v>3.2757000000000001</v>
      </c>
      <c r="AN136" s="5">
        <v>6.7808999999999999</v>
      </c>
      <c r="AQ136" s="5">
        <f t="shared" si="17"/>
        <v>1.3230890601955001</v>
      </c>
    </row>
    <row r="137" spans="1:43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8"/>
        <v>7396.4</v>
      </c>
      <c r="M137" s="15"/>
      <c r="N137" s="15"/>
      <c r="O137" s="15"/>
      <c r="P137" s="15">
        <f t="shared" si="19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20"/>
        <v>6.4822134047165623</v>
      </c>
      <c r="W137" s="15">
        <v>4.8111800000000002</v>
      </c>
      <c r="X137" s="15"/>
      <c r="Y137" s="15">
        <f t="shared" si="21"/>
        <v>0.74221252828537065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2"/>
        <v>2525.2623423365608</v>
      </c>
      <c r="AH137" s="17">
        <v>1837.0583096408704</v>
      </c>
      <c r="AI137" s="15">
        <f t="shared" si="23"/>
        <v>6.4822134047165632</v>
      </c>
      <c r="AJ137" s="17">
        <f t="shared" si="24"/>
        <v>1</v>
      </c>
      <c r="AK137" s="15">
        <f t="shared" si="25"/>
        <v>0.74221252828537065</v>
      </c>
      <c r="AL137" s="5">
        <v>3.2757000000000001</v>
      </c>
      <c r="AN137" s="5">
        <v>6.5628000000000002</v>
      </c>
      <c r="AQ137" s="5">
        <f t="shared" si="17"/>
        <v>0.98772069920103656</v>
      </c>
    </row>
    <row r="138" spans="1:43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8"/>
        <v>7396.4</v>
      </c>
      <c r="M138" s="15"/>
      <c r="N138" s="15"/>
      <c r="O138" s="15"/>
      <c r="P138" s="15">
        <f t="shared" si="19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20"/>
        <v>9.2987954997459745</v>
      </c>
      <c r="W138" s="15">
        <v>4.7258399999999998</v>
      </c>
      <c r="X138" s="15"/>
      <c r="Y138" s="15">
        <f t="shared" si="21"/>
        <v>0.50822066149633049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2"/>
        <v>1729.1415183180707</v>
      </c>
      <c r="AH138" s="17">
        <v>1280.6179037193911</v>
      </c>
      <c r="AI138" s="15">
        <f t="shared" si="23"/>
        <v>5.2568237321193827</v>
      </c>
      <c r="AJ138" s="17">
        <f t="shared" si="24"/>
        <v>1.3299999999999998</v>
      </c>
      <c r="AK138" s="15">
        <f t="shared" si="25"/>
        <v>0.50822066149633049</v>
      </c>
      <c r="AL138" s="5">
        <v>3.2757000000000001</v>
      </c>
      <c r="AN138" s="5">
        <v>5.3555999999999999</v>
      </c>
      <c r="AQ138" s="5">
        <f t="shared" si="17"/>
        <v>0.98155645158700855</v>
      </c>
    </row>
    <row r="139" spans="1:43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8"/>
        <v>7396.4</v>
      </c>
      <c r="M139" s="15"/>
      <c r="N139" s="15"/>
      <c r="O139" s="15"/>
      <c r="P139" s="15">
        <f t="shared" si="19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20"/>
        <v>13.192555857592344</v>
      </c>
      <c r="W139" s="15">
        <v>4.4813900000000002</v>
      </c>
      <c r="X139" s="15"/>
      <c r="Y139" s="15">
        <f t="shared" si="21"/>
        <v>0.33969081111913207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2"/>
        <v>1155.7449930663122</v>
      </c>
      <c r="AH139" s="17">
        <v>902.64571388165109</v>
      </c>
      <c r="AI139" s="15">
        <f t="shared" si="23"/>
        <v>4.7303796685404089</v>
      </c>
      <c r="AJ139" s="17">
        <f t="shared" si="24"/>
        <v>1.67</v>
      </c>
      <c r="AK139" s="15">
        <f t="shared" si="25"/>
        <v>0.33969081111913207</v>
      </c>
      <c r="AL139" s="5">
        <v>3.2757000000000001</v>
      </c>
      <c r="AN139" s="5">
        <v>4.8334999999999999</v>
      </c>
      <c r="AQ139" s="5">
        <f t="shared" si="17"/>
        <v>0.97866549468095765</v>
      </c>
    </row>
    <row r="140" spans="1:43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8"/>
        <v>7396.4</v>
      </c>
      <c r="M140" s="15"/>
      <c r="N140" s="15"/>
      <c r="O140" s="15"/>
      <c r="P140" s="15">
        <f t="shared" si="19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20"/>
        <v>17.840429325891453</v>
      </c>
      <c r="W140" s="15">
        <v>4.30532</v>
      </c>
      <c r="X140" s="15"/>
      <c r="Y140" s="15">
        <f t="shared" si="21"/>
        <v>0.24132378887047165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2"/>
        <v>821.066545120716</v>
      </c>
      <c r="AH140" s="17">
        <v>667.48416097351787</v>
      </c>
      <c r="AI140" s="15">
        <f t="shared" si="23"/>
        <v>4.4601073314728641</v>
      </c>
      <c r="AJ140" s="17">
        <f t="shared" si="24"/>
        <v>1.9999999999999998</v>
      </c>
      <c r="AK140" s="15">
        <f t="shared" si="25"/>
        <v>0.24132378887047165</v>
      </c>
      <c r="AL140" s="5">
        <v>3.2757000000000001</v>
      </c>
      <c r="AN140" s="5">
        <v>4.5646000000000004</v>
      </c>
      <c r="AQ140" s="5">
        <f t="shared" si="17"/>
        <v>0.97710803388530509</v>
      </c>
    </row>
    <row r="141" spans="1:43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8"/>
        <v>7396.4</v>
      </c>
      <c r="M141" s="15"/>
      <c r="N141" s="15"/>
      <c r="O141" s="15"/>
      <c r="P141" s="15">
        <f t="shared" si="19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20"/>
        <v>26.421797868568685</v>
      </c>
      <c r="W141" s="15">
        <v>4.1010900000000001</v>
      </c>
      <c r="X141" s="15"/>
      <c r="Y141" s="15">
        <f t="shared" si="21"/>
        <v>0.15521615979352593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2"/>
        <v>528.09876997654419</v>
      </c>
      <c r="AH141" s="17">
        <v>450.69620391600881</v>
      </c>
      <c r="AI141" s="15">
        <f t="shared" si="23"/>
        <v>4.2274876589709898</v>
      </c>
      <c r="AJ141" s="17">
        <f t="shared" si="24"/>
        <v>2.5</v>
      </c>
      <c r="AK141" s="15">
        <f t="shared" si="25"/>
        <v>0.15521615979352593</v>
      </c>
      <c r="AL141" s="5">
        <v>3.2757000000000001</v>
      </c>
      <c r="AN141" s="5">
        <v>4.3320999999999996</v>
      </c>
      <c r="AQ141" s="5">
        <f t="shared" si="17"/>
        <v>0.97585181758754191</v>
      </c>
    </row>
    <row r="142" spans="1:43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8"/>
        <v>6687.7</v>
      </c>
      <c r="M142" s="15"/>
      <c r="N142" s="15"/>
      <c r="O142" s="15"/>
      <c r="P142" s="15">
        <f t="shared" si="19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20"/>
        <v>3.6875184446391605</v>
      </c>
      <c r="W142" s="15">
        <v>4.0656400000000001</v>
      </c>
      <c r="X142" s="15"/>
      <c r="Y142" s="15">
        <f t="shared" si="21"/>
        <v>1.1025409258387697</v>
      </c>
      <c r="Z142" s="15"/>
      <c r="AA142" s="16"/>
      <c r="AB142" s="15">
        <v>1.5137471488237149</v>
      </c>
      <c r="AC142" s="17">
        <v>0.3</v>
      </c>
      <c r="AD142" s="15"/>
      <c r="AE142" s="15" t="s">
        <v>140</v>
      </c>
      <c r="AF142" s="22" t="s">
        <v>5</v>
      </c>
      <c r="AG142" s="17">
        <f t="shared" si="22"/>
        <v>3391.7929568766926</v>
      </c>
      <c r="AH142" s="17">
        <v>2919.9032253392879</v>
      </c>
      <c r="AI142" s="15">
        <f t="shared" si="23"/>
        <v>40.972427162657333</v>
      </c>
      <c r="AJ142" s="17">
        <f t="shared" si="24"/>
        <v>0.30000000000000004</v>
      </c>
      <c r="AK142" s="15">
        <f t="shared" si="25"/>
        <v>1.1025409258387697</v>
      </c>
      <c r="AL142" s="56">
        <v>1.7927999999999999</v>
      </c>
      <c r="AN142" s="5">
        <v>3.6202000000000001</v>
      </c>
      <c r="AQ142" s="5">
        <f t="shared" si="17"/>
        <v>11.317724756272398</v>
      </c>
    </row>
    <row r="143" spans="1:43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8"/>
        <v>6687.7</v>
      </c>
      <c r="M143" s="15"/>
      <c r="N143" s="15"/>
      <c r="O143" s="15"/>
      <c r="P143" s="15">
        <f t="shared" si="19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20"/>
        <v>4.1518828485211703</v>
      </c>
      <c r="W143" s="15">
        <v>4.2185600000000001</v>
      </c>
      <c r="X143" s="15"/>
      <c r="Y143" s="15">
        <f t="shared" si="21"/>
        <v>1.0160594973200121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2"/>
        <v>3125.7465061044404</v>
      </c>
      <c r="AH143" s="17">
        <v>2593.3287120167879</v>
      </c>
      <c r="AI143" s="15">
        <f t="shared" si="23"/>
        <v>16.607531394084685</v>
      </c>
      <c r="AJ143" s="17">
        <f t="shared" si="24"/>
        <v>0.49999999999999994</v>
      </c>
      <c r="AK143" s="15">
        <f t="shared" si="25"/>
        <v>1.0160594973200121</v>
      </c>
      <c r="AL143" s="5">
        <v>1.7927999999999999</v>
      </c>
      <c r="AN143" s="5">
        <v>4.0682</v>
      </c>
      <c r="AQ143" s="5">
        <f t="shared" si="17"/>
        <v>4.0822799749483023</v>
      </c>
    </row>
    <row r="144" spans="1:43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8"/>
        <v>6687.7</v>
      </c>
      <c r="M144" s="15"/>
      <c r="N144" s="15"/>
      <c r="O144" s="15"/>
      <c r="P144" s="15">
        <f t="shared" si="19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20"/>
        <v>5.046600717157312</v>
      </c>
      <c r="W144" s="15">
        <v>4.3787399999999996</v>
      </c>
      <c r="X144" s="15"/>
      <c r="Y144" s="15">
        <f t="shared" si="21"/>
        <v>0.86766127249046365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2"/>
        <v>2669.2228143358579</v>
      </c>
      <c r="AH144" s="17">
        <v>2133.5543672781446</v>
      </c>
      <c r="AI144" s="15">
        <f t="shared" si="23"/>
        <v>8.9717346082796645</v>
      </c>
      <c r="AJ144" s="17">
        <f t="shared" si="24"/>
        <v>0.75000000000000011</v>
      </c>
      <c r="AK144" s="15">
        <f t="shared" si="25"/>
        <v>0.86766127249046365</v>
      </c>
      <c r="AL144" s="5">
        <v>1.7927999999999999</v>
      </c>
      <c r="AN144" s="5">
        <v>4.5556999999999999</v>
      </c>
      <c r="AQ144" s="5">
        <f t="shared" si="17"/>
        <v>1.9693427153411474</v>
      </c>
    </row>
    <row r="145" spans="1:43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8"/>
        <v>6687.7</v>
      </c>
      <c r="M145" s="15"/>
      <c r="N145" s="15"/>
      <c r="O145" s="15"/>
      <c r="P145" s="15">
        <f t="shared" si="19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20"/>
        <v>6.4822134047165614</v>
      </c>
      <c r="W145" s="15">
        <v>4.8059200000000004</v>
      </c>
      <c r="X145" s="15"/>
      <c r="Y145" s="15">
        <f t="shared" si="21"/>
        <v>0.74140107706160008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2"/>
        <v>2280.8032722098369</v>
      </c>
      <c r="AH145" s="17">
        <v>1661.0371068878442</v>
      </c>
      <c r="AI145" s="15">
        <f t="shared" si="23"/>
        <v>6.4822134047165632</v>
      </c>
      <c r="AJ145" s="17">
        <f t="shared" si="24"/>
        <v>0.99999999999999989</v>
      </c>
      <c r="AK145" s="15">
        <f t="shared" si="25"/>
        <v>0.74140107706160008</v>
      </c>
      <c r="AL145" s="5">
        <v>1.7927999999999999</v>
      </c>
      <c r="AN145" s="5">
        <v>5.8484999999999996</v>
      </c>
      <c r="AQ145" s="5">
        <f t="shared" si="17"/>
        <v>1.1083548610270264</v>
      </c>
    </row>
    <row r="146" spans="1:43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8"/>
        <v>6687.7</v>
      </c>
      <c r="M146" s="15"/>
      <c r="N146" s="15"/>
      <c r="O146" s="15"/>
      <c r="P146" s="15">
        <f t="shared" si="19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20"/>
        <v>9.2987954997459781</v>
      </c>
      <c r="W146" s="15">
        <v>4.7163300000000001</v>
      </c>
      <c r="X146" s="15"/>
      <c r="Y146" s="15">
        <f t="shared" si="21"/>
        <v>0.50719794839329879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2"/>
        <v>1560.3143509561376</v>
      </c>
      <c r="AH146" s="17">
        <v>1157.9130867319466</v>
      </c>
      <c r="AI146" s="15">
        <f t="shared" si="23"/>
        <v>5.2568237321193836</v>
      </c>
      <c r="AJ146" s="17">
        <f t="shared" si="24"/>
        <v>1.33</v>
      </c>
      <c r="AK146" s="15">
        <f t="shared" si="25"/>
        <v>0.50719794839329879</v>
      </c>
      <c r="AL146" s="5">
        <v>1.7927999999999999</v>
      </c>
      <c r="AN146" s="5">
        <v>5.3243999999999998</v>
      </c>
      <c r="AQ146" s="5">
        <f t="shared" si="17"/>
        <v>0.98730819099229661</v>
      </c>
    </row>
    <row r="147" spans="1:43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8"/>
        <v>6687.7</v>
      </c>
      <c r="M147" s="15"/>
      <c r="N147" s="15"/>
      <c r="O147" s="15"/>
      <c r="P147" s="15">
        <f t="shared" si="19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20"/>
        <v>13.192555857592346</v>
      </c>
      <c r="W147" s="15">
        <v>4.4691799999999997</v>
      </c>
      <c r="X147" s="15"/>
      <c r="Y147" s="15">
        <f t="shared" si="21"/>
        <v>0.33876528917086041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2"/>
        <v>1042.1578872184632</v>
      </c>
      <c r="AH147" s="17">
        <v>816.15701432133437</v>
      </c>
      <c r="AI147" s="15">
        <f t="shared" si="23"/>
        <v>4.7303796685404098</v>
      </c>
      <c r="AJ147" s="17">
        <f t="shared" si="24"/>
        <v>1.67</v>
      </c>
      <c r="AK147" s="15">
        <f t="shared" si="25"/>
        <v>0.33876528917086041</v>
      </c>
      <c r="AL147" s="5">
        <v>1.7927999999999999</v>
      </c>
      <c r="AN147" s="5">
        <v>4.8095999999999997</v>
      </c>
      <c r="AQ147" s="5">
        <f t="shared" si="17"/>
        <v>0.98352870686552107</v>
      </c>
    </row>
    <row r="148" spans="1:43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8"/>
        <v>6687.7</v>
      </c>
      <c r="M148" s="15"/>
      <c r="N148" s="15"/>
      <c r="O148" s="15"/>
      <c r="P148" s="15">
        <f t="shared" si="19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20"/>
        <v>17.840429325891453</v>
      </c>
      <c r="W148" s="15">
        <v>4.2927600000000004</v>
      </c>
      <c r="X148" s="15"/>
      <c r="Y148" s="15">
        <f t="shared" si="21"/>
        <v>0.2406197699384961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2"/>
        <v>740.22870429213299</v>
      </c>
      <c r="AH148" s="17">
        <v>603.5279086234649</v>
      </c>
      <c r="AI148" s="15">
        <f t="shared" si="23"/>
        <v>4.4601073314728641</v>
      </c>
      <c r="AJ148" s="17">
        <f t="shared" si="24"/>
        <v>1.9999999999999998</v>
      </c>
      <c r="AK148" s="15">
        <f t="shared" si="25"/>
        <v>0.2406197699384961</v>
      </c>
      <c r="AL148" s="5">
        <v>1.7927999999999999</v>
      </c>
      <c r="AN148" s="5">
        <v>4.5438999999999998</v>
      </c>
      <c r="AQ148" s="5">
        <f t="shared" si="17"/>
        <v>0.9815593062067528</v>
      </c>
    </row>
    <row r="149" spans="1:43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8"/>
        <v>6687.7</v>
      </c>
      <c r="M149" s="15"/>
      <c r="N149" s="15"/>
      <c r="O149" s="15"/>
      <c r="P149" s="15">
        <f t="shared" si="19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20"/>
        <v>26.421797868568689</v>
      </c>
      <c r="W149" s="15">
        <v>4.0900499999999997</v>
      </c>
      <c r="X149" s="15"/>
      <c r="Y149" s="15">
        <f t="shared" si="21"/>
        <v>0.15479832297352913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2"/>
        <v>476.21258249303258</v>
      </c>
      <c r="AH149" s="17">
        <v>407.5118980759683</v>
      </c>
      <c r="AI149" s="15">
        <f t="shared" si="23"/>
        <v>4.2274876589709889</v>
      </c>
      <c r="AJ149" s="17">
        <f t="shared" si="24"/>
        <v>2.5000000000000004</v>
      </c>
      <c r="AK149" s="15">
        <f t="shared" si="25"/>
        <v>0.15479832297352913</v>
      </c>
      <c r="AL149" s="5">
        <v>1.7927999999999999</v>
      </c>
      <c r="AN149" s="5">
        <v>4.3140999999999998</v>
      </c>
      <c r="AQ149" s="5">
        <f t="shared" si="17"/>
        <v>0.97992342759115203</v>
      </c>
    </row>
    <row r="150" spans="1:43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8"/>
        <v>20570.9912</v>
      </c>
      <c r="M150" s="15"/>
      <c r="N150" s="15"/>
      <c r="O150" s="15"/>
      <c r="P150" s="15">
        <f t="shared" si="19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20"/>
        <v>3.6875184446391609</v>
      </c>
      <c r="W150" s="15">
        <v>3.97471</v>
      </c>
      <c r="X150" s="15"/>
      <c r="Y150" s="15">
        <f t="shared" si="21"/>
        <v>1.0778820661299613</v>
      </c>
      <c r="Z150" s="15"/>
      <c r="AA150" s="16"/>
      <c r="AB150" s="15">
        <v>0.35499999999999998</v>
      </c>
      <c r="AC150" s="17">
        <v>0.3</v>
      </c>
      <c r="AD150" s="15"/>
      <c r="AE150" s="15" t="s">
        <v>141</v>
      </c>
      <c r="AF150" s="22" t="s">
        <v>5</v>
      </c>
      <c r="AG150" s="17">
        <f t="shared" si="22"/>
        <v>10199.627148618736</v>
      </c>
      <c r="AH150" s="17">
        <v>8981.4590297570321</v>
      </c>
      <c r="AI150" s="15">
        <f t="shared" si="23"/>
        <v>40.972427162657361</v>
      </c>
      <c r="AJ150" s="17">
        <f t="shared" si="24"/>
        <v>0.29999999999999993</v>
      </c>
      <c r="AK150" s="15">
        <f t="shared" si="25"/>
        <v>1.0778820661299613</v>
      </c>
      <c r="AL150" s="56">
        <v>29.24</v>
      </c>
      <c r="AN150" s="5">
        <v>31.004000000000001</v>
      </c>
      <c r="AQ150" s="5">
        <f t="shared" si="17"/>
        <v>1.3215206799979795</v>
      </c>
    </row>
    <row r="151" spans="1:43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8"/>
        <v>20570.9912</v>
      </c>
      <c r="M151" s="15"/>
      <c r="N151" s="15"/>
      <c r="O151" s="15"/>
      <c r="P151" s="15">
        <f t="shared" si="19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20"/>
        <v>4.1518828485211694</v>
      </c>
      <c r="W151" s="15">
        <v>4.2088000000000001</v>
      </c>
      <c r="X151" s="15"/>
      <c r="Y151" s="15">
        <f t="shared" si="21"/>
        <v>1.013708756618483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2"/>
        <v>9592.3771994104063</v>
      </c>
      <c r="AH151" s="17">
        <v>7976.9340899867948</v>
      </c>
      <c r="AI151" s="15">
        <f t="shared" si="23"/>
        <v>16.607531394084685</v>
      </c>
      <c r="AJ151" s="17">
        <f t="shared" si="24"/>
        <v>0.49999999999999989</v>
      </c>
      <c r="AK151" s="15">
        <f t="shared" si="25"/>
        <v>1.013708756618483</v>
      </c>
      <c r="AL151" s="5">
        <v>29.24</v>
      </c>
      <c r="AN151" s="5">
        <v>15.558999999999999</v>
      </c>
      <c r="AQ151" s="5">
        <f t="shared" si="17"/>
        <v>1.0673906674005196</v>
      </c>
    </row>
    <row r="152" spans="1:43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8"/>
        <v>20570.9912</v>
      </c>
      <c r="M152" s="15"/>
      <c r="N152" s="15"/>
      <c r="O152" s="15"/>
      <c r="P152" s="15">
        <f t="shared" si="19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20"/>
        <v>5.046600717157312</v>
      </c>
      <c r="W152" s="15">
        <v>4.4324199999999996</v>
      </c>
      <c r="X152" s="15"/>
      <c r="Y152" s="15">
        <f t="shared" si="21"/>
        <v>0.87829813540246293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2"/>
        <v>8311.033078596618</v>
      </c>
      <c r="AH152" s="17">
        <v>6562.6939177894164</v>
      </c>
      <c r="AI152" s="15">
        <f t="shared" si="23"/>
        <v>8.9717346082796681</v>
      </c>
      <c r="AJ152" s="17">
        <f t="shared" si="24"/>
        <v>0.74999999999999989</v>
      </c>
      <c r="AK152" s="15">
        <f t="shared" si="25"/>
        <v>0.87829813540246293</v>
      </c>
      <c r="AL152" s="5">
        <v>29.24</v>
      </c>
      <c r="AN152" s="5">
        <v>8.8907000000000007</v>
      </c>
      <c r="AQ152" s="5">
        <f t="shared" si="17"/>
        <v>1.0091145363446823</v>
      </c>
    </row>
    <row r="153" spans="1:43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8"/>
        <v>20570.9912</v>
      </c>
      <c r="M153" s="15"/>
      <c r="N153" s="15"/>
      <c r="O153" s="15"/>
      <c r="P153" s="15">
        <f t="shared" si="19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20"/>
        <v>6.4822134047165605</v>
      </c>
      <c r="W153" s="15">
        <v>4.8463599999999998</v>
      </c>
      <c r="X153" s="15"/>
      <c r="Y153" s="15">
        <f t="shared" si="21"/>
        <v>0.7476396868504378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2"/>
        <v>7074.657132726712</v>
      </c>
      <c r="AH153" s="17">
        <v>5109.2572496767662</v>
      </c>
      <c r="AI153" s="15">
        <f t="shared" si="23"/>
        <v>6.4822134047165632</v>
      </c>
      <c r="AJ153" s="17">
        <f t="shared" si="24"/>
        <v>0.99999999999999978</v>
      </c>
      <c r="AK153" s="15">
        <f t="shared" si="25"/>
        <v>0.7476396868504378</v>
      </c>
      <c r="AL153" s="5">
        <v>29.24</v>
      </c>
      <c r="AN153" s="5">
        <v>6.5205000000000002</v>
      </c>
      <c r="AQ153" s="5">
        <f t="shared" si="17"/>
        <v>0.99412827309509444</v>
      </c>
    </row>
    <row r="154" spans="1:43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8"/>
        <v>20570.9912</v>
      </c>
      <c r="M154" s="15"/>
      <c r="N154" s="15"/>
      <c r="O154" s="15"/>
      <c r="P154" s="15">
        <f t="shared" si="19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20"/>
        <v>9.2987954997459727</v>
      </c>
      <c r="W154" s="15">
        <v>4.74336</v>
      </c>
      <c r="X154" s="15"/>
      <c r="Y154" s="15">
        <f t="shared" si="21"/>
        <v>0.51010477648740427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2"/>
        <v>4826.9459993721657</v>
      </c>
      <c r="AH154" s="17">
        <v>3561.6759001641408</v>
      </c>
      <c r="AI154" s="15">
        <f t="shared" si="23"/>
        <v>5.2568237321193818</v>
      </c>
      <c r="AJ154" s="17">
        <f t="shared" si="24"/>
        <v>1.3299999999999998</v>
      </c>
      <c r="AK154" s="15">
        <f t="shared" si="25"/>
        <v>0.51010477648740427</v>
      </c>
      <c r="AL154" s="5">
        <v>29.24</v>
      </c>
      <c r="AN154" s="5">
        <v>5.3498000000000001</v>
      </c>
      <c r="AQ154" s="5">
        <f t="shared" si="17"/>
        <v>0.98262060864319822</v>
      </c>
    </row>
    <row r="155" spans="1:43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8"/>
        <v>20570.9912</v>
      </c>
      <c r="M155" s="15"/>
      <c r="N155" s="15"/>
      <c r="O155" s="15"/>
      <c r="P155" s="15">
        <f t="shared" si="19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20"/>
        <v>13.192555857592344</v>
      </c>
      <c r="W155" s="15">
        <v>4.4976200000000004</v>
      </c>
      <c r="X155" s="15"/>
      <c r="Y155" s="15">
        <f t="shared" si="21"/>
        <v>0.34092105036732595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2"/>
        <v>3226.0186064204681</v>
      </c>
      <c r="AH155" s="17">
        <v>2510.4533336457143</v>
      </c>
      <c r="AI155" s="15">
        <f t="shared" si="23"/>
        <v>4.7303796685404107</v>
      </c>
      <c r="AJ155" s="17">
        <f t="shared" si="24"/>
        <v>1.6699999999999995</v>
      </c>
      <c r="AK155" s="15">
        <f t="shared" si="25"/>
        <v>0.34092105036732595</v>
      </c>
      <c r="AL155" s="5">
        <v>29.24</v>
      </c>
      <c r="AN155" s="5">
        <v>4.8411</v>
      </c>
      <c r="AQ155" s="5">
        <f t="shared" si="17"/>
        <v>0.97712909639140089</v>
      </c>
    </row>
    <row r="156" spans="1:43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8"/>
        <v>20570.9912</v>
      </c>
      <c r="M156" s="15"/>
      <c r="N156" s="15"/>
      <c r="O156" s="15"/>
      <c r="P156" s="15">
        <f t="shared" si="19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20"/>
        <v>17.840429325891446</v>
      </c>
      <c r="W156" s="15">
        <v>4.3266799999999996</v>
      </c>
      <c r="X156" s="15"/>
      <c r="Y156" s="15">
        <f t="shared" si="21"/>
        <v>0.24252106947453211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2"/>
        <v>2294.8934415485869</v>
      </c>
      <c r="AH156" s="17">
        <v>1856.4180954958663</v>
      </c>
      <c r="AI156" s="15">
        <f t="shared" si="23"/>
        <v>4.4601073314728632</v>
      </c>
      <c r="AJ156" s="17">
        <f t="shared" si="24"/>
        <v>1.9999999999999996</v>
      </c>
      <c r="AK156" s="15">
        <f t="shared" si="25"/>
        <v>0.24252106947453211</v>
      </c>
      <c r="AL156" s="5">
        <v>29.24</v>
      </c>
      <c r="AN156" s="5">
        <v>4.5781999999999998</v>
      </c>
      <c r="AQ156" s="5">
        <f t="shared" si="17"/>
        <v>0.97420543695619755</v>
      </c>
    </row>
    <row r="157" spans="1:43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8"/>
        <v>20570.9912</v>
      </c>
      <c r="M157" s="15"/>
      <c r="N157" s="15"/>
      <c r="O157" s="15"/>
      <c r="P157" s="15">
        <f t="shared" si="19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20"/>
        <v>26.421797868568685</v>
      </c>
      <c r="W157" s="15">
        <v>4.1285999999999996</v>
      </c>
      <c r="X157" s="15"/>
      <c r="Y157" s="15">
        <f t="shared" si="21"/>
        <v>0.15625734556509394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2"/>
        <v>1478.6095010552569</v>
      </c>
      <c r="AH157" s="17">
        <v>1253.4838089651214</v>
      </c>
      <c r="AI157" s="15">
        <f t="shared" si="23"/>
        <v>4.2274876589709907</v>
      </c>
      <c r="AJ157" s="17">
        <f t="shared" si="24"/>
        <v>2.4999999999999996</v>
      </c>
      <c r="AK157" s="15">
        <f t="shared" si="25"/>
        <v>0.15625734556509394</v>
      </c>
      <c r="AL157" s="5">
        <v>29.24</v>
      </c>
      <c r="AN157" s="5">
        <v>4.3501000000000003</v>
      </c>
      <c r="AQ157" s="5">
        <f t="shared" si="17"/>
        <v>0.97181390289211522</v>
      </c>
    </row>
    <row r="158" spans="1:43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8"/>
        <v>14282</v>
      </c>
      <c r="M158" s="15"/>
      <c r="N158" s="15"/>
      <c r="O158" s="15"/>
      <c r="P158" s="15">
        <f t="shared" si="19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20"/>
        <v>3.6875184446391609</v>
      </c>
      <c r="W158" s="15">
        <v>4.3424199999999997</v>
      </c>
      <c r="X158" s="15"/>
      <c r="Y158" s="15">
        <f t="shared" si="21"/>
        <v>1.1775995334512621</v>
      </c>
      <c r="Z158" s="15"/>
      <c r="AA158" s="16"/>
      <c r="AB158" s="15">
        <v>0.50316512905442312</v>
      </c>
      <c r="AC158" s="17">
        <v>0.3</v>
      </c>
      <c r="AD158" s="15"/>
      <c r="AE158" s="15" t="s">
        <v>142</v>
      </c>
      <c r="AF158" s="22" t="s">
        <v>5</v>
      </c>
      <c r="AG158" s="17">
        <f t="shared" si="22"/>
        <v>7736.499206905426</v>
      </c>
      <c r="AH158" s="17">
        <v>6235.6352504292518</v>
      </c>
      <c r="AI158" s="15">
        <f t="shared" si="23"/>
        <v>40.972427162657333</v>
      </c>
      <c r="AJ158" s="17">
        <f t="shared" si="24"/>
        <v>0.30000000000000004</v>
      </c>
      <c r="AK158" s="15">
        <f t="shared" si="25"/>
        <v>1.1775995334512621</v>
      </c>
      <c r="AL158" s="56">
        <v>14.43</v>
      </c>
      <c r="AN158" s="5">
        <v>17.783999999999999</v>
      </c>
      <c r="AQ158" s="5">
        <f t="shared" si="17"/>
        <v>2.3038926654665617</v>
      </c>
    </row>
    <row r="159" spans="1:43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8"/>
        <v>14282</v>
      </c>
      <c r="M159" s="15"/>
      <c r="N159" s="15"/>
      <c r="O159" s="15"/>
      <c r="P159" s="15">
        <f t="shared" si="19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20"/>
        <v>4.1518828485211703</v>
      </c>
      <c r="W159" s="15">
        <v>4.2275600000000004</v>
      </c>
      <c r="X159" s="15"/>
      <c r="Y159" s="15">
        <f t="shared" si="21"/>
        <v>1.0182271885406846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2"/>
        <v>6689.4675250995069</v>
      </c>
      <c r="AH159" s="17">
        <v>5538.2150313297197</v>
      </c>
      <c r="AI159" s="15">
        <f t="shared" si="23"/>
        <v>16.607531394084678</v>
      </c>
      <c r="AJ159" s="17">
        <f t="shared" si="24"/>
        <v>0.5</v>
      </c>
      <c r="AK159" s="15">
        <f t="shared" si="25"/>
        <v>1.0182271885406846</v>
      </c>
      <c r="AL159" s="5">
        <v>14.43</v>
      </c>
      <c r="AN159" s="5">
        <v>15.564</v>
      </c>
      <c r="AQ159" s="5">
        <f t="shared" si="17"/>
        <v>1.0670477636908686</v>
      </c>
    </row>
    <row r="160" spans="1:43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8"/>
        <v>14282</v>
      </c>
      <c r="M160" s="15"/>
      <c r="N160" s="15"/>
      <c r="O160" s="15"/>
      <c r="P160" s="15">
        <f t="shared" si="19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20"/>
        <v>5.0466007171573137</v>
      </c>
      <c r="W160" s="15">
        <v>4.4334300000000004</v>
      </c>
      <c r="X160" s="15"/>
      <c r="Y160" s="15">
        <f t="shared" si="21"/>
        <v>0.87849827011820647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2"/>
        <v>5771.4876551609841</v>
      </c>
      <c r="AH160" s="17">
        <v>4556.3382737662359</v>
      </c>
      <c r="AI160" s="15">
        <f t="shared" si="23"/>
        <v>8.9717346082796663</v>
      </c>
      <c r="AJ160" s="17">
        <f t="shared" si="24"/>
        <v>0.75000000000000011</v>
      </c>
      <c r="AK160" s="15">
        <f t="shared" si="25"/>
        <v>0.87849827011820647</v>
      </c>
      <c r="AL160" s="5">
        <v>14.43</v>
      </c>
      <c r="AN160" s="5">
        <v>8.8865999999999996</v>
      </c>
      <c r="AQ160" s="5">
        <f t="shared" si="17"/>
        <v>1.0095801103098674</v>
      </c>
    </row>
    <row r="161" spans="1:43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8"/>
        <v>14282</v>
      </c>
      <c r="M161" s="15"/>
      <c r="N161" s="15"/>
      <c r="O161" s="15"/>
      <c r="P161" s="15">
        <f t="shared" si="19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20"/>
        <v>6.4822134047165623</v>
      </c>
      <c r="W161" s="15">
        <v>4.8362699999999998</v>
      </c>
      <c r="X161" s="15"/>
      <c r="Y161" s="15">
        <f t="shared" si="21"/>
        <v>0.74608311976909802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2"/>
        <v>4901.5571936094384</v>
      </c>
      <c r="AH161" s="17">
        <v>3547.2482259330095</v>
      </c>
      <c r="AI161" s="15">
        <f t="shared" si="23"/>
        <v>6.4822134047165605</v>
      </c>
      <c r="AJ161" s="17">
        <f t="shared" si="24"/>
        <v>1</v>
      </c>
      <c r="AK161" s="15">
        <f t="shared" si="25"/>
        <v>0.74608311976909802</v>
      </c>
      <c r="AL161" s="5">
        <v>14.43</v>
      </c>
      <c r="AN161" s="5">
        <v>6.5063000000000004</v>
      </c>
      <c r="AQ161" s="5">
        <f t="shared" si="17"/>
        <v>0.99629795808932264</v>
      </c>
    </row>
    <row r="162" spans="1:43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8"/>
        <v>14282</v>
      </c>
      <c r="M162" s="15"/>
      <c r="N162" s="15"/>
      <c r="O162" s="15"/>
      <c r="P162" s="15">
        <f t="shared" si="19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20"/>
        <v>9.2987954997459781</v>
      </c>
      <c r="W162" s="15">
        <v>4.7354500000000002</v>
      </c>
      <c r="X162" s="15"/>
      <c r="Y162" s="15">
        <f t="shared" si="21"/>
        <v>0.50925412868036102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2"/>
        <v>3345.6570342739415</v>
      </c>
      <c r="AH162" s="17">
        <v>2472.7955357904307</v>
      </c>
      <c r="AI162" s="15">
        <f t="shared" si="23"/>
        <v>5.2568237321193827</v>
      </c>
      <c r="AJ162" s="17">
        <f t="shared" si="24"/>
        <v>1.33</v>
      </c>
      <c r="AK162" s="15">
        <f t="shared" si="25"/>
        <v>0.50925412868036102</v>
      </c>
      <c r="AL162" s="5">
        <v>14.43</v>
      </c>
      <c r="AN162" s="5">
        <v>5.3369999999999997</v>
      </c>
      <c r="AQ162" s="5">
        <f t="shared" si="17"/>
        <v>0.98497727789383227</v>
      </c>
    </row>
    <row r="163" spans="1:43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8"/>
        <v>14282</v>
      </c>
      <c r="M163" s="15"/>
      <c r="N163" s="15"/>
      <c r="O163" s="15"/>
      <c r="P163" s="15">
        <f t="shared" si="19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20"/>
        <v>13.192555857592346</v>
      </c>
      <c r="W163" s="15">
        <v>4.48813</v>
      </c>
      <c r="X163" s="15"/>
      <c r="Y163" s="15">
        <f t="shared" si="21"/>
        <v>0.34020170529860377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2"/>
        <v>2235.029947334343</v>
      </c>
      <c r="AH163" s="17">
        <v>1742.9541514328239</v>
      </c>
      <c r="AI163" s="15">
        <f t="shared" si="23"/>
        <v>4.7303796685404089</v>
      </c>
      <c r="AJ163" s="17">
        <f t="shared" si="24"/>
        <v>1.67</v>
      </c>
      <c r="AK163" s="15">
        <f t="shared" si="25"/>
        <v>0.34020170529860377</v>
      </c>
      <c r="AL163" s="5">
        <v>14.43</v>
      </c>
      <c r="AN163" s="5">
        <v>4.8289999999999997</v>
      </c>
      <c r="AQ163" s="5">
        <f t="shared" si="17"/>
        <v>0.97957748364887332</v>
      </c>
    </row>
    <row r="164" spans="1:43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8"/>
        <v>14282</v>
      </c>
      <c r="M164" s="15"/>
      <c r="N164" s="15"/>
      <c r="O164" s="15"/>
      <c r="P164" s="15">
        <f t="shared" si="19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20"/>
        <v>17.840429325891463</v>
      </c>
      <c r="W164" s="15">
        <v>4.3148999999999997</v>
      </c>
      <c r="X164" s="15"/>
      <c r="Y164" s="15">
        <f t="shared" si="21"/>
        <v>0.24186077146349108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2"/>
        <v>1588.957547499127</v>
      </c>
      <c r="AH164" s="17">
        <v>1288.8714492217537</v>
      </c>
      <c r="AI164" s="15">
        <f t="shared" si="23"/>
        <v>4.4601073314728641</v>
      </c>
      <c r="AJ164" s="17">
        <f t="shared" si="24"/>
        <v>2.0000000000000004</v>
      </c>
      <c r="AK164" s="15">
        <f t="shared" si="25"/>
        <v>0.24186077146349108</v>
      </c>
      <c r="AL164" s="5">
        <v>14.43</v>
      </c>
      <c r="AN164" s="5">
        <v>4.5663999999999998</v>
      </c>
      <c r="AQ164" s="5">
        <f t="shared" si="17"/>
        <v>0.97672287392100221</v>
      </c>
    </row>
    <row r="165" spans="1:43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8"/>
        <v>14282</v>
      </c>
      <c r="M165" s="15"/>
      <c r="N165" s="15"/>
      <c r="O165" s="15"/>
      <c r="P165" s="15">
        <f t="shared" si="19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20"/>
        <v>26.421797868568685</v>
      </c>
      <c r="W165" s="15">
        <v>4.1147799999999997</v>
      </c>
      <c r="X165" s="15"/>
      <c r="Y165" s="15">
        <f t="shared" si="21"/>
        <v>0.15573429258933713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2"/>
        <v>1023.1306967100198</v>
      </c>
      <c r="AH165" s="17">
        <v>870.26704671575874</v>
      </c>
      <c r="AI165" s="15">
        <f t="shared" si="23"/>
        <v>4.2274876589709898</v>
      </c>
      <c r="AJ165" s="17">
        <f t="shared" si="24"/>
        <v>2.5</v>
      </c>
      <c r="AK165" s="15">
        <f t="shared" si="25"/>
        <v>0.15573429258933713</v>
      </c>
      <c r="AL165" s="5">
        <v>14.43</v>
      </c>
      <c r="AN165" s="5">
        <v>4.3387000000000002</v>
      </c>
      <c r="AQ165" s="5">
        <f t="shared" si="17"/>
        <v>0.97436735864913215</v>
      </c>
    </row>
    <row r="166" spans="1:43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8"/>
        <v>12053.0592</v>
      </c>
      <c r="M166" s="15"/>
      <c r="N166" s="15"/>
      <c r="O166" s="15"/>
      <c r="P166" s="15">
        <f t="shared" si="19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20"/>
        <v>3.6875184446391618</v>
      </c>
      <c r="W166" s="15">
        <v>4.6031599999999999</v>
      </c>
      <c r="X166" s="15"/>
      <c r="Y166" s="15">
        <f t="shared" si="21"/>
        <v>1.2483083323127451</v>
      </c>
      <c r="Z166" s="15"/>
      <c r="AA166" s="16"/>
      <c r="AB166" s="15">
        <v>0.60092698120307431</v>
      </c>
      <c r="AC166" s="17">
        <v>0.3</v>
      </c>
      <c r="AD166" s="15"/>
      <c r="AE166" s="15" t="s">
        <v>143</v>
      </c>
      <c r="AF166" s="22" t="s">
        <v>5</v>
      </c>
      <c r="AG166" s="17">
        <f t="shared" si="22"/>
        <v>6921.1297454406431</v>
      </c>
      <c r="AH166" s="17">
        <v>5262.4618977055443</v>
      </c>
      <c r="AI166" s="15">
        <f t="shared" si="23"/>
        <v>40.972427162657354</v>
      </c>
      <c r="AJ166" s="17">
        <f t="shared" si="24"/>
        <v>0.3</v>
      </c>
      <c r="AK166" s="15">
        <f t="shared" si="25"/>
        <v>1.2483083323127451</v>
      </c>
      <c r="AL166" s="56">
        <v>10.167</v>
      </c>
      <c r="AN166" s="5">
        <v>14.225</v>
      </c>
      <c r="AQ166" s="5">
        <f t="shared" ref="AQ166:AQ197" si="26">AI166/AN166</f>
        <v>2.8803112240883904</v>
      </c>
    </row>
    <row r="167" spans="1:43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8"/>
        <v>12053.0592</v>
      </c>
      <c r="M167" s="15"/>
      <c r="N167" s="15"/>
      <c r="O167" s="15"/>
      <c r="P167" s="15">
        <f t="shared" si="19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20"/>
        <v>4.1518828485211703</v>
      </c>
      <c r="W167" s="15">
        <v>4.2421800000000003</v>
      </c>
      <c r="X167" s="15"/>
      <c r="Y167" s="15">
        <f t="shared" si="21"/>
        <v>1.021748482501377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27">W167*S167</f>
        <v>5664.9896756656599</v>
      </c>
      <c r="AH167" s="17">
        <v>4673.8855646931079</v>
      </c>
      <c r="AI167" s="15">
        <f t="shared" si="23"/>
        <v>16.607531394084681</v>
      </c>
      <c r="AJ167" s="17">
        <f t="shared" si="24"/>
        <v>0.5</v>
      </c>
      <c r="AK167" s="15">
        <f t="shared" ref="AK167:AK198" si="28">W167/V167</f>
        <v>1.021748482501377</v>
      </c>
      <c r="AL167" s="5">
        <v>10.167</v>
      </c>
      <c r="AN167" s="5">
        <v>15.58</v>
      </c>
      <c r="AQ167" s="5">
        <f t="shared" si="26"/>
        <v>1.0659519508398383</v>
      </c>
    </row>
    <row r="168" spans="1:43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8"/>
        <v>12053.0592</v>
      </c>
      <c r="M168" s="15"/>
      <c r="N168" s="15"/>
      <c r="O168" s="15"/>
      <c r="P168" s="15">
        <f t="shared" si="19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20"/>
        <v>5.0466007171573137</v>
      </c>
      <c r="W168" s="15">
        <v>4.4401099999999998</v>
      </c>
      <c r="X168" s="15"/>
      <c r="Y168" s="15">
        <f t="shared" si="21"/>
        <v>0.87982193338668913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7"/>
        <v>4878.0910903413815</v>
      </c>
      <c r="AH168" s="17">
        <v>3845.2468105958719</v>
      </c>
      <c r="AI168" s="15">
        <f t="shared" si="23"/>
        <v>8.9717346082796663</v>
      </c>
      <c r="AJ168" s="17">
        <f t="shared" si="24"/>
        <v>0.75000000000000011</v>
      </c>
      <c r="AK168" s="15">
        <f t="shared" si="28"/>
        <v>0.87982193338668913</v>
      </c>
      <c r="AL168" s="5">
        <v>10.167</v>
      </c>
      <c r="AN168" s="5">
        <v>8.8933</v>
      </c>
      <c r="AQ168" s="5">
        <f t="shared" si="26"/>
        <v>1.008819516746277</v>
      </c>
    </row>
    <row r="169" spans="1:43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8"/>
        <v>12053.0592</v>
      </c>
      <c r="M169" s="15"/>
      <c r="N169" s="15"/>
      <c r="O169" s="15"/>
      <c r="P169" s="15">
        <f t="shared" si="19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20"/>
        <v>6.4822134047165658</v>
      </c>
      <c r="W169" s="15">
        <v>4.8365499999999999</v>
      </c>
      <c r="X169" s="15"/>
      <c r="Y169" s="15">
        <f t="shared" si="21"/>
        <v>0.74612631489127557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7"/>
        <v>4136.8281362686967</v>
      </c>
      <c r="AH169" s="17">
        <v>2993.6418473789045</v>
      </c>
      <c r="AI169" s="15">
        <f t="shared" si="23"/>
        <v>6.4822134047165658</v>
      </c>
      <c r="AJ169" s="17">
        <f t="shared" si="24"/>
        <v>1</v>
      </c>
      <c r="AK169" s="15">
        <f t="shared" si="28"/>
        <v>0.74612631489127557</v>
      </c>
      <c r="AL169" s="5">
        <v>10.167</v>
      </c>
      <c r="AN169" s="5">
        <v>6.5060000000000002</v>
      </c>
      <c r="AQ169" s="5">
        <f t="shared" si="26"/>
        <v>0.99634389866531903</v>
      </c>
    </row>
    <row r="170" spans="1:43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8"/>
        <v>12053.0592</v>
      </c>
      <c r="M170" s="15"/>
      <c r="N170" s="15"/>
      <c r="O170" s="15"/>
      <c r="P170" s="15">
        <f t="shared" si="19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20"/>
        <v>9.2987954997459834</v>
      </c>
      <c r="W170" s="15">
        <v>4.7353100000000001</v>
      </c>
      <c r="X170" s="15"/>
      <c r="Y170" s="15">
        <f t="shared" si="21"/>
        <v>0.50923907296696169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7"/>
        <v>2823.4287989749982</v>
      </c>
      <c r="AH170" s="17">
        <v>2086.8751563070832</v>
      </c>
      <c r="AI170" s="15">
        <f t="shared" si="23"/>
        <v>5.2568237321193854</v>
      </c>
      <c r="AJ170" s="17">
        <f t="shared" si="24"/>
        <v>1.3300000000000003</v>
      </c>
      <c r="AK170" s="15">
        <f t="shared" si="28"/>
        <v>0.50923907296696169</v>
      </c>
      <c r="AL170" s="5">
        <v>10.167</v>
      </c>
      <c r="AN170" s="5">
        <v>5.3364000000000003</v>
      </c>
      <c r="AQ170" s="5">
        <f t="shared" si="26"/>
        <v>0.98508802415849361</v>
      </c>
    </row>
    <row r="171" spans="1:43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8"/>
        <v>12053.0592</v>
      </c>
      <c r="M171" s="15"/>
      <c r="N171" s="15"/>
      <c r="O171" s="15"/>
      <c r="P171" s="15">
        <f t="shared" si="19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20"/>
        <v>13.192555857592355</v>
      </c>
      <c r="W171" s="15">
        <v>4.4871299999999996</v>
      </c>
      <c r="X171" s="15"/>
      <c r="Y171" s="15">
        <f t="shared" si="21"/>
        <v>0.34012590497523976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7"/>
        <v>1885.7965273352638</v>
      </c>
      <c r="AH171" s="17">
        <v>1470.9375136609424</v>
      </c>
      <c r="AI171" s="15">
        <f t="shared" si="23"/>
        <v>4.7303796685404116</v>
      </c>
      <c r="AJ171" s="17">
        <f t="shared" si="24"/>
        <v>1.6700000000000002</v>
      </c>
      <c r="AK171" s="15">
        <f t="shared" si="28"/>
        <v>0.34012590497523976</v>
      </c>
      <c r="AL171" s="5">
        <v>10.167</v>
      </c>
      <c r="AN171" s="5">
        <v>4.8281999999999998</v>
      </c>
      <c r="AQ171" s="5">
        <f t="shared" si="26"/>
        <v>0.97973979299540448</v>
      </c>
    </row>
    <row r="172" spans="1:43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8"/>
        <v>12053.0592</v>
      </c>
      <c r="M172" s="15"/>
      <c r="N172" s="15"/>
      <c r="O172" s="15"/>
      <c r="P172" s="15">
        <f t="shared" si="19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20"/>
        <v>17.840429325891463</v>
      </c>
      <c r="W172" s="15">
        <v>4.31264</v>
      </c>
      <c r="X172" s="15"/>
      <c r="Y172" s="15">
        <f t="shared" si="21"/>
        <v>0.2417340928977057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7"/>
        <v>1340.2722528829993</v>
      </c>
      <c r="AH172" s="17">
        <v>1087.7218791947616</v>
      </c>
      <c r="AI172" s="15">
        <f t="shared" si="23"/>
        <v>4.4601073314728659</v>
      </c>
      <c r="AJ172" s="17">
        <f t="shared" si="24"/>
        <v>2</v>
      </c>
      <c r="AK172" s="15">
        <f t="shared" si="28"/>
        <v>0.2417340928977057</v>
      </c>
      <c r="AL172" s="5">
        <v>10.167</v>
      </c>
      <c r="AN172" s="5">
        <v>4.5655000000000001</v>
      </c>
      <c r="AQ172" s="5">
        <f t="shared" si="26"/>
        <v>0.97691541593973619</v>
      </c>
    </row>
    <row r="173" spans="1:43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8"/>
        <v>12053.0592</v>
      </c>
      <c r="M173" s="15"/>
      <c r="N173" s="15"/>
      <c r="O173" s="15"/>
      <c r="P173" s="15">
        <f t="shared" si="19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20"/>
        <v>26.42179786856871</v>
      </c>
      <c r="W173" s="15">
        <v>4.1120299999999999</v>
      </c>
      <c r="X173" s="15"/>
      <c r="Y173" s="15">
        <f t="shared" si="21"/>
        <v>0.15563021185971823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7"/>
        <v>862.877272152714</v>
      </c>
      <c r="AH173" s="17">
        <v>734.44757274010624</v>
      </c>
      <c r="AI173" s="15">
        <f t="shared" si="23"/>
        <v>4.2274876589709933</v>
      </c>
      <c r="AJ173" s="17">
        <f t="shared" si="24"/>
        <v>2.5</v>
      </c>
      <c r="AK173" s="15">
        <f t="shared" si="28"/>
        <v>0.15563021185971823</v>
      </c>
      <c r="AL173" s="5">
        <v>10.167</v>
      </c>
      <c r="AN173" s="5">
        <v>4.3377999999999997</v>
      </c>
      <c r="AQ173" s="5">
        <f t="shared" si="26"/>
        <v>0.97456951887385168</v>
      </c>
    </row>
    <row r="174" spans="1:43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8"/>
        <v>9236.7872000000007</v>
      </c>
      <c r="M174" s="15"/>
      <c r="N174" s="15"/>
      <c r="O174" s="15"/>
      <c r="P174" s="15">
        <f t="shared" si="19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20"/>
        <v>3.6376084013102399</v>
      </c>
      <c r="W174" s="15">
        <v>4.4055999999999997</v>
      </c>
      <c r="X174" s="15"/>
      <c r="Y174" s="15">
        <f t="shared" si="21"/>
        <v>1.2111254192213585</v>
      </c>
      <c r="Z174" s="15"/>
      <c r="AA174" s="16"/>
      <c r="AB174" s="15">
        <v>0.80062012685654171</v>
      </c>
      <c r="AC174" s="17">
        <v>0.3</v>
      </c>
      <c r="AD174" s="15"/>
      <c r="AE174" s="15" t="s">
        <v>144</v>
      </c>
      <c r="AF174" s="22" t="s">
        <v>5</v>
      </c>
      <c r="AG174" s="17">
        <f t="shared" si="27"/>
        <v>5145.9775741349013</v>
      </c>
      <c r="AH174" s="17">
        <v>4088.1881036571986</v>
      </c>
      <c r="AI174" s="15">
        <f t="shared" si="23"/>
        <v>40.417871125669329</v>
      </c>
      <c r="AJ174" s="17">
        <f t="shared" si="24"/>
        <v>0.30000000000000004</v>
      </c>
      <c r="AK174" s="15">
        <f t="shared" si="28"/>
        <v>1.2111254192213585</v>
      </c>
      <c r="AL174" s="56">
        <v>5.66</v>
      </c>
      <c r="AN174" s="5">
        <v>9.1553000000000004</v>
      </c>
      <c r="AQ174" s="5">
        <f t="shared" si="26"/>
        <v>4.4146965283135806</v>
      </c>
    </row>
    <row r="175" spans="1:43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8"/>
        <v>9236.7872000000007</v>
      </c>
      <c r="M175" s="15"/>
      <c r="N175" s="15"/>
      <c r="O175" s="15"/>
      <c r="P175" s="15">
        <f t="shared" si="19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20"/>
        <v>4.0391214808227476</v>
      </c>
      <c r="W175" s="15">
        <v>4.1554099999999998</v>
      </c>
      <c r="X175" s="15"/>
      <c r="Y175" s="15">
        <f t="shared" si="21"/>
        <v>1.0287905475805508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7"/>
        <v>4371.2509062315912</v>
      </c>
      <c r="AH175" s="17">
        <v>3681.7975053750579</v>
      </c>
      <c r="AI175" s="15">
        <f t="shared" si="23"/>
        <v>16.156485923290994</v>
      </c>
      <c r="AJ175" s="17">
        <f t="shared" si="24"/>
        <v>0.49999999999999994</v>
      </c>
      <c r="AK175" s="15">
        <f t="shared" si="28"/>
        <v>1.0287905475805508</v>
      </c>
      <c r="AL175" s="5">
        <v>5.66</v>
      </c>
      <c r="AN175" s="5">
        <v>10.162000000000001</v>
      </c>
      <c r="AQ175" s="5">
        <f t="shared" si="26"/>
        <v>1.5898923364781532</v>
      </c>
    </row>
    <row r="176" spans="1:43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8"/>
        <v>9236.7872000000007</v>
      </c>
      <c r="M176" s="15"/>
      <c r="N176" s="15"/>
      <c r="O176" s="15"/>
      <c r="P176" s="15">
        <f t="shared" si="19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20"/>
        <v>4.7729497483487631</v>
      </c>
      <c r="W176" s="15">
        <v>4.2159700000000004</v>
      </c>
      <c r="X176" s="15"/>
      <c r="Y176" s="15">
        <f t="shared" si="21"/>
        <v>0.88330492091573898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7"/>
        <v>3753.0938101172956</v>
      </c>
      <c r="AH176" s="17">
        <v>3115.730978970565</v>
      </c>
      <c r="AI176" s="15">
        <f t="shared" si="23"/>
        <v>8.4852439970644689</v>
      </c>
      <c r="AJ176" s="17">
        <f t="shared" si="24"/>
        <v>0.74999999999999989</v>
      </c>
      <c r="AK176" s="15">
        <f t="shared" si="28"/>
        <v>0.88330492091573898</v>
      </c>
      <c r="AL176" s="5">
        <v>5.66</v>
      </c>
      <c r="AN176" s="5">
        <v>8.4298999999999999</v>
      </c>
      <c r="AQ176" s="5">
        <f t="shared" si="26"/>
        <v>1.0065652020859641</v>
      </c>
    </row>
    <row r="177" spans="1:43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8"/>
        <v>9236.7872000000007</v>
      </c>
      <c r="M177" s="15"/>
      <c r="N177" s="15"/>
      <c r="O177" s="15"/>
      <c r="P177" s="15">
        <f t="shared" si="19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20"/>
        <v>5.9242146460126426</v>
      </c>
      <c r="W177" s="15">
        <v>4.4260200000000003</v>
      </c>
      <c r="X177" s="15"/>
      <c r="Y177" s="15">
        <f t="shared" si="21"/>
        <v>0.7471066233190895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7"/>
        <v>3174.397851842135</v>
      </c>
      <c r="AH177" s="17">
        <v>2510.2445270124108</v>
      </c>
      <c r="AI177" s="15">
        <f t="shared" si="23"/>
        <v>5.9242146460126435</v>
      </c>
      <c r="AJ177" s="17">
        <f t="shared" si="24"/>
        <v>1</v>
      </c>
      <c r="AK177" s="15">
        <f t="shared" si="28"/>
        <v>0.7471066233190895</v>
      </c>
      <c r="AL177" s="5">
        <v>5.66</v>
      </c>
      <c r="AN177" s="5">
        <v>5.9522000000000004</v>
      </c>
      <c r="AQ177" s="5">
        <f t="shared" si="26"/>
        <v>0.99529831759897902</v>
      </c>
    </row>
    <row r="178" spans="1:43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8"/>
        <v>9236.7872000000007</v>
      </c>
      <c r="M178" s="15"/>
      <c r="N178" s="15"/>
      <c r="O178" s="15"/>
      <c r="P178" s="15">
        <f t="shared" si="19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20"/>
        <v>8.2175319601938224</v>
      </c>
      <c r="W178" s="15">
        <v>4.1886799999999997</v>
      </c>
      <c r="X178" s="15"/>
      <c r="Y178" s="15">
        <f t="shared" si="21"/>
        <v>0.50972482009077624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7"/>
        <v>2165.7810591189213</v>
      </c>
      <c r="AH178" s="17">
        <v>1809.6951084628629</v>
      </c>
      <c r="AI178" s="15">
        <f t="shared" si="23"/>
        <v>4.6455604953325906</v>
      </c>
      <c r="AJ178" s="17">
        <f t="shared" si="24"/>
        <v>1.3300000000000003</v>
      </c>
      <c r="AK178" s="15">
        <f t="shared" si="28"/>
        <v>0.50972482009077624</v>
      </c>
      <c r="AL178" s="5">
        <v>5.66</v>
      </c>
      <c r="AN178" s="5">
        <v>4.7203999999999997</v>
      </c>
      <c r="AQ178" s="5">
        <f t="shared" si="26"/>
        <v>0.98414551634026581</v>
      </c>
    </row>
    <row r="179" spans="1:43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8"/>
        <v>9236.7872000000007</v>
      </c>
      <c r="M179" s="15"/>
      <c r="N179" s="15"/>
      <c r="O179" s="15"/>
      <c r="P179" s="15">
        <f t="shared" si="19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20"/>
        <v>11.447373274491206</v>
      </c>
      <c r="W179" s="15">
        <v>3.89615</v>
      </c>
      <c r="X179" s="15"/>
      <c r="Y179" s="15">
        <f t="shared" si="21"/>
        <v>0.34035318903088446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7"/>
        <v>1446.1341907630408</v>
      </c>
      <c r="AH179" s="17">
        <v>1299.0951754092227</v>
      </c>
      <c r="AI179" s="15">
        <f t="shared" si="23"/>
        <v>4.1046194824092677</v>
      </c>
      <c r="AJ179" s="17">
        <f t="shared" si="24"/>
        <v>1.67</v>
      </c>
      <c r="AK179" s="15">
        <f t="shared" si="28"/>
        <v>0.34035318903088446</v>
      </c>
      <c r="AL179" s="5">
        <v>5.66</v>
      </c>
      <c r="AN179" s="5">
        <v>4.1933999999999996</v>
      </c>
      <c r="AQ179" s="5">
        <f t="shared" si="26"/>
        <v>0.97882851204494403</v>
      </c>
    </row>
    <row r="180" spans="1:43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8"/>
        <v>9236.7872000000007</v>
      </c>
      <c r="M180" s="15"/>
      <c r="N180" s="15"/>
      <c r="O180" s="15"/>
      <c r="P180" s="15">
        <f t="shared" si="19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20"/>
        <v>15.335655885736587</v>
      </c>
      <c r="W180" s="15">
        <v>3.7080000000000002</v>
      </c>
      <c r="X180" s="15"/>
      <c r="Y180" s="15">
        <f t="shared" si="21"/>
        <v>0.24178946291098924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7"/>
        <v>1027.3445954111062</v>
      </c>
      <c r="AH180" s="17">
        <v>969.71577236754888</v>
      </c>
      <c r="AI180" s="15">
        <f t="shared" si="23"/>
        <v>3.8339139714341477</v>
      </c>
      <c r="AJ180" s="17">
        <f t="shared" si="24"/>
        <v>1.9999999999999998</v>
      </c>
      <c r="AK180" s="15">
        <f t="shared" si="28"/>
        <v>0.24178946291098924</v>
      </c>
      <c r="AL180" s="5">
        <v>5.66</v>
      </c>
      <c r="AN180" s="5">
        <v>3.9281000000000001</v>
      </c>
      <c r="AQ180" s="5">
        <f t="shared" si="26"/>
        <v>0.97602249724654355</v>
      </c>
    </row>
    <row r="181" spans="1:43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8"/>
        <v>9236.7872000000007</v>
      </c>
      <c r="M181" s="15"/>
      <c r="N181" s="15"/>
      <c r="O181" s="15"/>
      <c r="P181" s="15">
        <f t="shared" si="19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20"/>
        <v>22.541013831652176</v>
      </c>
      <c r="W181" s="15">
        <v>3.5083899999999999</v>
      </c>
      <c r="X181" s="15"/>
      <c r="Y181" s="15">
        <f t="shared" si="21"/>
        <v>0.15564472947856078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7"/>
        <v>661.3223326977153</v>
      </c>
      <c r="AH181" s="17">
        <v>659.7408396563676</v>
      </c>
      <c r="AI181" s="15">
        <f t="shared" si="23"/>
        <v>3.6065622130643487</v>
      </c>
      <c r="AJ181" s="17">
        <f t="shared" si="24"/>
        <v>2.5</v>
      </c>
      <c r="AK181" s="15">
        <f t="shared" si="28"/>
        <v>0.15564472947856078</v>
      </c>
      <c r="AL181" s="5">
        <v>5.66</v>
      </c>
      <c r="AN181" s="5">
        <v>32</v>
      </c>
      <c r="AQ181" s="5">
        <f t="shared" si="26"/>
        <v>0.1127050691582609</v>
      </c>
    </row>
    <row r="182" spans="1:43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8"/>
        <v>6673.5511999999999</v>
      </c>
      <c r="M182" s="15"/>
      <c r="N182" s="15"/>
      <c r="O182" s="15"/>
      <c r="P182" s="15">
        <f t="shared" si="19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20"/>
        <v>3.5769651319408382</v>
      </c>
      <c r="W182" s="15">
        <v>4.07491</v>
      </c>
      <c r="X182" s="15"/>
      <c r="Y182" s="15">
        <f t="shared" si="21"/>
        <v>1.1392087564993905</v>
      </c>
      <c r="Z182" s="15"/>
      <c r="AA182" s="16"/>
      <c r="AB182" s="15">
        <v>1.1026699208821982</v>
      </c>
      <c r="AC182" s="17">
        <v>0.3</v>
      </c>
      <c r="AD182" s="15"/>
      <c r="AE182" s="15" t="s">
        <v>145</v>
      </c>
      <c r="AF182" s="22" t="s">
        <v>5</v>
      </c>
      <c r="AG182" s="17">
        <f t="shared" si="27"/>
        <v>3497.1812634340267</v>
      </c>
      <c r="AH182" s="17">
        <v>3003.7803097538581</v>
      </c>
      <c r="AI182" s="15">
        <f t="shared" si="23"/>
        <v>39.744057021564871</v>
      </c>
      <c r="AJ182" s="17">
        <f t="shared" si="24"/>
        <v>0.3</v>
      </c>
      <c r="AK182" s="15">
        <f t="shared" si="28"/>
        <v>1.1392087564993905</v>
      </c>
      <c r="AL182" s="56">
        <v>2.8845000000000001</v>
      </c>
      <c r="AN182" s="5">
        <v>6.2565999999999997</v>
      </c>
      <c r="AQ182" s="5">
        <f t="shared" si="26"/>
        <v>6.3523410513002068</v>
      </c>
    </row>
    <row r="183" spans="1:43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8"/>
        <v>6673.5511999999999</v>
      </c>
      <c r="M183" s="15"/>
      <c r="N183" s="15"/>
      <c r="O183" s="15"/>
      <c r="P183" s="15">
        <f t="shared" si="19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20"/>
        <v>3.9093384565392184</v>
      </c>
      <c r="W183" s="15">
        <v>4.06121</v>
      </c>
      <c r="X183" s="15"/>
      <c r="Y183" s="15">
        <f t="shared" si="21"/>
        <v>1.0388483998377638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7"/>
        <v>3189.0916732634782</v>
      </c>
      <c r="AH183" s="17">
        <v>2748.3978559153984</v>
      </c>
      <c r="AI183" s="15">
        <f t="shared" si="23"/>
        <v>15.63735382615687</v>
      </c>
      <c r="AJ183" s="17">
        <f t="shared" si="24"/>
        <v>0.5</v>
      </c>
      <c r="AK183" s="15">
        <f t="shared" si="28"/>
        <v>1.0388483998377638</v>
      </c>
      <c r="AL183" s="5">
        <v>2.8845000000000001</v>
      </c>
      <c r="AN183" s="5">
        <v>6.8360000000000003</v>
      </c>
      <c r="AQ183" s="5">
        <f t="shared" si="26"/>
        <v>2.2875005597069733</v>
      </c>
    </row>
    <row r="184" spans="1:43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8"/>
        <v>6673.5511999999999</v>
      </c>
      <c r="M184" s="15"/>
      <c r="N184" s="15"/>
      <c r="O184" s="15"/>
      <c r="P184" s="15">
        <f t="shared" si="19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20"/>
        <v>4.4758647104534957</v>
      </c>
      <c r="W184" s="15">
        <v>3.9804900000000001</v>
      </c>
      <c r="X184" s="15"/>
      <c r="Y184" s="15">
        <f t="shared" si="21"/>
        <v>0.88932312692639359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7"/>
        <v>2730.0739736081982</v>
      </c>
      <c r="AH184" s="17">
        <v>2400.5232792014785</v>
      </c>
      <c r="AI184" s="15">
        <f t="shared" si="23"/>
        <v>7.9570928185839929</v>
      </c>
      <c r="AJ184" s="17">
        <f t="shared" si="24"/>
        <v>0.75</v>
      </c>
      <c r="AK184" s="15">
        <f t="shared" si="28"/>
        <v>0.88932312692639359</v>
      </c>
      <c r="AL184" s="5">
        <v>2.8845000000000001</v>
      </c>
      <c r="AN184" s="5">
        <v>7.8311000000000002</v>
      </c>
      <c r="AQ184" s="5">
        <f t="shared" si="26"/>
        <v>1.0160887766193756</v>
      </c>
    </row>
    <row r="185" spans="1:43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8"/>
        <v>6673.5511999999999</v>
      </c>
      <c r="M185" s="15"/>
      <c r="N185" s="15"/>
      <c r="O185" s="15"/>
      <c r="P185" s="15">
        <f t="shared" si="19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20"/>
        <v>5.3244815494839415</v>
      </c>
      <c r="W185" s="15">
        <v>3.9916800000000001</v>
      </c>
      <c r="X185" s="15"/>
      <c r="Y185" s="15">
        <f t="shared" si="21"/>
        <v>0.74968425806393879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7"/>
        <v>2301.4058888109057</v>
      </c>
      <c r="AH185" s="17">
        <v>2017.9274417884624</v>
      </c>
      <c r="AI185" s="15">
        <f t="shared" si="23"/>
        <v>5.3244815494839415</v>
      </c>
      <c r="AJ185" s="17">
        <f t="shared" si="24"/>
        <v>1</v>
      </c>
      <c r="AK185" s="15">
        <f t="shared" si="28"/>
        <v>0.74968425806393879</v>
      </c>
      <c r="AL185" s="5">
        <v>2.8845000000000001</v>
      </c>
      <c r="AN185" s="5">
        <v>5.3654999999999999</v>
      </c>
      <c r="AQ185" s="5">
        <f t="shared" si="26"/>
        <v>0.99235514853861551</v>
      </c>
    </row>
    <row r="186" spans="1:43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8"/>
        <v>6673.5511999999999</v>
      </c>
      <c r="M186" s="15"/>
      <c r="N186" s="15"/>
      <c r="O186" s="15"/>
      <c r="P186" s="15">
        <f t="shared" si="19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20"/>
        <v>7.0260453027717755</v>
      </c>
      <c r="W186" s="15">
        <v>3.5899700000000001</v>
      </c>
      <c r="X186" s="15"/>
      <c r="Y186" s="15">
        <f t="shared" si="21"/>
        <v>0.51095172964281299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7"/>
        <v>1568.53676310994</v>
      </c>
      <c r="AH186" s="17">
        <v>1529.2268935074082</v>
      </c>
      <c r="AI186" s="15">
        <f t="shared" si="23"/>
        <v>3.9719855858283535</v>
      </c>
      <c r="AJ186" s="17">
        <f t="shared" si="24"/>
        <v>1.33</v>
      </c>
      <c r="AK186" s="15">
        <f t="shared" si="28"/>
        <v>0.51095172964281299</v>
      </c>
      <c r="AL186" s="5">
        <v>2.8845000000000001</v>
      </c>
      <c r="AN186" s="5">
        <v>4.0476999999999999</v>
      </c>
      <c r="AQ186" s="5">
        <f t="shared" si="26"/>
        <v>0.98129446002133403</v>
      </c>
    </row>
    <row r="187" spans="1:43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8"/>
        <v>6673.5511999999999</v>
      </c>
      <c r="M187" s="15"/>
      <c r="N187" s="15"/>
      <c r="O187" s="15"/>
      <c r="P187" s="15">
        <f t="shared" si="19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20"/>
        <v>9.4890080926194749</v>
      </c>
      <c r="W187" s="15">
        <v>3.2372399999999999</v>
      </c>
      <c r="X187" s="15"/>
      <c r="Y187" s="15">
        <f t="shared" si="21"/>
        <v>0.34115683835467658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7"/>
        <v>1047.2947088754265</v>
      </c>
      <c r="AH187" s="17">
        <v>1132.3014299415529</v>
      </c>
      <c r="AI187" s="15">
        <f t="shared" si="23"/>
        <v>3.4024196251638554</v>
      </c>
      <c r="AJ187" s="17">
        <f t="shared" si="24"/>
        <v>1.67</v>
      </c>
      <c r="AK187" s="15">
        <f t="shared" si="28"/>
        <v>0.34115683835467658</v>
      </c>
      <c r="AL187" s="5">
        <v>2.8845000000000001</v>
      </c>
      <c r="AN187" s="5">
        <v>3.4861</v>
      </c>
      <c r="AQ187" s="5">
        <f t="shared" si="26"/>
        <v>0.97599599126928527</v>
      </c>
    </row>
    <row r="188" spans="1:43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8"/>
        <v>6673.5511999999999</v>
      </c>
      <c r="M188" s="15"/>
      <c r="N188" s="15"/>
      <c r="O188" s="15"/>
      <c r="P188" s="15">
        <f t="shared" si="19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20"/>
        <v>12.503407320714025</v>
      </c>
      <c r="W188" s="15">
        <v>3.02901</v>
      </c>
      <c r="X188" s="15"/>
      <c r="Y188" s="15">
        <f t="shared" si="21"/>
        <v>0.24225476482573904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7"/>
        <v>743.6818051939232</v>
      </c>
      <c r="AH188" s="17">
        <v>859.31915648305255</v>
      </c>
      <c r="AI188" s="15">
        <f t="shared" si="23"/>
        <v>3.1258518301785059</v>
      </c>
      <c r="AJ188" s="17">
        <f t="shared" si="24"/>
        <v>2</v>
      </c>
      <c r="AK188" s="15">
        <f t="shared" si="28"/>
        <v>0.24225476482573904</v>
      </c>
      <c r="AL188" s="5">
        <v>2.8845000000000001</v>
      </c>
      <c r="AN188" s="5">
        <v>3.2118000000000002</v>
      </c>
      <c r="AQ188" s="5">
        <f t="shared" si="26"/>
        <v>0.97323987489211838</v>
      </c>
    </row>
    <row r="189" spans="1:43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8"/>
        <v>6673.5511999999999</v>
      </c>
      <c r="M189" s="15"/>
      <c r="N189" s="15"/>
      <c r="O189" s="15"/>
      <c r="P189" s="15">
        <f t="shared" si="19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20"/>
        <v>18.135533336385102</v>
      </c>
      <c r="W189" s="15">
        <v>2.8277999999999999</v>
      </c>
      <c r="X189" s="15"/>
      <c r="Y189" s="15">
        <f t="shared" si="21"/>
        <v>0.15592593543012154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7"/>
        <v>478.66666821037262</v>
      </c>
      <c r="AH189" s="17">
        <v>592.45114178382642</v>
      </c>
      <c r="AI189" s="15">
        <f t="shared" si="23"/>
        <v>2.9016853338216162</v>
      </c>
      <c r="AJ189" s="17">
        <f t="shared" si="24"/>
        <v>2.5</v>
      </c>
      <c r="AK189" s="15">
        <f t="shared" si="28"/>
        <v>0.15592593543012154</v>
      </c>
      <c r="AL189" s="5">
        <v>2.8845000000000001</v>
      </c>
      <c r="AN189" s="5">
        <v>2.9883999999999999</v>
      </c>
      <c r="AQ189" s="5">
        <f t="shared" si="26"/>
        <v>0.97098291186642227</v>
      </c>
    </row>
    <row r="190" spans="1:43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8"/>
        <v>4949.6792000000005</v>
      </c>
      <c r="M190" s="15"/>
      <c r="N190" s="15"/>
      <c r="O190" s="15"/>
      <c r="P190" s="15">
        <f t="shared" si="19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20"/>
        <v>3.5243204697778556</v>
      </c>
      <c r="W190" s="15">
        <v>3.7677700000000001</v>
      </c>
      <c r="X190" s="15"/>
      <c r="Y190" s="15">
        <f t="shared" si="21"/>
        <v>1.0690770128056741</v>
      </c>
      <c r="Z190" s="15"/>
      <c r="AA190" s="16"/>
      <c r="AB190" s="15">
        <v>1.5093980321271014</v>
      </c>
      <c r="AC190" s="17">
        <v>0.3</v>
      </c>
      <c r="AD190" s="15"/>
      <c r="AE190" s="15" t="s">
        <v>146</v>
      </c>
      <c r="AF190" s="24" t="s">
        <v>218</v>
      </c>
      <c r="AG190" s="17">
        <f t="shared" si="27"/>
        <v>2434.1305966018945</v>
      </c>
      <c r="AH190" s="17">
        <v>2261.1404326980228</v>
      </c>
      <c r="AI190" s="15">
        <f t="shared" si="23"/>
        <v>39.159116330865075</v>
      </c>
      <c r="AJ190" s="17">
        <f t="shared" si="24"/>
        <v>0.29999999999999993</v>
      </c>
      <c r="AK190" s="15">
        <f t="shared" si="28"/>
        <v>1.0690770128056741</v>
      </c>
      <c r="AL190" s="56">
        <v>1.5359</v>
      </c>
      <c r="AN190" s="5">
        <v>4.6113999999999997</v>
      </c>
      <c r="AQ190" s="5">
        <f t="shared" si="26"/>
        <v>8.4918064646018738</v>
      </c>
    </row>
    <row r="191" spans="1:43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8"/>
        <v>4949.6792000000005</v>
      </c>
      <c r="M191" s="15"/>
      <c r="N191" s="15"/>
      <c r="O191" s="15"/>
      <c r="P191" s="15">
        <f t="shared" si="19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20"/>
        <v>3.8026487608664294</v>
      </c>
      <c r="W191" s="15">
        <v>3.9872899999999998</v>
      </c>
      <c r="X191" s="15"/>
      <c r="Y191" s="15">
        <f t="shared" si="21"/>
        <v>1.0485559542163709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7"/>
        <v>2387.4071744456251</v>
      </c>
      <c r="AH191" s="17">
        <v>2095.6401742937405</v>
      </c>
      <c r="AI191" s="15">
        <f t="shared" si="23"/>
        <v>15.210595043465721</v>
      </c>
      <c r="AJ191" s="17">
        <f t="shared" si="24"/>
        <v>0.49999999999999994</v>
      </c>
      <c r="AK191" s="15">
        <f t="shared" si="28"/>
        <v>1.0485559542163709</v>
      </c>
      <c r="AL191" s="5">
        <v>1.5359</v>
      </c>
      <c r="AN191" s="5">
        <v>4.9733999999999998</v>
      </c>
      <c r="AQ191" s="5">
        <f t="shared" si="26"/>
        <v>3.058389641586384</v>
      </c>
    </row>
    <row r="192" spans="1:43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8"/>
        <v>4949.6792000000005</v>
      </c>
      <c r="M192" s="15"/>
      <c r="N192" s="15"/>
      <c r="O192" s="15"/>
      <c r="P192" s="15">
        <f t="shared" si="19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20"/>
        <v>4.2482306644885917</v>
      </c>
      <c r="W192" s="15">
        <v>3.80674</v>
      </c>
      <c r="X192" s="15"/>
      <c r="Y192" s="15">
        <f t="shared" si="21"/>
        <v>0.89607657884985892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7"/>
        <v>2040.2341378125411</v>
      </c>
      <c r="AH192" s="17">
        <v>1875.8358811854484</v>
      </c>
      <c r="AI192" s="15">
        <f t="shared" si="23"/>
        <v>7.5524100702019421</v>
      </c>
      <c r="AJ192" s="17">
        <f t="shared" si="24"/>
        <v>0.74999999999999989</v>
      </c>
      <c r="AK192" s="15">
        <f t="shared" si="28"/>
        <v>0.89607657884985892</v>
      </c>
      <c r="AL192" s="5">
        <v>1.5359</v>
      </c>
      <c r="AN192" s="5">
        <v>5.5507</v>
      </c>
      <c r="AQ192" s="5">
        <f t="shared" si="26"/>
        <v>1.3606229971358463</v>
      </c>
    </row>
    <row r="193" spans="1:43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8"/>
        <v>4949.6792000000005</v>
      </c>
      <c r="M193" s="15"/>
      <c r="N193" s="15"/>
      <c r="O193" s="15"/>
      <c r="P193" s="15">
        <f t="shared" si="19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20"/>
        <v>4.8789086510952355</v>
      </c>
      <c r="W193" s="15">
        <v>3.67571</v>
      </c>
      <c r="X193" s="15"/>
      <c r="Y193" s="15">
        <f t="shared" si="21"/>
        <v>0.75338774772404538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7"/>
        <v>1715.3527256444952</v>
      </c>
      <c r="AH193" s="17">
        <v>1633.3537030276418</v>
      </c>
      <c r="AI193" s="15">
        <f t="shared" si="23"/>
        <v>4.8789086510952373</v>
      </c>
      <c r="AJ193" s="17">
        <f t="shared" si="24"/>
        <v>0.99999999999999978</v>
      </c>
      <c r="AK193" s="15">
        <f t="shared" si="28"/>
        <v>0.75338774772404538</v>
      </c>
      <c r="AL193" s="5">
        <v>1.5359</v>
      </c>
      <c r="AN193" s="5">
        <v>4.9366000000000003</v>
      </c>
      <c r="AQ193" s="5">
        <f t="shared" si="26"/>
        <v>0.98831354598210042</v>
      </c>
    </row>
    <row r="194" spans="1:43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8"/>
        <v>4949.6792000000005</v>
      </c>
      <c r="M194" s="15"/>
      <c r="N194" s="15"/>
      <c r="O194" s="15"/>
      <c r="P194" s="15">
        <f t="shared" si="19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20"/>
        <v>6.124860598043588</v>
      </c>
      <c r="W194" s="15">
        <v>3.14107</v>
      </c>
      <c r="X194" s="15"/>
      <c r="Y194" s="15">
        <f t="shared" si="21"/>
        <v>0.5128394270725648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7"/>
        <v>1167.6596967556559</v>
      </c>
      <c r="AH194" s="17">
        <v>1301.0881446910751</v>
      </c>
      <c r="AI194" s="15">
        <f t="shared" si="23"/>
        <v>3.4625250709726885</v>
      </c>
      <c r="AJ194" s="17">
        <f t="shared" si="24"/>
        <v>1.3299999999999998</v>
      </c>
      <c r="AK194" s="15">
        <f t="shared" si="28"/>
        <v>0.5128394270725648</v>
      </c>
      <c r="AL194" s="5">
        <v>1.5359</v>
      </c>
      <c r="AN194" s="5">
        <v>3.5430000000000001</v>
      </c>
      <c r="AQ194" s="5">
        <f t="shared" si="26"/>
        <v>0.97728621816897776</v>
      </c>
    </row>
    <row r="195" spans="1:43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8"/>
        <v>4949.6792000000005</v>
      </c>
      <c r="M195" s="15"/>
      <c r="N195" s="15"/>
      <c r="O195" s="15"/>
      <c r="P195" s="15">
        <f t="shared" si="19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20"/>
        <v>7.9690827511854847</v>
      </c>
      <c r="W195" s="15">
        <v>2.7279300000000002</v>
      </c>
      <c r="X195" s="15"/>
      <c r="Y195" s="15">
        <f t="shared" si="21"/>
        <v>0.34231417657122359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7"/>
        <v>779.3988654342678</v>
      </c>
      <c r="AH195" s="17">
        <v>999.98754697515585</v>
      </c>
      <c r="AI195" s="15">
        <f t="shared" si="23"/>
        <v>2.8574286461276803</v>
      </c>
      <c r="AJ195" s="17">
        <f t="shared" si="24"/>
        <v>1.6699999999999997</v>
      </c>
      <c r="AK195" s="15">
        <f t="shared" si="28"/>
        <v>0.34231417657122359</v>
      </c>
      <c r="AL195" s="5">
        <v>1.5359</v>
      </c>
      <c r="AN195" s="5">
        <v>2.9394</v>
      </c>
      <c r="AQ195" s="5">
        <f t="shared" si="26"/>
        <v>0.97211289587251826</v>
      </c>
    </row>
    <row r="196" spans="1:43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8"/>
        <v>4949.6792000000005</v>
      </c>
      <c r="M196" s="15"/>
      <c r="N196" s="15"/>
      <c r="O196" s="15"/>
      <c r="P196" s="15">
        <f t="shared" si="19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20"/>
        <v>10.275594826355903</v>
      </c>
      <c r="W196" s="15">
        <v>2.4972799999999999</v>
      </c>
      <c r="X196" s="15"/>
      <c r="Y196" s="15">
        <f t="shared" si="21"/>
        <v>0.24303021306316197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7"/>
        <v>553.3439316623386</v>
      </c>
      <c r="AH196" s="17">
        <v>775.52527582737423</v>
      </c>
      <c r="AI196" s="15">
        <f t="shared" si="23"/>
        <v>2.5688987065889761</v>
      </c>
      <c r="AJ196" s="17">
        <f t="shared" si="24"/>
        <v>1.9999999999999998</v>
      </c>
      <c r="AK196" s="15">
        <f t="shared" si="28"/>
        <v>0.24303021306316197</v>
      </c>
      <c r="AL196" s="5">
        <v>1.5359</v>
      </c>
      <c r="AN196" s="5">
        <v>2.6501999999999999</v>
      </c>
      <c r="AQ196" s="5">
        <f t="shared" si="26"/>
        <v>0.96932258191418619</v>
      </c>
    </row>
    <row r="197" spans="1:43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8"/>
        <v>4949.6792000000005</v>
      </c>
      <c r="M197" s="42"/>
      <c r="N197" s="42"/>
      <c r="O197" s="42"/>
      <c r="P197" s="42">
        <f t="shared" si="19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20"/>
        <v>14.642736662485072</v>
      </c>
      <c r="W197" s="42">
        <v>2.2905199999999999</v>
      </c>
      <c r="X197" s="42"/>
      <c r="Y197" s="42">
        <f t="shared" si="21"/>
        <v>0.15642704316798575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7"/>
        <v>356.16129366759731</v>
      </c>
      <c r="AH197" s="43">
        <v>544.22774210074158</v>
      </c>
      <c r="AI197" s="42">
        <f t="shared" si="23"/>
        <v>2.3428378659976121</v>
      </c>
      <c r="AJ197" s="43">
        <f t="shared" si="24"/>
        <v>2.4999999999999996</v>
      </c>
      <c r="AK197" s="42">
        <f t="shared" si="28"/>
        <v>0.15642704316798575</v>
      </c>
      <c r="AL197" s="5">
        <v>1.5359</v>
      </c>
      <c r="AN197" s="5">
        <v>2.4226999999999999</v>
      </c>
      <c r="AQ197" s="5">
        <f t="shared" si="26"/>
        <v>0.96703589631304421</v>
      </c>
    </row>
    <row r="198" spans="1:43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 t="shared" si="18"/>
        <v>14073.1</v>
      </c>
      <c r="M198" s="36"/>
      <c r="N198" s="36"/>
      <c r="O198" s="36"/>
      <c r="P198" s="36">
        <f t="shared" si="19"/>
        <v>288390694.1583333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20"/>
        <v>3.6875184446391609</v>
      </c>
      <c r="W198" s="15">
        <v>3.86768</v>
      </c>
      <c r="X198" s="36"/>
      <c r="Y198" s="36">
        <f t="shared" si="21"/>
        <v>1.0488571265650899</v>
      </c>
      <c r="Z198" s="36"/>
      <c r="AA198" s="38"/>
      <c r="AB198" s="36">
        <v>0.3550200773318104</v>
      </c>
      <c r="AC198" s="39">
        <v>0.3</v>
      </c>
      <c r="AD198" s="36"/>
      <c r="AE198" s="36" t="s">
        <v>147</v>
      </c>
      <c r="AF198" s="40" t="s">
        <v>5</v>
      </c>
      <c r="AG198" s="39">
        <f t="shared" ref="AG198:AG261" si="29">W198*S198</f>
        <v>5240.0382858914245</v>
      </c>
      <c r="AH198" s="39">
        <v>4741.8953999865516</v>
      </c>
      <c r="AI198" s="36">
        <f t="shared" si="23"/>
        <v>40.972427162657333</v>
      </c>
      <c r="AJ198" s="39">
        <f t="shared" si="24"/>
        <v>0.30000000000000004</v>
      </c>
      <c r="AK198" s="36">
        <f t="shared" si="28"/>
        <v>1.0488571265650899</v>
      </c>
      <c r="AL198" s="56">
        <v>26.521000000000001</v>
      </c>
    </row>
    <row r="199" spans="1:43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30">2*C199*F199+(E199-2*F199)*H199</f>
        <v>14073.1</v>
      </c>
      <c r="M199" s="15"/>
      <c r="N199" s="15"/>
      <c r="O199" s="15"/>
      <c r="P199" s="15">
        <f t="shared" ref="P199:P262" si="31">(H199*(E199-2*F199)^3)/12 + (C199*F199^3)/6 + 2*C199*F199*(E199/2 - F199/2)^2</f>
        <v>288390694.1583333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32">L199*T199/(S199*1000)</f>
        <v>4.1518828485211703</v>
      </c>
      <c r="W199" s="5">
        <v>4.00291</v>
      </c>
      <c r="X199" s="15"/>
      <c r="Y199" s="15">
        <f t="shared" ref="Y199:Y262" si="33">AK199</f>
        <v>0.96411920712689858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si="29"/>
        <v>4816.6918349052321</v>
      </c>
      <c r="AH199" s="17">
        <v>4211.5414591305607</v>
      </c>
      <c r="AI199" s="15">
        <f t="shared" ref="AI199:AI262" si="34">(PI()^2*U199*P199/K199^2)/(S199*1000)</f>
        <v>16.607531394084681</v>
      </c>
      <c r="AJ199" s="17">
        <f t="shared" ref="AJ199:AJ262" si="35">(V199/AI199)^0.5</f>
        <v>0.5</v>
      </c>
      <c r="AK199" s="15">
        <f t="shared" ref="AK199:AK230" si="36">W199/V199</f>
        <v>0.96411920712689858</v>
      </c>
      <c r="AL199" s="5">
        <v>26.521000000000001</v>
      </c>
    </row>
    <row r="200" spans="1:43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30"/>
        <v>14073.1</v>
      </c>
      <c r="M200" s="15"/>
      <c r="N200" s="15"/>
      <c r="O200" s="15"/>
      <c r="P200" s="15">
        <f t="shared" si="31"/>
        <v>288390694.1583333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32"/>
        <v>5.0466007171573128</v>
      </c>
      <c r="W200" s="15">
        <v>3.9267400000000001</v>
      </c>
      <c r="X200" s="15"/>
      <c r="Y200" s="15">
        <f t="shared" si="33"/>
        <v>0.77809603336558075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29"/>
        <v>3887.3292669407897</v>
      </c>
      <c r="AH200" s="17">
        <v>3464.8722437168653</v>
      </c>
      <c r="AI200" s="15">
        <f t="shared" si="34"/>
        <v>8.9717346082796698</v>
      </c>
      <c r="AJ200" s="17">
        <f t="shared" si="35"/>
        <v>0.74999999999999989</v>
      </c>
      <c r="AK200" s="15">
        <f t="shared" si="36"/>
        <v>0.77809603336558075</v>
      </c>
      <c r="AL200" s="5">
        <v>26.521000000000001</v>
      </c>
    </row>
    <row r="201" spans="1:43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30"/>
        <v>14073.1</v>
      </c>
      <c r="M201" s="15"/>
      <c r="N201" s="15"/>
      <c r="O201" s="15"/>
      <c r="P201" s="15">
        <f t="shared" si="31"/>
        <v>288390694.1583333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32"/>
        <v>6.4822134047165605</v>
      </c>
      <c r="W201" s="15">
        <v>4.1758199999999999</v>
      </c>
      <c r="X201" s="15"/>
      <c r="Y201" s="15">
        <f t="shared" si="33"/>
        <v>0.64419662533195954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29"/>
        <v>3218.3744524255153</v>
      </c>
      <c r="AH201" s="17">
        <v>2697.5086530284602</v>
      </c>
      <c r="AI201" s="15">
        <f t="shared" si="34"/>
        <v>6.4822134047165605</v>
      </c>
      <c r="AJ201" s="17">
        <f t="shared" si="35"/>
        <v>1</v>
      </c>
      <c r="AK201" s="15">
        <f t="shared" si="36"/>
        <v>0.64419662533195954</v>
      </c>
      <c r="AL201" s="5">
        <v>26.521000000000001</v>
      </c>
    </row>
    <row r="202" spans="1:43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30"/>
        <v>14073.1</v>
      </c>
      <c r="M202" s="15"/>
      <c r="N202" s="15"/>
      <c r="O202" s="15"/>
      <c r="P202" s="15">
        <f t="shared" si="31"/>
        <v>288390694.1583333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32"/>
        <v>9.2987954997459816</v>
      </c>
      <c r="W202" s="15">
        <v>4.3993399999999996</v>
      </c>
      <c r="X202" s="15"/>
      <c r="Y202" s="15">
        <f t="shared" si="33"/>
        <v>0.47310858703368386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29"/>
        <v>2363.6270819452266</v>
      </c>
      <c r="AH202" s="17">
        <v>1880.4399720886074</v>
      </c>
      <c r="AI202" s="15">
        <f t="shared" si="34"/>
        <v>5.2568237321193836</v>
      </c>
      <c r="AJ202" s="17">
        <f t="shared" si="35"/>
        <v>1.3300000000000003</v>
      </c>
      <c r="AK202" s="15">
        <f t="shared" si="36"/>
        <v>0.47310858703368386</v>
      </c>
      <c r="AL202" s="5">
        <v>26.521000000000001</v>
      </c>
    </row>
    <row r="203" spans="1:43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30"/>
        <v>14073.1</v>
      </c>
      <c r="M203" s="15"/>
      <c r="N203" s="15"/>
      <c r="O203" s="15"/>
      <c r="P203" s="15">
        <f t="shared" si="31"/>
        <v>288390694.1583333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32"/>
        <v>13.192555857592348</v>
      </c>
      <c r="W203" s="15">
        <v>4.2272600000000002</v>
      </c>
      <c r="X203" s="15"/>
      <c r="Y203" s="15">
        <f t="shared" si="33"/>
        <v>0.32042767494269897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29"/>
        <v>1600.8408028438146</v>
      </c>
      <c r="AH203" s="17">
        <v>1325.4313219327296</v>
      </c>
      <c r="AI203" s="15">
        <f t="shared" si="34"/>
        <v>4.7303796685404089</v>
      </c>
      <c r="AJ203" s="17">
        <f t="shared" si="35"/>
        <v>1.6700000000000002</v>
      </c>
      <c r="AK203" s="15">
        <f t="shared" si="36"/>
        <v>0.32042767494269897</v>
      </c>
      <c r="AL203" s="5">
        <v>26.521000000000001</v>
      </c>
    </row>
    <row r="204" spans="1:43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30"/>
        <v>14073.1</v>
      </c>
      <c r="M204" s="15"/>
      <c r="N204" s="15"/>
      <c r="O204" s="15"/>
      <c r="P204" s="15">
        <f t="shared" si="31"/>
        <v>288390694.1583333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32"/>
        <v>17.840429325891453</v>
      </c>
      <c r="W204" s="15">
        <v>3.90503</v>
      </c>
      <c r="X204" s="15"/>
      <c r="Y204" s="15">
        <f t="shared" si="33"/>
        <v>0.21888654856151413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29"/>
        <v>1093.5463617291707</v>
      </c>
      <c r="AH204" s="17">
        <v>980.12365232843217</v>
      </c>
      <c r="AI204" s="15">
        <f t="shared" si="34"/>
        <v>4.4601073314728632</v>
      </c>
      <c r="AJ204" s="17">
        <f t="shared" si="35"/>
        <v>2</v>
      </c>
      <c r="AK204" s="15">
        <f t="shared" si="36"/>
        <v>0.21888654856151413</v>
      </c>
      <c r="AL204" s="5">
        <v>26.521000000000001</v>
      </c>
    </row>
    <row r="205" spans="1:43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30"/>
        <v>14073.1</v>
      </c>
      <c r="M205" s="15"/>
      <c r="N205" s="15"/>
      <c r="O205" s="15"/>
      <c r="P205" s="15">
        <f t="shared" si="31"/>
        <v>288390694.1583333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32"/>
        <v>26.421797868568682</v>
      </c>
      <c r="W205" s="15">
        <v>3.6423299999999998</v>
      </c>
      <c r="X205" s="15"/>
      <c r="Y205" s="15">
        <f t="shared" si="33"/>
        <v>0.13785322324083435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29"/>
        <v>688.707879576658</v>
      </c>
      <c r="AH205" s="17">
        <v>661.79549313716848</v>
      </c>
      <c r="AI205" s="15">
        <f t="shared" si="34"/>
        <v>4.227487658970988</v>
      </c>
      <c r="AJ205" s="17">
        <f t="shared" si="35"/>
        <v>2.5000000000000004</v>
      </c>
      <c r="AK205" s="15">
        <f t="shared" si="36"/>
        <v>0.13785322324083435</v>
      </c>
      <c r="AL205" s="5">
        <v>26.521000000000001</v>
      </c>
    </row>
    <row r="206" spans="1:43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0"/>
        <v>10828</v>
      </c>
      <c r="M206" s="15"/>
      <c r="N206" s="15"/>
      <c r="O206" s="15"/>
      <c r="P206" s="15">
        <f t="shared" si="31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32"/>
        <v>3.6875184446391605</v>
      </c>
      <c r="W206" s="15">
        <v>3.9754499999999999</v>
      </c>
      <c r="X206" s="15"/>
      <c r="Y206" s="15">
        <f t="shared" si="33"/>
        <v>1.0780827430922897</v>
      </c>
      <c r="Z206" s="15"/>
      <c r="AA206" s="16"/>
      <c r="AB206" s="15">
        <v>0.50420742049940981</v>
      </c>
      <c r="AC206" s="17">
        <v>0.3</v>
      </c>
      <c r="AD206" s="15"/>
      <c r="AE206" s="15" t="s">
        <v>148</v>
      </c>
      <c r="AF206" s="22" t="s">
        <v>5</v>
      </c>
      <c r="AG206" s="17">
        <f t="shared" si="29"/>
        <v>4144.085379482176</v>
      </c>
      <c r="AH206" s="17">
        <v>3648.4671743293502</v>
      </c>
      <c r="AI206" s="15">
        <f t="shared" si="34"/>
        <v>40.972427162657333</v>
      </c>
      <c r="AJ206" s="17">
        <f>(V206/AI206)^0.5</f>
        <v>0.30000000000000004</v>
      </c>
      <c r="AK206" s="15">
        <f t="shared" si="36"/>
        <v>1.0780827430922897</v>
      </c>
      <c r="AL206" s="56">
        <v>15.672000000000001</v>
      </c>
    </row>
    <row r="207" spans="1:43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0"/>
        <v>10828</v>
      </c>
      <c r="M207" s="15"/>
      <c r="N207" s="15"/>
      <c r="O207" s="15"/>
      <c r="P207" s="15">
        <f t="shared" si="31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32"/>
        <v>4.1518828485211703</v>
      </c>
      <c r="W207" s="15">
        <v>3.9196499999999999</v>
      </c>
      <c r="X207" s="15"/>
      <c r="Y207" s="15">
        <f t="shared" si="33"/>
        <v>0.94406565478987736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9"/>
        <v>3628.9317330730009</v>
      </c>
      <c r="AH207" s="17">
        <v>3240.4069408634709</v>
      </c>
      <c r="AI207" s="15">
        <f t="shared" si="34"/>
        <v>16.607531394084688</v>
      </c>
      <c r="AJ207" s="17">
        <f t="shared" si="35"/>
        <v>0.49999999999999989</v>
      </c>
      <c r="AK207" s="15">
        <f t="shared" si="36"/>
        <v>0.94406565478987736</v>
      </c>
      <c r="AL207" s="5">
        <v>15.672000000000001</v>
      </c>
    </row>
    <row r="208" spans="1:43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0"/>
        <v>10828</v>
      </c>
      <c r="M208" s="15"/>
      <c r="N208" s="15"/>
      <c r="O208" s="15"/>
      <c r="P208" s="15">
        <f t="shared" si="31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32"/>
        <v>5.0466007171573128</v>
      </c>
      <c r="W208" s="15">
        <v>3.8428399999999998</v>
      </c>
      <c r="X208" s="15"/>
      <c r="Y208" s="15">
        <f t="shared" si="33"/>
        <v>0.761470981235984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9"/>
        <v>2927.0487636122484</v>
      </c>
      <c r="AH208" s="17">
        <v>2665.911324083977</v>
      </c>
      <c r="AI208" s="15">
        <f t="shared" si="34"/>
        <v>8.9717346082796663</v>
      </c>
      <c r="AJ208" s="17">
        <f t="shared" si="35"/>
        <v>0.75000000000000011</v>
      </c>
      <c r="AK208" s="15">
        <f t="shared" si="36"/>
        <v>0.761470981235984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0"/>
        <v>10828</v>
      </c>
      <c r="M209" s="15"/>
      <c r="N209" s="15"/>
      <c r="O209" s="15"/>
      <c r="P209" s="15">
        <f t="shared" si="31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32"/>
        <v>6.4822134047165614</v>
      </c>
      <c r="W209" s="15">
        <v>4.1445999999999996</v>
      </c>
      <c r="X209" s="15"/>
      <c r="Y209" s="15">
        <f t="shared" si="33"/>
        <v>0.63938036920912278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9"/>
        <v>2457.7397764177153</v>
      </c>
      <c r="AH209" s="17">
        <v>2075.4932243068097</v>
      </c>
      <c r="AI209" s="15">
        <f t="shared" si="34"/>
        <v>6.4822134047165632</v>
      </c>
      <c r="AJ209" s="17">
        <f t="shared" si="35"/>
        <v>0.99999999999999989</v>
      </c>
      <c r="AK209" s="15">
        <f t="shared" si="36"/>
        <v>0.63938036920912278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0"/>
        <v>10828</v>
      </c>
      <c r="M210" s="15"/>
      <c r="N210" s="15"/>
      <c r="O210" s="15"/>
      <c r="P210" s="15">
        <f t="shared" si="31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32"/>
        <v>9.2987954997459781</v>
      </c>
      <c r="W210" s="15">
        <v>4.3875900000000003</v>
      </c>
      <c r="X210" s="15"/>
      <c r="Y210" s="15">
        <f t="shared" si="33"/>
        <v>0.47184498251626883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9"/>
        <v>1813.7438020935865</v>
      </c>
      <c r="AH210" s="17">
        <v>1446.8314740729086</v>
      </c>
      <c r="AI210" s="15">
        <f t="shared" si="34"/>
        <v>5.2568237321193827</v>
      </c>
      <c r="AJ210" s="17">
        <f t="shared" si="35"/>
        <v>1.33</v>
      </c>
      <c r="AK210" s="15">
        <f t="shared" si="36"/>
        <v>0.47184498251626883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0"/>
        <v>10828</v>
      </c>
      <c r="M211" s="15"/>
      <c r="N211" s="15"/>
      <c r="O211" s="15"/>
      <c r="P211" s="15">
        <f t="shared" si="31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32"/>
        <v>13.192555857592344</v>
      </c>
      <c r="W211" s="15">
        <v>4.2258500000000003</v>
      </c>
      <c r="X211" s="15"/>
      <c r="Y211" s="15">
        <f t="shared" si="33"/>
        <v>0.32032079648675615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9"/>
        <v>1231.2939224473016</v>
      </c>
      <c r="AH211" s="17">
        <v>1019.8016324681555</v>
      </c>
      <c r="AI211" s="15">
        <f t="shared" si="34"/>
        <v>4.7303796685404089</v>
      </c>
      <c r="AJ211" s="17">
        <f t="shared" si="35"/>
        <v>1.67</v>
      </c>
      <c r="AK211" s="15">
        <f t="shared" si="36"/>
        <v>0.32032079648675615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0"/>
        <v>10828</v>
      </c>
      <c r="M212" s="15"/>
      <c r="N212" s="15"/>
      <c r="O212" s="15"/>
      <c r="P212" s="15">
        <f t="shared" si="31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32"/>
        <v>17.840429325891453</v>
      </c>
      <c r="W212" s="15">
        <v>3.9205299999999998</v>
      </c>
      <c r="X212" s="15"/>
      <c r="Y212" s="15">
        <f t="shared" si="33"/>
        <v>0.2197553617339362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9"/>
        <v>844.72642518354667</v>
      </c>
      <c r="AH212" s="17">
        <v>754.11806264520703</v>
      </c>
      <c r="AI212" s="15">
        <f t="shared" si="34"/>
        <v>4.460107331472865</v>
      </c>
      <c r="AJ212" s="17">
        <f t="shared" si="35"/>
        <v>1.9999999999999996</v>
      </c>
      <c r="AK212" s="15">
        <f t="shared" si="36"/>
        <v>0.2197553617339362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0"/>
        <v>10828</v>
      </c>
      <c r="M213" s="15"/>
      <c r="N213" s="15"/>
      <c r="O213" s="15"/>
      <c r="P213" s="15">
        <f t="shared" si="31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32"/>
        <v>26.421797868568689</v>
      </c>
      <c r="W213" s="15">
        <v>3.6698499999999998</v>
      </c>
      <c r="X213" s="15"/>
      <c r="Y213" s="15">
        <f t="shared" si="33"/>
        <v>0.13889478748778278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9"/>
        <v>533.90322941578779</v>
      </c>
      <c r="AH213" s="17">
        <v>509.19282885002309</v>
      </c>
      <c r="AI213" s="15">
        <f t="shared" si="34"/>
        <v>4.2274876589709907</v>
      </c>
      <c r="AJ213" s="17">
        <f t="shared" si="35"/>
        <v>2.5</v>
      </c>
      <c r="AK213" s="15">
        <f t="shared" si="36"/>
        <v>0.13889478748778278</v>
      </c>
      <c r="AL213" s="5">
        <v>15.672000000000001</v>
      </c>
    </row>
    <row r="214" spans="1:38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30"/>
        <v>9336</v>
      </c>
      <c r="M214" s="15"/>
      <c r="N214" s="15"/>
      <c r="O214" s="15"/>
      <c r="P214" s="15">
        <f t="shared" si="31"/>
        <v>233468362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32"/>
        <v>3.6875184446391613</v>
      </c>
      <c r="W214" s="15">
        <v>3.8986700000000001</v>
      </c>
      <c r="X214" s="15"/>
      <c r="Y214" s="15">
        <f t="shared" si="33"/>
        <v>1.0572611523253006</v>
      </c>
      <c r="Z214" s="15"/>
      <c r="AA214" s="16"/>
      <c r="AB214" s="15">
        <v>0.60172287236842936</v>
      </c>
      <c r="AC214" s="17">
        <v>0.3</v>
      </c>
      <c r="AD214" s="15"/>
      <c r="AE214" s="15" t="s">
        <v>149</v>
      </c>
      <c r="AF214" s="22" t="s">
        <v>5</v>
      </c>
      <c r="AG214" s="17">
        <f t="shared" si="29"/>
        <v>3504.0594919286973</v>
      </c>
      <c r="AH214" s="17">
        <v>3145.7415533375333</v>
      </c>
      <c r="AI214" s="15">
        <f t="shared" si="34"/>
        <v>40.972427162657347</v>
      </c>
      <c r="AJ214" s="17">
        <f t="shared" si="35"/>
        <v>0.3</v>
      </c>
      <c r="AK214" s="15">
        <f t="shared" si="36"/>
        <v>1.0572611523253006</v>
      </c>
      <c r="AL214" s="56">
        <v>10.936</v>
      </c>
    </row>
    <row r="215" spans="1:38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30"/>
        <v>9336</v>
      </c>
      <c r="M215" s="15"/>
      <c r="N215" s="15"/>
      <c r="O215" s="15"/>
      <c r="P215" s="15">
        <f t="shared" si="31"/>
        <v>233468362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32"/>
        <v>4.1518828485211712</v>
      </c>
      <c r="W215" s="15">
        <v>3.8526199999999999</v>
      </c>
      <c r="X215" s="15"/>
      <c r="Y215" s="15">
        <f t="shared" si="33"/>
        <v>0.92792117228746873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29"/>
        <v>3075.3905828889115</v>
      </c>
      <c r="AH215" s="17">
        <v>2793.9083117751534</v>
      </c>
      <c r="AI215" s="15">
        <f t="shared" si="34"/>
        <v>16.607531394084681</v>
      </c>
      <c r="AJ215" s="17">
        <f t="shared" si="35"/>
        <v>0.5</v>
      </c>
      <c r="AK215" s="15">
        <f t="shared" si="36"/>
        <v>0.92792117228746873</v>
      </c>
      <c r="AL215" s="5">
        <v>10.936</v>
      </c>
    </row>
    <row r="216" spans="1:38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30"/>
        <v>9336</v>
      </c>
      <c r="M216" s="15"/>
      <c r="N216" s="15"/>
      <c r="O216" s="15"/>
      <c r="P216" s="15">
        <f t="shared" si="31"/>
        <v>233468362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32"/>
        <v>5.046600717157312</v>
      </c>
      <c r="W216" s="15">
        <v>3.7893599999999998</v>
      </c>
      <c r="X216" s="15"/>
      <c r="Y216" s="15">
        <f t="shared" si="33"/>
        <v>0.75087374896076575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29"/>
        <v>2488.6058487056866</v>
      </c>
      <c r="AH216" s="17">
        <v>2298.5729702297758</v>
      </c>
      <c r="AI216" s="15">
        <f t="shared" si="34"/>
        <v>8.9717346082796645</v>
      </c>
      <c r="AJ216" s="17">
        <f t="shared" si="35"/>
        <v>0.75000000000000011</v>
      </c>
      <c r="AK216" s="15">
        <f t="shared" si="36"/>
        <v>0.75087374896076575</v>
      </c>
      <c r="AL216" s="5">
        <v>10.936</v>
      </c>
    </row>
    <row r="217" spans="1:38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30"/>
        <v>9336</v>
      </c>
      <c r="M217" s="15"/>
      <c r="N217" s="15"/>
      <c r="O217" s="15"/>
      <c r="P217" s="15">
        <f t="shared" si="31"/>
        <v>233468362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32"/>
        <v>6.482213404716564</v>
      </c>
      <c r="W217" s="15">
        <v>4.1299099999999997</v>
      </c>
      <c r="X217" s="15"/>
      <c r="Y217" s="15">
        <f t="shared" si="33"/>
        <v>0.63711416797771725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29"/>
        <v>2111.5747446451887</v>
      </c>
      <c r="AH217" s="17">
        <v>1789.5091191474298</v>
      </c>
      <c r="AI217" s="15">
        <f t="shared" si="34"/>
        <v>6.4822134047165632</v>
      </c>
      <c r="AJ217" s="17">
        <f t="shared" si="35"/>
        <v>1</v>
      </c>
      <c r="AK217" s="15">
        <f t="shared" si="36"/>
        <v>0.63711416797771725</v>
      </c>
      <c r="AL217" s="5">
        <v>10.936</v>
      </c>
    </row>
    <row r="218" spans="1:38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30"/>
        <v>9336</v>
      </c>
      <c r="M218" s="15"/>
      <c r="N218" s="15"/>
      <c r="O218" s="15"/>
      <c r="P218" s="15">
        <f t="shared" si="31"/>
        <v>233468362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32"/>
        <v>9.2987954997459799</v>
      </c>
      <c r="W218" s="15">
        <v>4.3860000000000001</v>
      </c>
      <c r="X218" s="15"/>
      <c r="Y218" s="15">
        <f t="shared" si="33"/>
        <v>0.47167399262838017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29"/>
        <v>1563.2596802883877</v>
      </c>
      <c r="AH218" s="17">
        <v>1247.4712451001726</v>
      </c>
      <c r="AI218" s="15">
        <f t="shared" si="34"/>
        <v>5.2568237321193845</v>
      </c>
      <c r="AJ218" s="17">
        <f t="shared" si="35"/>
        <v>1.33</v>
      </c>
      <c r="AK218" s="15">
        <f t="shared" si="36"/>
        <v>0.47167399262838017</v>
      </c>
      <c r="AL218" s="5">
        <v>10.936</v>
      </c>
    </row>
    <row r="219" spans="1:38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30"/>
        <v>9336</v>
      </c>
      <c r="M219" s="15"/>
      <c r="N219" s="15"/>
      <c r="O219" s="15"/>
      <c r="P219" s="15">
        <f t="shared" si="31"/>
        <v>233468362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32"/>
        <v>13.192555857592343</v>
      </c>
      <c r="W219" s="15">
        <v>4.2252999999999998</v>
      </c>
      <c r="X219" s="15"/>
      <c r="Y219" s="15">
        <f t="shared" si="33"/>
        <v>0.3202791063089061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29"/>
        <v>1061.4946364574812</v>
      </c>
      <c r="AH219" s="17">
        <v>879.28223501317882</v>
      </c>
      <c r="AI219" s="15">
        <f t="shared" si="34"/>
        <v>4.730379668540408</v>
      </c>
      <c r="AJ219" s="17">
        <f t="shared" si="35"/>
        <v>1.67</v>
      </c>
      <c r="AK219" s="15">
        <f t="shared" si="36"/>
        <v>0.3202791063089061</v>
      </c>
      <c r="AL219" s="5">
        <v>10.936</v>
      </c>
    </row>
    <row r="220" spans="1:38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30"/>
        <v>9336</v>
      </c>
      <c r="M220" s="15"/>
      <c r="N220" s="15"/>
      <c r="O220" s="15"/>
      <c r="P220" s="15">
        <f t="shared" si="31"/>
        <v>233468362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32"/>
        <v>17.84042932589146</v>
      </c>
      <c r="W220" s="15">
        <v>3.9297800000000001</v>
      </c>
      <c r="X220" s="15"/>
      <c r="Y220" s="15">
        <f t="shared" si="33"/>
        <v>0.22027384701425254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29"/>
        <v>730.04920568239686</v>
      </c>
      <c r="AH220" s="17">
        <v>650.20744669889643</v>
      </c>
      <c r="AI220" s="15">
        <f t="shared" si="34"/>
        <v>4.460107331472865</v>
      </c>
      <c r="AJ220" s="17">
        <f t="shared" si="35"/>
        <v>2</v>
      </c>
      <c r="AK220" s="15">
        <f t="shared" si="36"/>
        <v>0.22027384701425254</v>
      </c>
      <c r="AL220" s="5">
        <v>10.936</v>
      </c>
    </row>
    <row r="221" spans="1:38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30"/>
        <v>9336</v>
      </c>
      <c r="M221" s="15"/>
      <c r="N221" s="15"/>
      <c r="O221" s="15"/>
      <c r="P221" s="15">
        <f t="shared" si="31"/>
        <v>233468362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32"/>
        <v>26.421797868568685</v>
      </c>
      <c r="W221" s="15">
        <v>3.6853799999999999</v>
      </c>
      <c r="X221" s="15"/>
      <c r="Y221" s="15">
        <f t="shared" si="33"/>
        <v>0.13948255975359344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29"/>
        <v>462.28425814013974</v>
      </c>
      <c r="AH221" s="17">
        <v>439.03068435018616</v>
      </c>
      <c r="AI221" s="15">
        <f t="shared" si="34"/>
        <v>4.2274876589709898</v>
      </c>
      <c r="AJ221" s="17">
        <f t="shared" si="35"/>
        <v>2.5</v>
      </c>
      <c r="AK221" s="15">
        <f t="shared" si="36"/>
        <v>0.13948255975359344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0"/>
        <v>7955.9</v>
      </c>
      <c r="M222" s="15"/>
      <c r="N222" s="15"/>
      <c r="O222" s="15"/>
      <c r="P222" s="15">
        <f t="shared" si="31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32"/>
        <v>3.6875184446391605</v>
      </c>
      <c r="W222" s="15">
        <v>4.3240699999999999</v>
      </c>
      <c r="X222" s="15"/>
      <c r="Y222" s="15">
        <f t="shared" si="33"/>
        <v>1.1726232871556874</v>
      </c>
      <c r="Z222" s="15"/>
      <c r="AA222" s="16"/>
      <c r="AB222" s="15">
        <v>0.80762280341764636</v>
      </c>
      <c r="AC222" s="17">
        <v>0.3</v>
      </c>
      <c r="AD222" s="15"/>
      <c r="AE222" s="15" t="s">
        <v>150</v>
      </c>
      <c r="AF222" s="22" t="s">
        <v>5</v>
      </c>
      <c r="AG222" s="17">
        <f t="shared" si="29"/>
        <v>3311.8921316500864</v>
      </c>
      <c r="AH222" s="17">
        <v>2680.7203539201037</v>
      </c>
      <c r="AI222" s="15">
        <f t="shared" si="34"/>
        <v>40.97242716265734</v>
      </c>
      <c r="AJ222" s="17">
        <f t="shared" si="35"/>
        <v>0.3</v>
      </c>
      <c r="AK222" s="15">
        <f t="shared" si="36"/>
        <v>1.1726232871556874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0"/>
        <v>7955.9</v>
      </c>
      <c r="M223" s="15"/>
      <c r="N223" s="15"/>
      <c r="O223" s="15"/>
      <c r="P223" s="15">
        <f t="shared" si="31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32"/>
        <v>4.1518828485211703</v>
      </c>
      <c r="W223" s="15">
        <v>3.7456800000000001</v>
      </c>
      <c r="X223" s="15"/>
      <c r="Y223" s="15">
        <f t="shared" si="33"/>
        <v>0.90216418349427829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9"/>
        <v>2548.0224497490558</v>
      </c>
      <c r="AH223" s="17">
        <v>2380.8970798684604</v>
      </c>
      <c r="AI223" s="15">
        <f t="shared" si="34"/>
        <v>16.607531394084681</v>
      </c>
      <c r="AJ223" s="17">
        <f t="shared" si="35"/>
        <v>0.5</v>
      </c>
      <c r="AK223" s="15">
        <f t="shared" si="36"/>
        <v>0.90216418349427829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0"/>
        <v>7955.9</v>
      </c>
      <c r="M224" s="15"/>
      <c r="N224" s="15"/>
      <c r="O224" s="15"/>
      <c r="P224" s="15">
        <f t="shared" si="31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32"/>
        <v>5.046600717157312</v>
      </c>
      <c r="W224" s="15">
        <v>3.7242799999999998</v>
      </c>
      <c r="X224" s="15"/>
      <c r="Y224" s="15">
        <f t="shared" si="33"/>
        <v>0.7379779397522539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9"/>
        <v>2084.3039352606097</v>
      </c>
      <c r="AH224" s="17">
        <v>1958.7849929146394</v>
      </c>
      <c r="AI224" s="15">
        <f t="shared" si="34"/>
        <v>8.9717346082796663</v>
      </c>
      <c r="AJ224" s="17">
        <f t="shared" si="35"/>
        <v>0.75</v>
      </c>
      <c r="AK224" s="15">
        <f t="shared" si="36"/>
        <v>0.7379779397522539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0"/>
        <v>7955.9</v>
      </c>
      <c r="M225" s="15"/>
      <c r="N225" s="15"/>
      <c r="O225" s="15"/>
      <c r="P225" s="15">
        <f t="shared" si="31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32"/>
        <v>6.4822134047165614</v>
      </c>
      <c r="W225" s="15">
        <v>4.1163499999999997</v>
      </c>
      <c r="X225" s="15"/>
      <c r="Y225" s="15">
        <f t="shared" si="33"/>
        <v>0.63502228991795895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9"/>
        <v>1793.5217119071929</v>
      </c>
      <c r="AH225" s="17">
        <v>1524.9738218750047</v>
      </c>
      <c r="AI225" s="15">
        <f t="shared" si="34"/>
        <v>6.4822134047165614</v>
      </c>
      <c r="AJ225" s="17">
        <f t="shared" si="35"/>
        <v>1</v>
      </c>
      <c r="AK225" s="15">
        <f t="shared" si="36"/>
        <v>0.63502228991795895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0"/>
        <v>7955.9</v>
      </c>
      <c r="M226" s="15"/>
      <c r="N226" s="15"/>
      <c r="O226" s="15"/>
      <c r="P226" s="15">
        <f t="shared" si="31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32"/>
        <v>9.2987954997459763</v>
      </c>
      <c r="W226" s="15">
        <v>4.3855899999999997</v>
      </c>
      <c r="X226" s="15"/>
      <c r="Y226" s="15">
        <f t="shared" si="33"/>
        <v>0.47162990089628326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9"/>
        <v>1332.0453166319626</v>
      </c>
      <c r="AH226" s="17">
        <v>1063.0630333003928</v>
      </c>
      <c r="AI226" s="15">
        <f t="shared" si="34"/>
        <v>5.2568237321193818</v>
      </c>
      <c r="AJ226" s="17">
        <f t="shared" si="35"/>
        <v>1.33</v>
      </c>
      <c r="AK226" s="15">
        <f t="shared" si="36"/>
        <v>0.47162990089628326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0"/>
        <v>7955.9</v>
      </c>
      <c r="M227" s="15"/>
      <c r="N227" s="15"/>
      <c r="O227" s="15"/>
      <c r="P227" s="15">
        <f t="shared" si="31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32"/>
        <v>13.192555857592346</v>
      </c>
      <c r="W227" s="15">
        <v>4.2241799999999996</v>
      </c>
      <c r="X227" s="15"/>
      <c r="Y227" s="15">
        <f t="shared" si="33"/>
        <v>0.32019420994673858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9"/>
        <v>904.33875579491644</v>
      </c>
      <c r="AH227" s="17">
        <v>749.30179236732522</v>
      </c>
      <c r="AI227" s="15">
        <f t="shared" si="34"/>
        <v>4.7303796685404089</v>
      </c>
      <c r="AJ227" s="17">
        <f t="shared" si="35"/>
        <v>1.67</v>
      </c>
      <c r="AK227" s="15">
        <f t="shared" si="36"/>
        <v>0.32019420994673858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0"/>
        <v>7955.9</v>
      </c>
      <c r="M228" s="15"/>
      <c r="N228" s="15"/>
      <c r="O228" s="15"/>
      <c r="P228" s="15">
        <f t="shared" si="31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32"/>
        <v>17.840429325891453</v>
      </c>
      <c r="W228" s="15">
        <v>3.9390900000000002</v>
      </c>
      <c r="X228" s="15"/>
      <c r="Y228" s="15">
        <f t="shared" si="33"/>
        <v>0.22079569544233327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9"/>
        <v>623.60310804622907</v>
      </c>
      <c r="AH228" s="17">
        <v>554.0901269485596</v>
      </c>
      <c r="AI228" s="15">
        <f t="shared" si="34"/>
        <v>4.4601073314728632</v>
      </c>
      <c r="AJ228" s="17">
        <f t="shared" si="35"/>
        <v>2</v>
      </c>
      <c r="AK228" s="15">
        <f t="shared" si="36"/>
        <v>0.22079569544233327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0"/>
        <v>7955.9</v>
      </c>
      <c r="M229" s="15"/>
      <c r="N229" s="15"/>
      <c r="O229" s="15"/>
      <c r="P229" s="15">
        <f t="shared" si="31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32"/>
        <v>26.421797868568685</v>
      </c>
      <c r="W229" s="15">
        <v>3.7016100000000001</v>
      </c>
      <c r="X229" s="15"/>
      <c r="Y229" s="15">
        <f t="shared" si="33"/>
        <v>0.14009682529603437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9"/>
        <v>395.68169799231555</v>
      </c>
      <c r="AH229" s="17">
        <v>374.13070068783702</v>
      </c>
      <c r="AI229" s="15">
        <f t="shared" si="34"/>
        <v>4.2274876589709898</v>
      </c>
      <c r="AJ229" s="17">
        <f t="shared" si="35"/>
        <v>2.5</v>
      </c>
      <c r="AK229" s="15">
        <f t="shared" si="36"/>
        <v>0.14009682529603437</v>
      </c>
      <c r="AL229" s="5">
        <v>6.1308999999999996</v>
      </c>
    </row>
    <row r="230" spans="1:38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30"/>
        <v>7023.4</v>
      </c>
      <c r="M230" s="15"/>
      <c r="N230" s="15"/>
      <c r="O230" s="15"/>
      <c r="P230" s="15">
        <f t="shared" si="31"/>
        <v>206655884.88333333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32"/>
        <v>3.6875184446391613</v>
      </c>
      <c r="W230" s="15">
        <v>4.5959199999999996</v>
      </c>
      <c r="X230" s="15"/>
      <c r="Y230" s="15">
        <f t="shared" si="33"/>
        <v>1.246344952302938</v>
      </c>
      <c r="Z230" s="15"/>
      <c r="AA230" s="16"/>
      <c r="AB230" s="15">
        <v>1.1133153135475653</v>
      </c>
      <c r="AC230" s="17">
        <v>0.3</v>
      </c>
      <c r="AD230" s="15"/>
      <c r="AE230" s="15" t="s">
        <v>151</v>
      </c>
      <c r="AF230" s="22" t="s">
        <v>5</v>
      </c>
      <c r="AG230" s="17">
        <f t="shared" si="29"/>
        <v>3107.5205939915818</v>
      </c>
      <c r="AH230" s="17">
        <v>2366.5168408002178</v>
      </c>
      <c r="AI230" s="15">
        <f t="shared" si="34"/>
        <v>40.972427162657354</v>
      </c>
      <c r="AJ230" s="17">
        <f t="shared" si="35"/>
        <v>0.3</v>
      </c>
      <c r="AK230" s="15">
        <f t="shared" si="36"/>
        <v>1.246344952302938</v>
      </c>
      <c r="AL230" s="56">
        <v>3.2757000000000001</v>
      </c>
    </row>
    <row r="231" spans="1:38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30"/>
        <v>7023.4</v>
      </c>
      <c r="M231" s="15"/>
      <c r="N231" s="15"/>
      <c r="O231" s="15"/>
      <c r="P231" s="15">
        <f t="shared" si="31"/>
        <v>206655884.88333333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32"/>
        <v>4.1518828485211703</v>
      </c>
      <c r="W231" s="15">
        <v>3.7017899999999999</v>
      </c>
      <c r="X231" s="15"/>
      <c r="Y231" s="15">
        <f t="shared" si="33"/>
        <v>0.89159307597479887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29"/>
        <v>2223.0152574794974</v>
      </c>
      <c r="AH231" s="17">
        <v>2101.8354366882622</v>
      </c>
      <c r="AI231" s="15">
        <f t="shared" si="34"/>
        <v>16.607531394084685</v>
      </c>
      <c r="AJ231" s="17">
        <f t="shared" si="35"/>
        <v>0.49999999999999994</v>
      </c>
      <c r="AK231" s="15">
        <f t="shared" ref="AK231:AK262" si="37">W231/V231</f>
        <v>0.89159307597479887</v>
      </c>
      <c r="AL231" s="5">
        <v>3.2757000000000001</v>
      </c>
    </row>
    <row r="232" spans="1:38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30"/>
        <v>7023.4</v>
      </c>
      <c r="M232" s="15"/>
      <c r="N232" s="15"/>
      <c r="O232" s="15"/>
      <c r="P232" s="15">
        <f t="shared" si="31"/>
        <v>206655884.88333333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32"/>
        <v>5.0466007171573137</v>
      </c>
      <c r="W232" s="15">
        <v>3.6672899999999999</v>
      </c>
      <c r="X232" s="15"/>
      <c r="Y232" s="15">
        <f t="shared" si="33"/>
        <v>0.72668518980152996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29"/>
        <v>1811.8492705284834</v>
      </c>
      <c r="AH232" s="17">
        <v>1729.1985217557631</v>
      </c>
      <c r="AI232" s="15">
        <f t="shared" si="34"/>
        <v>8.9717346082796681</v>
      </c>
      <c r="AJ232" s="17">
        <f t="shared" si="35"/>
        <v>0.75</v>
      </c>
      <c r="AK232" s="15">
        <f t="shared" si="37"/>
        <v>0.72668518980152996</v>
      </c>
      <c r="AL232" s="5">
        <v>3.2757000000000001</v>
      </c>
    </row>
    <row r="233" spans="1:38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30"/>
        <v>7023.4</v>
      </c>
      <c r="M233" s="15"/>
      <c r="N233" s="15"/>
      <c r="O233" s="15"/>
      <c r="P233" s="15">
        <f t="shared" si="31"/>
        <v>206655884.88333333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32"/>
        <v>6.4822134047165623</v>
      </c>
      <c r="W233" s="15">
        <v>4.1074799999999998</v>
      </c>
      <c r="X233" s="15"/>
      <c r="Y233" s="15">
        <f t="shared" si="33"/>
        <v>0.63365393015468008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29"/>
        <v>1579.893779632175</v>
      </c>
      <c r="AH233" s="17">
        <v>1346.2337561503921</v>
      </c>
      <c r="AI233" s="15">
        <f t="shared" si="34"/>
        <v>6.4822134047165632</v>
      </c>
      <c r="AJ233" s="17">
        <f t="shared" si="35"/>
        <v>1</v>
      </c>
      <c r="AK233" s="15">
        <f t="shared" si="37"/>
        <v>0.63365393015468008</v>
      </c>
      <c r="AL233" s="5">
        <v>3.2757000000000001</v>
      </c>
    </row>
    <row r="234" spans="1:38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30"/>
        <v>7023.4</v>
      </c>
      <c r="M234" s="15"/>
      <c r="N234" s="15"/>
      <c r="O234" s="15"/>
      <c r="P234" s="15">
        <f t="shared" si="31"/>
        <v>206655884.88333333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32"/>
        <v>9.2987954997459781</v>
      </c>
      <c r="W234" s="15">
        <v>4.3851100000000001</v>
      </c>
      <c r="X234" s="15"/>
      <c r="Y234" s="15">
        <f t="shared" si="33"/>
        <v>0.47157828130748669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29"/>
        <v>1175.7894298319259</v>
      </c>
      <c r="AH234" s="17">
        <v>938.46289019243318</v>
      </c>
      <c r="AI234" s="15">
        <f t="shared" si="34"/>
        <v>5.2568237321193845</v>
      </c>
      <c r="AJ234" s="17">
        <f t="shared" si="35"/>
        <v>1.3299999999999998</v>
      </c>
      <c r="AK234" s="15">
        <f t="shared" si="37"/>
        <v>0.47157828130748669</v>
      </c>
      <c r="AL234" s="5">
        <v>3.2757000000000001</v>
      </c>
    </row>
    <row r="235" spans="1:38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30"/>
        <v>7023.4</v>
      </c>
      <c r="M235" s="15"/>
      <c r="N235" s="15"/>
      <c r="O235" s="15"/>
      <c r="P235" s="15">
        <f t="shared" si="31"/>
        <v>206655884.88333333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32"/>
        <v>13.192555857592346</v>
      </c>
      <c r="W235" s="15">
        <v>4.2218</v>
      </c>
      <c r="X235" s="15"/>
      <c r="Y235" s="15">
        <f t="shared" si="33"/>
        <v>0.32001380517713285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29"/>
        <v>797.89266054478162</v>
      </c>
      <c r="AH235" s="17">
        <v>661.47716895796475</v>
      </c>
      <c r="AI235" s="15">
        <f t="shared" si="34"/>
        <v>4.7303796685404098</v>
      </c>
      <c r="AJ235" s="17">
        <f t="shared" si="35"/>
        <v>1.67</v>
      </c>
      <c r="AK235" s="15">
        <f t="shared" si="37"/>
        <v>0.32001380517713285</v>
      </c>
      <c r="AL235" s="5">
        <v>3.2757000000000001</v>
      </c>
    </row>
    <row r="236" spans="1:38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30"/>
        <v>7023.4</v>
      </c>
      <c r="M236" s="15"/>
      <c r="N236" s="15"/>
      <c r="O236" s="15"/>
      <c r="P236" s="15">
        <f t="shared" si="31"/>
        <v>206655884.88333333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32"/>
        <v>17.840429325891449</v>
      </c>
      <c r="W236" s="15">
        <v>3.94509</v>
      </c>
      <c r="X236" s="15"/>
      <c r="Y236" s="15">
        <f t="shared" si="33"/>
        <v>0.22113201021875475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29"/>
        <v>551.34998900249275</v>
      </c>
      <c r="AH236" s="17">
        <v>489.14599198211556</v>
      </c>
      <c r="AI236" s="15">
        <f t="shared" si="34"/>
        <v>4.4601073314728632</v>
      </c>
      <c r="AJ236" s="17">
        <f t="shared" si="35"/>
        <v>1.9999999999999998</v>
      </c>
      <c r="AK236" s="15">
        <f t="shared" si="37"/>
        <v>0.22113201021875475</v>
      </c>
      <c r="AL236" s="5">
        <v>3.2757000000000001</v>
      </c>
    </row>
    <row r="237" spans="1:38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30"/>
        <v>7023.4</v>
      </c>
      <c r="M237" s="15"/>
      <c r="N237" s="15"/>
      <c r="O237" s="15"/>
      <c r="P237" s="15">
        <f t="shared" si="31"/>
        <v>206655884.88333333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32"/>
        <v>26.421797868568689</v>
      </c>
      <c r="W237" s="15">
        <v>3.7131099999999999</v>
      </c>
      <c r="X237" s="15"/>
      <c r="Y237" s="15">
        <f t="shared" si="33"/>
        <v>0.14053207198353096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29"/>
        <v>350.38959880104164</v>
      </c>
      <c r="AH237" s="17">
        <v>330.2793603754389</v>
      </c>
      <c r="AI237" s="15">
        <f t="shared" si="34"/>
        <v>4.2274876589709907</v>
      </c>
      <c r="AJ237" s="17">
        <f t="shared" si="35"/>
        <v>2.5</v>
      </c>
      <c r="AK237" s="15">
        <f t="shared" si="37"/>
        <v>0.14053207198353096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0"/>
        <v>6456.4400000000005</v>
      </c>
      <c r="M238" s="15"/>
      <c r="N238" s="15"/>
      <c r="O238" s="15"/>
      <c r="P238" s="15">
        <f t="shared" si="31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32"/>
        <v>3.6875184446391609</v>
      </c>
      <c r="W238" s="15">
        <v>4.3931100000000001</v>
      </c>
      <c r="X238" s="15"/>
      <c r="Y238" s="15">
        <f t="shared" si="33"/>
        <v>1.1913459053707551</v>
      </c>
      <c r="Z238" s="15"/>
      <c r="AA238" s="16"/>
      <c r="AB238" s="15">
        <v>1.5137471488237149</v>
      </c>
      <c r="AC238" s="17">
        <v>0.3</v>
      </c>
      <c r="AD238" s="15"/>
      <c r="AE238" s="15" t="s">
        <v>152</v>
      </c>
      <c r="AF238" s="22" t="s">
        <v>5</v>
      </c>
      <c r="AG238" s="17">
        <f t="shared" si="29"/>
        <v>2730.6079418315453</v>
      </c>
      <c r="AH238" s="17">
        <v>2175.4811048233278</v>
      </c>
      <c r="AI238" s="15">
        <f t="shared" si="34"/>
        <v>40.97242716265734</v>
      </c>
      <c r="AJ238" s="17">
        <f t="shared" si="35"/>
        <v>0.30000000000000004</v>
      </c>
      <c r="AK238" s="15">
        <f t="shared" si="37"/>
        <v>1.1913459053707551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0"/>
        <v>6456.4400000000005</v>
      </c>
      <c r="M239" s="15"/>
      <c r="N239" s="15"/>
      <c r="O239" s="15"/>
      <c r="P239" s="15">
        <f t="shared" si="31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32"/>
        <v>4.1518828485211703</v>
      </c>
      <c r="W239" s="15">
        <v>3.6684199999999998</v>
      </c>
      <c r="X239" s="15"/>
      <c r="Y239" s="15">
        <f t="shared" si="33"/>
        <v>0.88355575863770541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9"/>
        <v>2025.1417835160837</v>
      </c>
      <c r="AH239" s="17">
        <v>1932.165957634702</v>
      </c>
      <c r="AI239" s="15">
        <f t="shared" si="34"/>
        <v>16.607531394084681</v>
      </c>
      <c r="AJ239" s="17">
        <f t="shared" si="35"/>
        <v>0.5</v>
      </c>
      <c r="AK239" s="15">
        <f t="shared" si="37"/>
        <v>0.88355575863770541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0"/>
        <v>6456.4400000000005</v>
      </c>
      <c r="M240" s="15"/>
      <c r="N240" s="15"/>
      <c r="O240" s="15"/>
      <c r="P240" s="15">
        <f t="shared" si="31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32"/>
        <v>5.046600717157312</v>
      </c>
      <c r="W240" s="15">
        <v>3.6254400000000002</v>
      </c>
      <c r="X240" s="15"/>
      <c r="Y240" s="15">
        <f t="shared" si="33"/>
        <v>0.71839247905512249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9"/>
        <v>1646.5815678020824</v>
      </c>
      <c r="AH240" s="17">
        <v>1589.6099472911669</v>
      </c>
      <c r="AI240" s="15">
        <f t="shared" si="34"/>
        <v>8.9717346082796681</v>
      </c>
      <c r="AJ240" s="17">
        <f t="shared" si="35"/>
        <v>0.74999999999999989</v>
      </c>
      <c r="AK240" s="15">
        <f t="shared" si="37"/>
        <v>0.71839247905512249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0"/>
        <v>6456.4400000000005</v>
      </c>
      <c r="M241" s="15"/>
      <c r="N241" s="15"/>
      <c r="O241" s="15"/>
      <c r="P241" s="15">
        <f t="shared" si="31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32"/>
        <v>6.4822134047165605</v>
      </c>
      <c r="W241" s="15">
        <v>4.1016000000000004</v>
      </c>
      <c r="X241" s="15"/>
      <c r="Y241" s="15">
        <f t="shared" si="33"/>
        <v>0.63274683258894437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9"/>
        <v>1450.2786457292002</v>
      </c>
      <c r="AH241" s="17">
        <v>1237.5597961898284</v>
      </c>
      <c r="AI241" s="15">
        <f t="shared" si="34"/>
        <v>6.4822134047165605</v>
      </c>
      <c r="AJ241" s="17">
        <f t="shared" si="35"/>
        <v>1</v>
      </c>
      <c r="AK241" s="15">
        <f t="shared" si="37"/>
        <v>0.63274683258894437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0"/>
        <v>6456.4400000000005</v>
      </c>
      <c r="M242" s="15"/>
      <c r="N242" s="15"/>
      <c r="O242" s="15"/>
      <c r="P242" s="15">
        <f t="shared" si="31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32"/>
        <v>9.2987954997459763</v>
      </c>
      <c r="W242" s="15">
        <v>4.38232</v>
      </c>
      <c r="X242" s="15"/>
      <c r="Y242" s="15">
        <f t="shared" si="33"/>
        <v>0.47127824244760685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9"/>
        <v>1080.1867919622916</v>
      </c>
      <c r="AH242" s="17">
        <v>862.70600318279378</v>
      </c>
      <c r="AI242" s="15">
        <f t="shared" si="34"/>
        <v>5.2568237321193818</v>
      </c>
      <c r="AJ242" s="17">
        <f t="shared" si="35"/>
        <v>1.33</v>
      </c>
      <c r="AK242" s="15">
        <f t="shared" si="37"/>
        <v>0.47127824244760685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0"/>
        <v>6456.4400000000005</v>
      </c>
      <c r="M243" s="15"/>
      <c r="N243" s="15"/>
      <c r="O243" s="15"/>
      <c r="P243" s="15">
        <f t="shared" si="31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32"/>
        <v>13.192555857592346</v>
      </c>
      <c r="W243" s="15">
        <v>4.2182500000000003</v>
      </c>
      <c r="X243" s="15"/>
      <c r="Y243" s="15">
        <f t="shared" si="33"/>
        <v>0.31974471402919152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9"/>
        <v>732.86645931355486</v>
      </c>
      <c r="AH243" s="17">
        <v>608.07979792507365</v>
      </c>
      <c r="AI243" s="15">
        <f t="shared" si="34"/>
        <v>4.7303796685404098</v>
      </c>
      <c r="AJ243" s="17">
        <f t="shared" si="35"/>
        <v>1.67</v>
      </c>
      <c r="AK243" s="15">
        <f t="shared" si="37"/>
        <v>0.31974471402919152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0"/>
        <v>6456.4400000000005</v>
      </c>
      <c r="M244" s="15"/>
      <c r="N244" s="15"/>
      <c r="O244" s="15"/>
      <c r="P244" s="15">
        <f t="shared" si="31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32"/>
        <v>17.840429325891453</v>
      </c>
      <c r="W244" s="15">
        <v>3.94746</v>
      </c>
      <c r="X244" s="15"/>
      <c r="Y244" s="15">
        <f t="shared" si="33"/>
        <v>0.22126485455544118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9"/>
        <v>507.14705642880614</v>
      </c>
      <c r="AH244" s="17">
        <v>449.65995792251766</v>
      </c>
      <c r="AI244" s="15">
        <f t="shared" si="34"/>
        <v>4.4601073314728632</v>
      </c>
      <c r="AJ244" s="17">
        <f t="shared" si="35"/>
        <v>2</v>
      </c>
      <c r="AK244" s="15">
        <f t="shared" si="37"/>
        <v>0.22126485455544118</v>
      </c>
      <c r="AL244" s="5">
        <v>1.7927999999999999</v>
      </c>
    </row>
    <row r="245" spans="1:38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30"/>
        <v>6456.4400000000005</v>
      </c>
      <c r="M245" s="25"/>
      <c r="N245" s="25"/>
      <c r="O245" s="25"/>
      <c r="P245" s="25">
        <f t="shared" si="31"/>
        <v>200082503.39666668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32"/>
        <v>26.421797868568685</v>
      </c>
      <c r="W245" s="25">
        <v>3.7196199999999999</v>
      </c>
      <c r="X245" s="25"/>
      <c r="Y245" s="25">
        <f t="shared" si="33"/>
        <v>0.14077845945619211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29"/>
        <v>322.6693252538247</v>
      </c>
      <c r="AH245" s="47">
        <v>303.61774546550089</v>
      </c>
      <c r="AI245" s="25">
        <f t="shared" si="34"/>
        <v>4.2274876589709898</v>
      </c>
      <c r="AJ245" s="47">
        <f t="shared" si="35"/>
        <v>2.5</v>
      </c>
      <c r="AK245" s="25">
        <f t="shared" si="37"/>
        <v>0.14077845945619211</v>
      </c>
      <c r="AL245" s="5">
        <v>1.7927999999999999</v>
      </c>
    </row>
    <row r="246" spans="1:38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30"/>
        <v>18131.148799999999</v>
      </c>
      <c r="M246" s="15"/>
      <c r="N246" s="15"/>
      <c r="O246" s="15"/>
      <c r="P246" s="15">
        <f t="shared" si="31"/>
        <v>296599421.04640174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32"/>
        <v>3.6875184446391609</v>
      </c>
      <c r="W246" s="15">
        <v>4.0699899999999998</v>
      </c>
      <c r="X246" s="15"/>
      <c r="Y246" s="15">
        <f t="shared" si="33"/>
        <v>1.1037205809551591</v>
      </c>
      <c r="Z246" s="15"/>
      <c r="AA246" s="16"/>
      <c r="AB246" s="15">
        <v>0.35499999999999998</v>
      </c>
      <c r="AC246" s="17">
        <v>0.3</v>
      </c>
      <c r="AD246" s="15"/>
      <c r="AE246" s="15" t="s">
        <v>153</v>
      </c>
      <c r="AF246" s="22" t="s">
        <v>5</v>
      </c>
      <c r="AG246" s="17">
        <f t="shared" si="29"/>
        <v>7104.1613408567546</v>
      </c>
      <c r="AH246" s="17">
        <v>6109.2446647285724</v>
      </c>
      <c r="AI246" s="15">
        <f t="shared" si="34"/>
        <v>40.97242716265734</v>
      </c>
      <c r="AJ246" s="17">
        <f t="shared" si="35"/>
        <v>0.30000000000000004</v>
      </c>
      <c r="AK246" s="15">
        <f t="shared" si="37"/>
        <v>1.1037205809551591</v>
      </c>
      <c r="AL246" s="56">
        <v>29.24</v>
      </c>
    </row>
    <row r="247" spans="1:38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30"/>
        <v>18131.148799999999</v>
      </c>
      <c r="M247" s="15"/>
      <c r="N247" s="15"/>
      <c r="O247" s="15"/>
      <c r="P247" s="15">
        <f t="shared" si="31"/>
        <v>296599421.04640174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32"/>
        <v>4.1518828485211712</v>
      </c>
      <c r="W247" s="15">
        <v>3.7187700000000001</v>
      </c>
      <c r="X247" s="15"/>
      <c r="Y247" s="15">
        <f t="shared" si="33"/>
        <v>0.89568278674446744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29"/>
        <v>5765.1140488422261</v>
      </c>
      <c r="AH247" s="17">
        <v>5425.9605113916132</v>
      </c>
      <c r="AI247" s="15">
        <f t="shared" si="34"/>
        <v>16.607531394084685</v>
      </c>
      <c r="AJ247" s="17">
        <f t="shared" si="35"/>
        <v>0.5</v>
      </c>
      <c r="AK247" s="15">
        <f t="shared" si="37"/>
        <v>0.89568278674446744</v>
      </c>
      <c r="AL247" s="5">
        <v>29.24</v>
      </c>
    </row>
    <row r="248" spans="1:38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30"/>
        <v>18131.148799999999</v>
      </c>
      <c r="M248" s="15"/>
      <c r="N248" s="15"/>
      <c r="O248" s="15"/>
      <c r="P248" s="15">
        <f t="shared" si="31"/>
        <v>296599421.04640174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32"/>
        <v>5.0466007171573128</v>
      </c>
      <c r="W248" s="15">
        <v>3.6337199999999998</v>
      </c>
      <c r="X248" s="15"/>
      <c r="Y248" s="15">
        <f t="shared" si="33"/>
        <v>0.72003318741785238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29"/>
        <v>4634.5352460140357</v>
      </c>
      <c r="AH248" s="17">
        <v>4463.9854917410057</v>
      </c>
      <c r="AI248" s="15">
        <f t="shared" si="34"/>
        <v>8.9717346082796663</v>
      </c>
      <c r="AJ248" s="17">
        <f t="shared" si="35"/>
        <v>0.75000000000000011</v>
      </c>
      <c r="AK248" s="15">
        <f t="shared" si="37"/>
        <v>0.72003318741785238</v>
      </c>
      <c r="AL248" s="5">
        <v>29.24</v>
      </c>
    </row>
    <row r="249" spans="1:38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30"/>
        <v>18131.148799999999</v>
      </c>
      <c r="M249" s="15"/>
      <c r="N249" s="15"/>
      <c r="O249" s="15"/>
      <c r="P249" s="15">
        <f t="shared" si="31"/>
        <v>296599421.04640174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32"/>
        <v>6.4822134047165623</v>
      </c>
      <c r="W249" s="15">
        <v>4.1364299999999998</v>
      </c>
      <c r="X249" s="15"/>
      <c r="Y249" s="15">
        <f t="shared" si="33"/>
        <v>0.63811999725128876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29"/>
        <v>4107.2962609586411</v>
      </c>
      <c r="AH249" s="17">
        <v>3475.34877016056</v>
      </c>
      <c r="AI249" s="15">
        <f t="shared" si="34"/>
        <v>6.4822134047165632</v>
      </c>
      <c r="AJ249" s="17">
        <f t="shared" si="35"/>
        <v>1</v>
      </c>
      <c r="AK249" s="15">
        <f t="shared" si="37"/>
        <v>0.63811999725128876</v>
      </c>
      <c r="AL249" s="5">
        <v>29.24</v>
      </c>
    </row>
    <row r="250" spans="1:38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30"/>
        <v>18131.148799999999</v>
      </c>
      <c r="M250" s="15"/>
      <c r="N250" s="15"/>
      <c r="O250" s="15"/>
      <c r="P250" s="15">
        <f t="shared" si="31"/>
        <v>296599421.04640174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32"/>
        <v>9.2987954997459781</v>
      </c>
      <c r="W250" s="15">
        <v>4.4176000000000002</v>
      </c>
      <c r="X250" s="15"/>
      <c r="Y250" s="15">
        <f t="shared" si="33"/>
        <v>0.47507228222415249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29"/>
        <v>3057.8302151154048</v>
      </c>
      <c r="AH250" s="17">
        <v>2422.6742468543816</v>
      </c>
      <c r="AI250" s="15">
        <f t="shared" si="34"/>
        <v>5.2568237321193836</v>
      </c>
      <c r="AJ250" s="17">
        <f t="shared" si="35"/>
        <v>1.33</v>
      </c>
      <c r="AK250" s="15">
        <f t="shared" si="37"/>
        <v>0.47507228222415249</v>
      </c>
      <c r="AL250" s="5">
        <v>29.24</v>
      </c>
    </row>
    <row r="251" spans="1:38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30"/>
        <v>18131.148799999999</v>
      </c>
      <c r="M251" s="15"/>
      <c r="N251" s="15"/>
      <c r="O251" s="15"/>
      <c r="P251" s="15">
        <f t="shared" si="31"/>
        <v>296599421.04640174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32"/>
        <v>13.192555857592346</v>
      </c>
      <c r="W251" s="15">
        <v>4.2557099999999997</v>
      </c>
      <c r="X251" s="15"/>
      <c r="Y251" s="15">
        <f t="shared" si="33"/>
        <v>0.32258419414239803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29"/>
        <v>2076.3318187059872</v>
      </c>
      <c r="AH251" s="17">
        <v>1707.6260754306461</v>
      </c>
      <c r="AI251" s="15">
        <f t="shared" si="34"/>
        <v>4.7303796685404098</v>
      </c>
      <c r="AJ251" s="17">
        <f t="shared" si="35"/>
        <v>1.67</v>
      </c>
      <c r="AK251" s="15">
        <f t="shared" si="37"/>
        <v>0.32258419414239803</v>
      </c>
      <c r="AL251" s="5">
        <v>29.24</v>
      </c>
    </row>
    <row r="252" spans="1:38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30"/>
        <v>18131.148799999999</v>
      </c>
      <c r="M252" s="15"/>
      <c r="N252" s="15"/>
      <c r="O252" s="15"/>
      <c r="P252" s="15">
        <f t="shared" si="31"/>
        <v>296599421.04640174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32"/>
        <v>17.840429325891449</v>
      </c>
      <c r="W252" s="15">
        <v>3.98861</v>
      </c>
      <c r="X252" s="15"/>
      <c r="Y252" s="15">
        <f t="shared" si="33"/>
        <v>0.22357141339706507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29"/>
        <v>1439.0303301236174</v>
      </c>
      <c r="AH252" s="17">
        <v>1262.7472115430339</v>
      </c>
      <c r="AI252" s="15">
        <f t="shared" si="34"/>
        <v>4.4601073314728632</v>
      </c>
      <c r="AJ252" s="17">
        <f t="shared" si="35"/>
        <v>1.9999999999999998</v>
      </c>
      <c r="AK252" s="15">
        <f t="shared" si="37"/>
        <v>0.22357141339706507</v>
      </c>
      <c r="AL252" s="5">
        <v>29.24</v>
      </c>
    </row>
    <row r="253" spans="1:38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30"/>
        <v>18131.148799999999</v>
      </c>
      <c r="M253" s="15"/>
      <c r="N253" s="15"/>
      <c r="O253" s="15"/>
      <c r="P253" s="15">
        <f t="shared" si="31"/>
        <v>296599421.04640174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32"/>
        <v>26.421797868568689</v>
      </c>
      <c r="W253" s="15">
        <v>3.7609900000000001</v>
      </c>
      <c r="X253" s="15"/>
      <c r="Y253" s="15">
        <f t="shared" si="33"/>
        <v>0.14234421210503867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29"/>
        <v>916.20675212580227</v>
      </c>
      <c r="AH253" s="17">
        <v>852.62753488850217</v>
      </c>
      <c r="AI253" s="15">
        <f t="shared" si="34"/>
        <v>4.2274876589709898</v>
      </c>
      <c r="AJ253" s="17">
        <f t="shared" si="35"/>
        <v>2.5</v>
      </c>
      <c r="AK253" s="15">
        <f t="shared" si="37"/>
        <v>0.14234421210503867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0"/>
        <v>12891.42</v>
      </c>
      <c r="M254" s="15"/>
      <c r="N254" s="15"/>
      <c r="O254" s="15"/>
      <c r="P254" s="15">
        <f t="shared" si="31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32"/>
        <v>3.6875184446391605</v>
      </c>
      <c r="W254" s="15">
        <v>3.7741500000000001</v>
      </c>
      <c r="X254" s="15"/>
      <c r="Y254" s="15">
        <f t="shared" si="33"/>
        <v>1.0234931856372902</v>
      </c>
      <c r="Z254" s="15"/>
      <c r="AA254" s="16"/>
      <c r="AB254" s="15">
        <v>0.50316512905442312</v>
      </c>
      <c r="AC254" s="17">
        <v>0.3</v>
      </c>
      <c r="AD254" s="15"/>
      <c r="AE254" s="15" t="s">
        <v>154</v>
      </c>
      <c r="AF254" s="24" t="s">
        <v>218</v>
      </c>
      <c r="AG254" s="17">
        <f t="shared" si="29"/>
        <v>4683.9695857318384</v>
      </c>
      <c r="AH254" s="17">
        <v>4343.7313170015586</v>
      </c>
      <c r="AI254" s="15">
        <f t="shared" si="34"/>
        <v>40.972427162657333</v>
      </c>
      <c r="AJ254" s="17">
        <f t="shared" si="35"/>
        <v>0.30000000000000004</v>
      </c>
      <c r="AK254" s="15">
        <f t="shared" si="37"/>
        <v>1.0234931856372902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0"/>
        <v>12891.42</v>
      </c>
      <c r="M255" s="15"/>
      <c r="N255" s="15"/>
      <c r="O255" s="15"/>
      <c r="P255" s="15">
        <f t="shared" si="31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32"/>
        <v>4.1518828485211694</v>
      </c>
      <c r="W255" s="15">
        <v>3.7458999999999998</v>
      </c>
      <c r="X255" s="15"/>
      <c r="Y255" s="15">
        <f t="shared" si="33"/>
        <v>0.90221717150189484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9"/>
        <v>4128.95547361025</v>
      </c>
      <c r="AH255" s="17">
        <v>3857.9097567035624</v>
      </c>
      <c r="AI255" s="15">
        <f t="shared" si="34"/>
        <v>16.607531394084674</v>
      </c>
      <c r="AJ255" s="17">
        <f t="shared" si="35"/>
        <v>0.5</v>
      </c>
      <c r="AK255" s="15">
        <f t="shared" si="37"/>
        <v>0.90221717150189484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0"/>
        <v>12891.42</v>
      </c>
      <c r="M256" s="15"/>
      <c r="N256" s="15"/>
      <c r="O256" s="15"/>
      <c r="P256" s="15">
        <f t="shared" si="31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32"/>
        <v>5.0466007171573111</v>
      </c>
      <c r="W256" s="15">
        <v>3.6374900000000001</v>
      </c>
      <c r="X256" s="15"/>
      <c r="Y256" s="15">
        <f t="shared" si="33"/>
        <v>0.72078022492117311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9"/>
        <v>3298.6176155394246</v>
      </c>
      <c r="AH256" s="17">
        <v>3173.9363281790424</v>
      </c>
      <c r="AI256" s="15">
        <f t="shared" si="34"/>
        <v>8.9717346082796627</v>
      </c>
      <c r="AJ256" s="17">
        <f t="shared" si="35"/>
        <v>0.75000000000000011</v>
      </c>
      <c r="AK256" s="15">
        <f t="shared" si="37"/>
        <v>0.72078022492117311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0"/>
        <v>12891.42</v>
      </c>
      <c r="M257" s="15"/>
      <c r="N257" s="15"/>
      <c r="O257" s="15"/>
      <c r="P257" s="15">
        <f t="shared" si="31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32"/>
        <v>6.4822134047165605</v>
      </c>
      <c r="W257" s="15">
        <v>4.13056</v>
      </c>
      <c r="X257" s="15"/>
      <c r="Y257" s="15">
        <f t="shared" si="33"/>
        <v>0.63721444236848779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9"/>
        <v>2916.1826473564797</v>
      </c>
      <c r="AH257" s="17">
        <v>2471.0061748885573</v>
      </c>
      <c r="AI257" s="15">
        <f t="shared" si="34"/>
        <v>6.4822134047165587</v>
      </c>
      <c r="AJ257" s="17">
        <f t="shared" si="35"/>
        <v>1</v>
      </c>
      <c r="AK257" s="15">
        <f t="shared" si="37"/>
        <v>0.63721444236848779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0"/>
        <v>12891.42</v>
      </c>
      <c r="M258" s="15"/>
      <c r="N258" s="15"/>
      <c r="O258" s="15"/>
      <c r="P258" s="15">
        <f t="shared" si="31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32"/>
        <v>9.2987954997459763</v>
      </c>
      <c r="W258" s="15">
        <v>4.41153</v>
      </c>
      <c r="X258" s="15"/>
      <c r="Y258" s="15">
        <f t="shared" si="33"/>
        <v>0.47441950950749628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9"/>
        <v>2171.1591094055702</v>
      </c>
      <c r="AH258" s="17">
        <v>1722.544532830899</v>
      </c>
      <c r="AI258" s="15">
        <f t="shared" si="34"/>
        <v>5.2568237321193818</v>
      </c>
      <c r="AJ258" s="17">
        <f t="shared" si="35"/>
        <v>1.33</v>
      </c>
      <c r="AK258" s="15">
        <f t="shared" si="37"/>
        <v>0.47441950950749628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0"/>
        <v>12891.42</v>
      </c>
      <c r="M259" s="15"/>
      <c r="N259" s="15"/>
      <c r="O259" s="15"/>
      <c r="P259" s="15">
        <f t="shared" si="31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32"/>
        <v>13.192555857592341</v>
      </c>
      <c r="W259" s="15">
        <v>4.2466999999999997</v>
      </c>
      <c r="X259" s="15"/>
      <c r="Y259" s="15">
        <f t="shared" si="33"/>
        <v>0.32190123322889064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9"/>
        <v>1473.1662186054127</v>
      </c>
      <c r="AH259" s="17">
        <v>1214.1384522379599</v>
      </c>
      <c r="AI259" s="15">
        <f t="shared" si="34"/>
        <v>4.7303796685404071</v>
      </c>
      <c r="AJ259" s="17">
        <f t="shared" si="35"/>
        <v>1.67</v>
      </c>
      <c r="AK259" s="15">
        <f t="shared" si="37"/>
        <v>0.32190123322889064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0"/>
        <v>12891.42</v>
      </c>
      <c r="M260" s="15"/>
      <c r="N260" s="15"/>
      <c r="O260" s="15"/>
      <c r="P260" s="15">
        <f t="shared" si="31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32"/>
        <v>17.840429325891449</v>
      </c>
      <c r="W260" s="15">
        <v>3.9796999999999998</v>
      </c>
      <c r="X260" s="15"/>
      <c r="Y260" s="15">
        <f t="shared" si="33"/>
        <v>0.22307198595407918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9"/>
        <v>1020.878704714688</v>
      </c>
      <c r="AH260" s="17">
        <v>897.82533017599519</v>
      </c>
      <c r="AI260" s="15">
        <f t="shared" si="34"/>
        <v>4.4601073314728614</v>
      </c>
      <c r="AJ260" s="17">
        <f t="shared" si="35"/>
        <v>2</v>
      </c>
      <c r="AK260" s="15">
        <f t="shared" si="37"/>
        <v>0.22307198595407918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0"/>
        <v>12891.42</v>
      </c>
      <c r="M261" s="15"/>
      <c r="N261" s="15"/>
      <c r="O261" s="15"/>
      <c r="P261" s="15">
        <f t="shared" si="31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32"/>
        <v>26.421797868568678</v>
      </c>
      <c r="W261" s="15">
        <v>3.7533099999999999</v>
      </c>
      <c r="X261" s="15"/>
      <c r="Y261" s="15">
        <f t="shared" si="33"/>
        <v>0.14205354301286707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9"/>
        <v>650.10151934076168</v>
      </c>
      <c r="AH261" s="17">
        <v>606.22632228424141</v>
      </c>
      <c r="AI261" s="15">
        <f t="shared" si="34"/>
        <v>4.227487658970988</v>
      </c>
      <c r="AJ261" s="17">
        <f t="shared" si="35"/>
        <v>2.5</v>
      </c>
      <c r="AK261" s="15">
        <f t="shared" si="37"/>
        <v>0.14205354301286707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0"/>
        <v>10789.875</v>
      </c>
      <c r="M262" s="15"/>
      <c r="N262" s="15"/>
      <c r="O262" s="15"/>
      <c r="P262" s="15">
        <f t="shared" si="31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32"/>
        <v>3.6875184446391609</v>
      </c>
      <c r="W262" s="15">
        <v>3.8597899999999998</v>
      </c>
      <c r="X262" s="15"/>
      <c r="Y262" s="15">
        <f t="shared" si="33"/>
        <v>1.0467174762505347</v>
      </c>
      <c r="Z262" s="15"/>
      <c r="AA262" s="16"/>
      <c r="AB262" s="15">
        <v>0.60092698120307431</v>
      </c>
      <c r="AC262" s="17">
        <v>0.3</v>
      </c>
      <c r="AD262" s="15"/>
      <c r="AE262" s="15" t="s">
        <v>155</v>
      </c>
      <c r="AF262" s="22" t="s">
        <v>5</v>
      </c>
      <c r="AG262" s="17">
        <f t="shared" ref="AG262:AG293" si="38">W262*S262</f>
        <v>4009.3525088158522</v>
      </c>
      <c r="AH262" s="17">
        <v>3635.621052144154</v>
      </c>
      <c r="AI262" s="15">
        <f t="shared" si="34"/>
        <v>40.97242716265734</v>
      </c>
      <c r="AJ262" s="17">
        <f t="shared" si="35"/>
        <v>0.30000000000000004</v>
      </c>
      <c r="AK262" s="15">
        <f t="shared" si="37"/>
        <v>1.0467174762505347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9">2*C263*F263+(E263-2*F263)*H263</f>
        <v>10789.875</v>
      </c>
      <c r="M263" s="15"/>
      <c r="N263" s="15"/>
      <c r="O263" s="15"/>
      <c r="P263" s="15">
        <f t="shared" ref="P263:P293" si="40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41">L263*T263/(S263*1000)</f>
        <v>4.1518828485211712</v>
      </c>
      <c r="W263" s="15">
        <v>3.7637399999999999</v>
      </c>
      <c r="X263" s="15"/>
      <c r="Y263" s="15">
        <f t="shared" ref="Y263:Y293" si="42">AK263</f>
        <v>0.90651401721042757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si="38"/>
        <v>3472.3163906641685</v>
      </c>
      <c r="AH263" s="17">
        <v>3228.9975841382748</v>
      </c>
      <c r="AI263" s="15">
        <f t="shared" ref="AI263:AI293" si="43">(PI()^2*U263*P263/K263^2)/(S263*1000)</f>
        <v>16.607531394084681</v>
      </c>
      <c r="AJ263" s="17">
        <f t="shared" ref="AJ263:AJ293" si="44">(V263/AI263)^0.5</f>
        <v>0.5</v>
      </c>
      <c r="AK263" s="15">
        <f t="shared" ref="AK263:AK293" si="45">W263/V263</f>
        <v>0.90651401721042757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9"/>
        <v>10789.875</v>
      </c>
      <c r="M264" s="15"/>
      <c r="N264" s="15"/>
      <c r="O264" s="15"/>
      <c r="P264" s="15">
        <f t="shared" si="40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41"/>
        <v>5.046600717157312</v>
      </c>
      <c r="W264" s="15">
        <v>3.6415899999999999</v>
      </c>
      <c r="X264" s="15"/>
      <c r="Y264" s="15">
        <f t="shared" si="42"/>
        <v>0.72159265297518183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8"/>
        <v>2763.9925569148095</v>
      </c>
      <c r="AH264" s="17">
        <v>2656.5247458395461</v>
      </c>
      <c r="AI264" s="15">
        <f t="shared" si="43"/>
        <v>8.9717346082796645</v>
      </c>
      <c r="AJ264" s="17">
        <f t="shared" si="44"/>
        <v>0.75000000000000011</v>
      </c>
      <c r="AK264" s="15">
        <f t="shared" si="45"/>
        <v>0.72159265297518183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9"/>
        <v>10789.875</v>
      </c>
      <c r="M265" s="15"/>
      <c r="N265" s="15"/>
      <c r="O265" s="15"/>
      <c r="P265" s="15">
        <f t="shared" si="40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41"/>
        <v>6.4822134047165623</v>
      </c>
      <c r="W265" s="15">
        <v>4.1323100000000004</v>
      </c>
      <c r="X265" s="15"/>
      <c r="Y265" s="15">
        <f t="shared" si="42"/>
        <v>0.63748441188209959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8"/>
        <v>2441.8238771230112</v>
      </c>
      <c r="AH265" s="17">
        <v>2068.1854870352267</v>
      </c>
      <c r="AI265" s="15">
        <f t="shared" si="43"/>
        <v>6.4822134047165605</v>
      </c>
      <c r="AJ265" s="17">
        <f t="shared" si="44"/>
        <v>1</v>
      </c>
      <c r="AK265" s="15">
        <f t="shared" si="45"/>
        <v>0.63748441188209959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9"/>
        <v>10789.875</v>
      </c>
      <c r="M266" s="15"/>
      <c r="N266" s="15"/>
      <c r="O266" s="15"/>
      <c r="P266" s="15">
        <f t="shared" si="40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41"/>
        <v>9.2987954997459763</v>
      </c>
      <c r="W266" s="15">
        <v>4.4120100000000004</v>
      </c>
      <c r="X266" s="15"/>
      <c r="Y266" s="15">
        <f t="shared" si="42"/>
        <v>0.47447112909629291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8"/>
        <v>1817.4168817905413</v>
      </c>
      <c r="AH266" s="17">
        <v>1441.7372322970468</v>
      </c>
      <c r="AI266" s="15">
        <f t="shared" si="43"/>
        <v>5.2568237321193809</v>
      </c>
      <c r="AJ266" s="17">
        <f t="shared" si="44"/>
        <v>1.3300000000000003</v>
      </c>
      <c r="AK266" s="15">
        <f t="shared" si="45"/>
        <v>0.47447112909629291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9"/>
        <v>10789.875</v>
      </c>
      <c r="M267" s="15"/>
      <c r="N267" s="15"/>
      <c r="O267" s="15"/>
      <c r="P267" s="15">
        <f t="shared" si="40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41"/>
        <v>13.192555857592344</v>
      </c>
      <c r="W267" s="15">
        <v>4.2454799999999997</v>
      </c>
      <c r="X267" s="15"/>
      <c r="Y267" s="15">
        <f t="shared" si="42"/>
        <v>0.32180875683438676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8"/>
        <v>1232.6580723526924</v>
      </c>
      <c r="AH267" s="17">
        <v>1016.210947462813</v>
      </c>
      <c r="AI267" s="15">
        <f t="shared" si="43"/>
        <v>4.7303796685404089</v>
      </c>
      <c r="AJ267" s="17">
        <f t="shared" si="44"/>
        <v>1.67</v>
      </c>
      <c r="AK267" s="15">
        <f t="shared" si="45"/>
        <v>0.32180875683438676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9"/>
        <v>10789.875</v>
      </c>
      <c r="M268" s="15"/>
      <c r="N268" s="15"/>
      <c r="O268" s="15"/>
      <c r="P268" s="15">
        <f t="shared" si="40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41"/>
        <v>17.840429325891456</v>
      </c>
      <c r="W268" s="15">
        <v>3.9789400000000001</v>
      </c>
      <c r="X268" s="15"/>
      <c r="Y268" s="15">
        <f t="shared" si="42"/>
        <v>0.22302938608239906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8"/>
        <v>854.29301499031794</v>
      </c>
      <c r="AH268" s="17">
        <v>751.46283996896477</v>
      </c>
      <c r="AI268" s="15">
        <f t="shared" si="43"/>
        <v>4.4601073314728632</v>
      </c>
      <c r="AJ268" s="17">
        <f t="shared" si="44"/>
        <v>2</v>
      </c>
      <c r="AK268" s="15">
        <f t="shared" si="45"/>
        <v>0.22302938608239906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9"/>
        <v>10789.875</v>
      </c>
      <c r="M269" s="15"/>
      <c r="N269" s="15"/>
      <c r="O269" s="15"/>
      <c r="P269" s="15">
        <f t="shared" si="40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41"/>
        <v>26.421797868568682</v>
      </c>
      <c r="W269" s="15">
        <v>3.75298</v>
      </c>
      <c r="X269" s="15"/>
      <c r="Y269" s="15">
        <f t="shared" si="42"/>
        <v>0.1420410533253128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8"/>
        <v>544.07484963820309</v>
      </c>
      <c r="AH269" s="17">
        <v>507.39997914556182</v>
      </c>
      <c r="AI269" s="15">
        <f t="shared" si="43"/>
        <v>4.2274876589709898</v>
      </c>
      <c r="AJ269" s="17">
        <f t="shared" si="44"/>
        <v>2.5</v>
      </c>
      <c r="AK269" s="15">
        <f t="shared" si="45"/>
        <v>0.1420410533253128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9"/>
        <v>8214.7431679999991</v>
      </c>
      <c r="M270" s="15"/>
      <c r="N270" s="15"/>
      <c r="O270" s="15"/>
      <c r="P270" s="15">
        <f t="shared" si="40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41"/>
        <v>3.6389507021946921</v>
      </c>
      <c r="W270" s="15">
        <v>3.8633000000000002</v>
      </c>
      <c r="X270" s="15"/>
      <c r="Y270" s="15">
        <f t="shared" si="42"/>
        <v>1.061652194867603</v>
      </c>
      <c r="Z270" s="15"/>
      <c r="AA270" s="16"/>
      <c r="AB270" s="15">
        <v>0.80062012685654171</v>
      </c>
      <c r="AC270" s="17">
        <v>0.3</v>
      </c>
      <c r="AD270" s="15"/>
      <c r="AE270" s="15" t="s">
        <v>156</v>
      </c>
      <c r="AF270" s="22" t="s">
        <v>5</v>
      </c>
      <c r="AG270" s="17">
        <f t="shared" si="38"/>
        <v>3096.0260406762004</v>
      </c>
      <c r="AH270" s="17">
        <v>2804.879544008154</v>
      </c>
      <c r="AI270" s="15">
        <f t="shared" si="43"/>
        <v>40.432785579941019</v>
      </c>
      <c r="AJ270" s="47">
        <f t="shared" si="44"/>
        <v>0.30000000000000004</v>
      </c>
      <c r="AK270" s="15">
        <f t="shared" si="45"/>
        <v>1.061652194867603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9"/>
        <v>8214.7431679999991</v>
      </c>
      <c r="M271" s="15"/>
      <c r="N271" s="15"/>
      <c r="O271" s="15"/>
      <c r="P271" s="15">
        <f t="shared" si="40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41"/>
        <v>4.0420822917637169</v>
      </c>
      <c r="W271" s="15">
        <v>3.6959</v>
      </c>
      <c r="X271" s="15"/>
      <c r="Y271" s="15">
        <f t="shared" si="42"/>
        <v>0.91435545672360263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8"/>
        <v>2666.4743106415253</v>
      </c>
      <c r="AH271" s="17">
        <v>2525.1386907777101</v>
      </c>
      <c r="AI271" s="15">
        <f t="shared" si="43"/>
        <v>16.168329167054871</v>
      </c>
      <c r="AJ271" s="17">
        <f t="shared" si="44"/>
        <v>0.49999999999999994</v>
      </c>
      <c r="AK271" s="15">
        <f>W271/V271</f>
        <v>0.91435545672360263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9"/>
        <v>8214.7431679999991</v>
      </c>
      <c r="M272" s="15"/>
      <c r="N272" s="15"/>
      <c r="O272" s="15"/>
      <c r="P272" s="15">
        <f t="shared" si="40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41"/>
        <v>4.7799636575602573</v>
      </c>
      <c r="W272" s="15">
        <v>3.4711699999999999</v>
      </c>
      <c r="X272" s="15"/>
      <c r="Y272" s="15">
        <f t="shared" si="42"/>
        <v>0.72619171371937186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8"/>
        <v>2117.7448387217196</v>
      </c>
      <c r="AH272" s="17">
        <v>2135.33388901322</v>
      </c>
      <c r="AI272" s="15">
        <f t="shared" si="43"/>
        <v>8.4977131689960128</v>
      </c>
      <c r="AJ272" s="17">
        <f t="shared" si="44"/>
        <v>0.75</v>
      </c>
      <c r="AK272" s="15">
        <f t="shared" si="45"/>
        <v>0.72619171371937186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9"/>
        <v>8214.7431679999991</v>
      </c>
      <c r="M273" s="15"/>
      <c r="N273" s="15"/>
      <c r="O273" s="15"/>
      <c r="P273" s="15">
        <f t="shared" si="40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41"/>
        <v>5.9384940805820268</v>
      </c>
      <c r="W273" s="15">
        <v>3.79291</v>
      </c>
      <c r="X273" s="15"/>
      <c r="Y273" s="15">
        <f t="shared" si="42"/>
        <v>0.63869896113936353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8"/>
        <v>1862.5955142370406</v>
      </c>
      <c r="AH273" s="17">
        <v>1718.7553355681105</v>
      </c>
      <c r="AI273" s="15">
        <f t="shared" si="43"/>
        <v>5.9384940805820277</v>
      </c>
      <c r="AJ273" s="17">
        <f t="shared" si="44"/>
        <v>1</v>
      </c>
      <c r="AK273" s="15">
        <f t="shared" si="45"/>
        <v>0.63869896113936353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9"/>
        <v>8214.7431679999991</v>
      </c>
      <c r="M274" s="15"/>
      <c r="N274" s="15"/>
      <c r="O274" s="15"/>
      <c r="P274" s="15">
        <f t="shared" si="40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41"/>
        <v>8.2455223846913253</v>
      </c>
      <c r="W274" s="15">
        <v>3.9167100000000001</v>
      </c>
      <c r="X274" s="15"/>
      <c r="Y274" s="15">
        <f t="shared" si="42"/>
        <v>0.47501053508408175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8"/>
        <v>1385.2417894725445</v>
      </c>
      <c r="AH274" s="17">
        <v>1237.8619461624439</v>
      </c>
      <c r="AI274" s="15">
        <f t="shared" si="43"/>
        <v>4.6613841283799671</v>
      </c>
      <c r="AJ274" s="17">
        <f t="shared" si="44"/>
        <v>1.33</v>
      </c>
      <c r="AK274" s="15">
        <f t="shared" si="45"/>
        <v>0.47501053508408175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9"/>
        <v>8214.7431679999991</v>
      </c>
      <c r="M275" s="15"/>
      <c r="N275" s="15"/>
      <c r="O275" s="15"/>
      <c r="P275" s="15">
        <f t="shared" si="40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41"/>
        <v>11.492867109739169</v>
      </c>
      <c r="W275" s="15">
        <v>3.7013799999999999</v>
      </c>
      <c r="X275" s="15"/>
      <c r="Y275" s="15">
        <f t="shared" si="42"/>
        <v>0.32205888788737613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8"/>
        <v>939.19902238310783</v>
      </c>
      <c r="AH275" s="17">
        <v>888.10027026159901</v>
      </c>
      <c r="AI275" s="15">
        <f t="shared" si="43"/>
        <v>4.1209319479863638</v>
      </c>
      <c r="AJ275" s="17">
        <f t="shared" si="44"/>
        <v>1.67</v>
      </c>
      <c r="AK275" s="15">
        <f t="shared" si="45"/>
        <v>0.32205888788737613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9"/>
        <v>8214.7431679999991</v>
      </c>
      <c r="M276" s="15"/>
      <c r="N276" s="15"/>
      <c r="O276" s="15"/>
      <c r="P276" s="15">
        <f t="shared" si="40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41"/>
        <v>15.401128906837329</v>
      </c>
      <c r="W276" s="15">
        <v>3.4378600000000001</v>
      </c>
      <c r="X276" s="15"/>
      <c r="Y276" s="15">
        <f t="shared" si="42"/>
        <v>0.22322129895775125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8"/>
        <v>650.96550240067177</v>
      </c>
      <c r="AH276" s="17">
        <v>662.73183271056735</v>
      </c>
      <c r="AI276" s="15">
        <f t="shared" si="43"/>
        <v>3.8502822267093331</v>
      </c>
      <c r="AJ276" s="17">
        <f t="shared" si="44"/>
        <v>1.9999999999999998</v>
      </c>
      <c r="AK276" s="15">
        <f t="shared" si="45"/>
        <v>0.22322129895775125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9"/>
        <v>8214.7431679999991</v>
      </c>
      <c r="M277" s="15"/>
      <c r="N277" s="15"/>
      <c r="O277" s="15"/>
      <c r="P277" s="15">
        <f t="shared" si="40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41"/>
        <v>22.642589771535768</v>
      </c>
      <c r="W277" s="15">
        <v>3.21983</v>
      </c>
      <c r="X277" s="15"/>
      <c r="Y277" s="15">
        <f t="shared" si="42"/>
        <v>0.14220237315996784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8"/>
        <v>414.69537055317738</v>
      </c>
      <c r="AH277" s="17">
        <v>450.77963648270901</v>
      </c>
      <c r="AI277" s="15">
        <f t="shared" si="43"/>
        <v>3.6228143634457233</v>
      </c>
      <c r="AJ277" s="17">
        <f t="shared" si="44"/>
        <v>2.5</v>
      </c>
      <c r="AK277" s="15">
        <f t="shared" si="45"/>
        <v>0.14220237315996784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9"/>
        <v>5956.734199999999</v>
      </c>
      <c r="M278" s="15"/>
      <c r="N278" s="15"/>
      <c r="O278" s="15"/>
      <c r="P278" s="15">
        <f t="shared" si="40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41"/>
        <v>3.5792088609326687</v>
      </c>
      <c r="W278" s="15">
        <v>3.8212700000000002</v>
      </c>
      <c r="X278" s="15"/>
      <c r="Y278" s="15">
        <f t="shared" si="42"/>
        <v>1.0676297887249462</v>
      </c>
      <c r="Z278" s="15"/>
      <c r="AA278" s="16"/>
      <c r="AB278" s="15">
        <v>1.1026699208821982</v>
      </c>
      <c r="AC278" s="17">
        <v>0.3</v>
      </c>
      <c r="AD278" s="15"/>
      <c r="AE278" s="15" t="s">
        <v>157</v>
      </c>
      <c r="AF278" s="22" t="s">
        <v>5</v>
      </c>
      <c r="AG278" s="17">
        <f t="shared" si="38"/>
        <v>2257.6533407800143</v>
      </c>
      <c r="AH278" s="17">
        <v>2067.8430712119402</v>
      </c>
      <c r="AI278" s="15">
        <f t="shared" si="43"/>
        <v>39.768987343696317</v>
      </c>
      <c r="AJ278" s="17">
        <f t="shared" si="44"/>
        <v>0.3</v>
      </c>
      <c r="AK278" s="15">
        <f t="shared" si="45"/>
        <v>1.0676297887249462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9"/>
        <v>5956.734199999999</v>
      </c>
      <c r="M279" s="15"/>
      <c r="N279" s="15"/>
      <c r="O279" s="15"/>
      <c r="P279" s="15">
        <f t="shared" si="40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41"/>
        <v>3.9140050932422641</v>
      </c>
      <c r="W279" s="15">
        <v>3.6184699999999999</v>
      </c>
      <c r="X279" s="15"/>
      <c r="Y279" s="15">
        <f t="shared" si="42"/>
        <v>0.92449292062687372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8"/>
        <v>1954.9703022743743</v>
      </c>
      <c r="AH279" s="17">
        <v>1890.963876434048</v>
      </c>
      <c r="AI279" s="15">
        <f t="shared" si="43"/>
        <v>15.656020372969053</v>
      </c>
      <c r="AJ279" s="17">
        <f t="shared" si="44"/>
        <v>0.5</v>
      </c>
      <c r="AK279" s="15">
        <f t="shared" si="45"/>
        <v>0.92449292062687372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9"/>
        <v>5956.734199999999</v>
      </c>
      <c r="M280" s="15"/>
      <c r="N280" s="15"/>
      <c r="O280" s="15"/>
      <c r="P280" s="15">
        <f t="shared" si="40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41"/>
        <v>4.4861762487719279</v>
      </c>
      <c r="W280" s="15">
        <v>3.2624900000000001</v>
      </c>
      <c r="X280" s="15"/>
      <c r="Y280" s="15">
        <f t="shared" si="42"/>
        <v>0.7272317936445527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8"/>
        <v>1537.8339062680964</v>
      </c>
      <c r="AH280" s="17">
        <v>1649.7885578004339</v>
      </c>
      <c r="AI280" s="15">
        <f t="shared" si="43"/>
        <v>7.9754244422612048</v>
      </c>
      <c r="AJ280" s="17">
        <f t="shared" si="44"/>
        <v>0.75</v>
      </c>
      <c r="AK280" s="15">
        <f t="shared" si="45"/>
        <v>0.7272317936445527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9"/>
        <v>5956.734199999999</v>
      </c>
      <c r="M281" s="15"/>
      <c r="N281" s="15"/>
      <c r="O281" s="15"/>
      <c r="P281" s="15">
        <f t="shared" si="40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41"/>
        <v>5.3450417358764319</v>
      </c>
      <c r="W281" s="15">
        <v>3.4287899999999998</v>
      </c>
      <c r="X281" s="15"/>
      <c r="Y281" s="15">
        <f t="shared" si="42"/>
        <v>0.64148984599795222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8"/>
        <v>1356.5204991361009</v>
      </c>
      <c r="AH281" s="17">
        <v>1384.6930686849744</v>
      </c>
      <c r="AI281" s="15">
        <f t="shared" si="43"/>
        <v>5.3450417358764311</v>
      </c>
      <c r="AJ281" s="17">
        <f t="shared" si="44"/>
        <v>1</v>
      </c>
      <c r="AK281" s="15">
        <f t="shared" si="45"/>
        <v>0.64148984599795222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9"/>
        <v>5956.734199999999</v>
      </c>
      <c r="M282" s="15"/>
      <c r="N282" s="15"/>
      <c r="O282" s="15"/>
      <c r="P282" s="15">
        <f t="shared" si="40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41"/>
        <v>7.0673815389772709</v>
      </c>
      <c r="W282" s="15">
        <v>3.36747</v>
      </c>
      <c r="X282" s="15"/>
      <c r="Y282" s="15">
        <f t="shared" si="42"/>
        <v>0.47648057224986196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8"/>
        <v>1007.5851827264947</v>
      </c>
      <c r="AH282" s="17">
        <v>1047.2396604996427</v>
      </c>
      <c r="AI282" s="15">
        <f t="shared" si="43"/>
        <v>3.9953539142841707</v>
      </c>
      <c r="AJ282" s="17">
        <f t="shared" si="44"/>
        <v>1.33</v>
      </c>
      <c r="AK282" s="15">
        <f t="shared" si="45"/>
        <v>0.47648057224986196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9"/>
        <v>5956.734199999999</v>
      </c>
      <c r="M283" s="15"/>
      <c r="N283" s="15"/>
      <c r="O283" s="15"/>
      <c r="P283" s="15">
        <f t="shared" si="40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41"/>
        <v>9.5577977063610788</v>
      </c>
      <c r="W283" s="15">
        <v>3.0855199999999998</v>
      </c>
      <c r="X283" s="15"/>
      <c r="Y283" s="15">
        <f t="shared" si="42"/>
        <v>0.32282750637696261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8"/>
        <v>682.66416501741185</v>
      </c>
      <c r="AH283" s="17">
        <v>774.36690657034842</v>
      </c>
      <c r="AI283" s="15">
        <f t="shared" si="43"/>
        <v>3.4270851254476957</v>
      </c>
      <c r="AJ283" s="17">
        <f t="shared" si="44"/>
        <v>1.67</v>
      </c>
      <c r="AK283" s="15">
        <f t="shared" si="45"/>
        <v>0.32282750637696261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9"/>
        <v>5956.734199999999</v>
      </c>
      <c r="M284" s="15"/>
      <c r="N284" s="15"/>
      <c r="O284" s="15"/>
      <c r="P284" s="15">
        <f t="shared" si="40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41"/>
        <v>12.603472341119186</v>
      </c>
      <c r="W284" s="15">
        <v>2.82138</v>
      </c>
      <c r="X284" s="15"/>
      <c r="Y284" s="15">
        <f t="shared" si="42"/>
        <v>0.2238573564203547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8"/>
        <v>473.37786367330432</v>
      </c>
      <c r="AH284" s="17">
        <v>587.23834536877882</v>
      </c>
      <c r="AI284" s="15">
        <f t="shared" si="43"/>
        <v>3.1508680852797957</v>
      </c>
      <c r="AJ284" s="17">
        <f t="shared" si="44"/>
        <v>2</v>
      </c>
      <c r="AK284" s="15">
        <f t="shared" si="45"/>
        <v>0.2238573564203547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9"/>
        <v>5956.734199999999</v>
      </c>
      <c r="M285" s="15"/>
      <c r="N285" s="15"/>
      <c r="O285" s="15"/>
      <c r="P285" s="15">
        <f t="shared" si="40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41"/>
        <v>18.291684640866546</v>
      </c>
      <c r="W285" s="15">
        <v>2.6092399999999998</v>
      </c>
      <c r="X285" s="15"/>
      <c r="Y285" s="15">
        <f t="shared" si="42"/>
        <v>0.14264623796162224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8"/>
        <v>301.64553207940332</v>
      </c>
      <c r="AH285" s="17">
        <v>404.62332413956238</v>
      </c>
      <c r="AI285" s="15">
        <f t="shared" si="43"/>
        <v>2.9266695425386469</v>
      </c>
      <c r="AJ285" s="17">
        <f t="shared" si="44"/>
        <v>2.5</v>
      </c>
      <c r="AK285" s="15">
        <f t="shared" si="45"/>
        <v>0.14264623796162224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9"/>
        <v>4372.38</v>
      </c>
      <c r="M286" s="15"/>
      <c r="N286" s="15"/>
      <c r="O286" s="15"/>
      <c r="P286" s="15">
        <f t="shared" si="40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41"/>
        <v>3.5247992661699814</v>
      </c>
      <c r="W286" s="15">
        <v>4.3085899999999997</v>
      </c>
      <c r="X286" s="15"/>
      <c r="Y286" s="15">
        <f t="shared" si="42"/>
        <v>1.2223646439536624</v>
      </c>
      <c r="Z286" s="15"/>
      <c r="AA286" s="16"/>
      <c r="AB286" s="15">
        <v>1.5093980321271014</v>
      </c>
      <c r="AC286" s="17">
        <v>0.3</v>
      </c>
      <c r="AD286" s="15"/>
      <c r="AE286" s="15" t="s">
        <v>158</v>
      </c>
      <c r="AF286" s="22" t="s">
        <v>5</v>
      </c>
      <c r="AG286" s="17">
        <f t="shared" si="38"/>
        <v>1897.3481662851907</v>
      </c>
      <c r="AH286" s="17">
        <v>1541.2741945736698</v>
      </c>
      <c r="AI286" s="15">
        <f t="shared" si="43"/>
        <v>39.164436290777559</v>
      </c>
      <c r="AJ286" s="17">
        <f t="shared" si="44"/>
        <v>0.30000000000000004</v>
      </c>
      <c r="AK286" s="15">
        <f t="shared" si="45"/>
        <v>1.2223646439536624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9"/>
        <v>4372.38</v>
      </c>
      <c r="M287" s="15"/>
      <c r="N287" s="15"/>
      <c r="O287" s="15"/>
      <c r="P287" s="15">
        <f t="shared" si="40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41"/>
        <v>3.8035956888898257</v>
      </c>
      <c r="W287" s="15">
        <v>3.55504</v>
      </c>
      <c r="X287" s="15"/>
      <c r="Y287" s="15">
        <f t="shared" si="42"/>
        <v>0.93465244226250221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8"/>
        <v>1450.7627541524005</v>
      </c>
      <c r="AH287" s="17">
        <v>1428.3016898637995</v>
      </c>
      <c r="AI287" s="15">
        <f t="shared" si="43"/>
        <v>15.214382755559306</v>
      </c>
      <c r="AJ287" s="17">
        <f t="shared" si="44"/>
        <v>0.49999999999999994</v>
      </c>
      <c r="AK287" s="15">
        <f t="shared" si="45"/>
        <v>0.93465244226250221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9"/>
        <v>4372.38</v>
      </c>
      <c r="M288" s="15"/>
      <c r="N288" s="15"/>
      <c r="O288" s="15"/>
      <c r="P288" s="15">
        <f t="shared" si="40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41"/>
        <v>4.2501812715537932</v>
      </c>
      <c r="W288" s="15">
        <v>3.14615</v>
      </c>
      <c r="X288" s="15"/>
      <c r="Y288" s="15">
        <f t="shared" si="42"/>
        <v>0.74023901546435023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8"/>
        <v>1148.9952245847855</v>
      </c>
      <c r="AH288" s="17">
        <v>1278.2236339801821</v>
      </c>
      <c r="AI288" s="15">
        <f t="shared" si="43"/>
        <v>7.5558778160956326</v>
      </c>
      <c r="AJ288" s="17">
        <f t="shared" si="44"/>
        <v>0.75</v>
      </c>
      <c r="AK288" s="15">
        <f t="shared" si="45"/>
        <v>0.74023901546435023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9"/>
        <v>4372.38</v>
      </c>
      <c r="M289" s="15"/>
      <c r="N289" s="15"/>
      <c r="O289" s="15"/>
      <c r="P289" s="15">
        <f t="shared" si="40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41"/>
        <v>4.882643851644163</v>
      </c>
      <c r="W289" s="15">
        <v>3.1505000000000001</v>
      </c>
      <c r="X289" s="15"/>
      <c r="Y289" s="15">
        <f t="shared" si="42"/>
        <v>0.64524468622447506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8"/>
        <v>1001.5455112097304</v>
      </c>
      <c r="AH289" s="17">
        <v>1112.6517344021763</v>
      </c>
      <c r="AI289" s="15">
        <f t="shared" si="43"/>
        <v>4.8826438516441639</v>
      </c>
      <c r="AJ289" s="17">
        <f t="shared" si="44"/>
        <v>0.99999999999999989</v>
      </c>
      <c r="AK289" s="15">
        <f t="shared" si="45"/>
        <v>0.64524468622447506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9"/>
        <v>4372.38</v>
      </c>
      <c r="M290" s="15"/>
      <c r="N290" s="15"/>
      <c r="O290" s="15"/>
      <c r="P290" s="15">
        <f t="shared" si="40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41"/>
        <v>6.132432893471532</v>
      </c>
      <c r="W290" s="15">
        <v>2.9350100000000001</v>
      </c>
      <c r="X290" s="15"/>
      <c r="Y290" s="15">
        <f t="shared" si="42"/>
        <v>0.47860450346298195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8"/>
        <v>742.88746939227292</v>
      </c>
      <c r="AH290" s="17">
        <v>885.89345278992414</v>
      </c>
      <c r="AI290" s="15">
        <f t="shared" si="43"/>
        <v>3.4668058643628976</v>
      </c>
      <c r="AJ290" s="17">
        <f t="shared" si="44"/>
        <v>1.3300000000000003</v>
      </c>
      <c r="AK290" s="15">
        <f t="shared" si="45"/>
        <v>0.47860450346298195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9"/>
        <v>4372.38</v>
      </c>
      <c r="M291" s="15"/>
      <c r="N291" s="15"/>
      <c r="O291" s="15"/>
      <c r="P291" s="15">
        <f t="shared" si="40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41"/>
        <v>7.9820336197556756</v>
      </c>
      <c r="W291" s="15">
        <v>2.5866799999999999</v>
      </c>
      <c r="X291" s="15"/>
      <c r="Y291" s="15">
        <f t="shared" si="42"/>
        <v>0.32406277938969347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8"/>
        <v>503.00859344850733</v>
      </c>
      <c r="AH291" s="17">
        <v>680.61378951775089</v>
      </c>
      <c r="AI291" s="15">
        <f t="shared" si="43"/>
        <v>2.8620723653611377</v>
      </c>
      <c r="AJ291" s="17">
        <f t="shared" si="44"/>
        <v>1.67</v>
      </c>
      <c r="AK291" s="15">
        <f t="shared" si="45"/>
        <v>0.32406277938969347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9"/>
        <v>4372.38</v>
      </c>
      <c r="M292" s="15"/>
      <c r="N292" s="15"/>
      <c r="O292" s="15"/>
      <c r="P292" s="15">
        <f t="shared" si="40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41"/>
        <v>10.294746250927696</v>
      </c>
      <c r="W292" s="15">
        <v>2.3145799999999999</v>
      </c>
      <c r="X292" s="15"/>
      <c r="Y292" s="15">
        <f t="shared" si="42"/>
        <v>0.22483118510972766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8"/>
        <v>348.98181888827526</v>
      </c>
      <c r="AH292" s="17">
        <v>527.71404147143915</v>
      </c>
      <c r="AI292" s="15">
        <f t="shared" si="43"/>
        <v>2.5736865627319245</v>
      </c>
      <c r="AJ292" s="17">
        <f t="shared" si="44"/>
        <v>1.9999999999999998</v>
      </c>
      <c r="AK292" s="15">
        <f t="shared" si="45"/>
        <v>0.22483118510972766</v>
      </c>
      <c r="AL292" s="5">
        <v>1.5359</v>
      </c>
    </row>
    <row r="293" spans="1:38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39"/>
        <v>4372.38</v>
      </c>
      <c r="M293" s="15"/>
      <c r="N293" s="15"/>
      <c r="O293" s="15"/>
      <c r="P293" s="15">
        <f t="shared" si="40"/>
        <v>80673246.275399998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41"/>
        <v>14.672935841690373</v>
      </c>
      <c r="W293" s="15">
        <v>2.1029100000000001</v>
      </c>
      <c r="X293" s="15"/>
      <c r="Y293" s="15">
        <f t="shared" si="42"/>
        <v>0.14331896647601899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38"/>
        <v>222.45896883734767</v>
      </c>
      <c r="AH293" s="17">
        <v>370.25188473625445</v>
      </c>
      <c r="AI293" s="15">
        <f t="shared" si="43"/>
        <v>2.3476697346704594</v>
      </c>
      <c r="AJ293" s="17">
        <f t="shared" si="44"/>
        <v>2.5</v>
      </c>
      <c r="AK293" s="15">
        <f t="shared" si="45"/>
        <v>0.14331896647601899</v>
      </c>
      <c r="AL293" s="5">
        <v>1.5359</v>
      </c>
    </row>
    <row r="294" spans="1:38">
      <c r="W294" s="5">
        <v>4.5886800000000001</v>
      </c>
      <c r="AF294" s="11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  <row r="302" spans="1:38">
      <c r="W302" s="5">
        <v>4.37981</v>
      </c>
      <c r="AF302" s="11"/>
    </row>
    <row r="310" spans="23:32">
      <c r="W310" s="5">
        <v>4.0648900000000001</v>
      </c>
      <c r="AF310" s="10"/>
    </row>
    <row r="318" spans="23:32">
      <c r="W318" s="5">
        <v>3.7800199999999999</v>
      </c>
      <c r="AF318" s="11"/>
    </row>
    <row r="326" spans="23:32">
      <c r="W326" s="5">
        <v>3.8457400000000002</v>
      </c>
      <c r="AF326" s="11"/>
    </row>
    <row r="334" spans="23:32">
      <c r="W334" s="5">
        <v>3.80647</v>
      </c>
      <c r="AF334" s="11"/>
    </row>
    <row r="342" spans="23:32">
      <c r="W342" s="5">
        <v>3.7637999999999998</v>
      </c>
      <c r="AF342" s="11"/>
    </row>
    <row r="350" spans="23:32">
      <c r="W350" s="5">
        <v>4.2992299999999997</v>
      </c>
      <c r="AF350" s="11"/>
    </row>
    <row r="358" spans="23:32">
      <c r="W358" s="5">
        <v>4.5805400000000001</v>
      </c>
      <c r="AF358" s="11"/>
    </row>
    <row r="366" spans="23:32">
      <c r="W366" s="5">
        <v>4.3682800000000004</v>
      </c>
      <c r="AF366" s="11"/>
    </row>
    <row r="374" spans="23:32">
      <c r="W374" s="5">
        <v>4.0598299999999998</v>
      </c>
      <c r="AF374" s="11"/>
    </row>
    <row r="382" spans="23:32">
      <c r="W382" s="5">
        <v>3.7830599999999999</v>
      </c>
      <c r="AF382" s="11"/>
    </row>
    <row r="390" spans="23:32">
      <c r="W390" s="5">
        <v>3.83745</v>
      </c>
      <c r="AF390" s="11"/>
    </row>
    <row r="398" spans="23:32">
      <c r="W398" s="5">
        <v>3.74796</v>
      </c>
      <c r="AF398" s="11"/>
    </row>
    <row r="406" spans="23:32">
      <c r="W406" s="5">
        <v>3.73603</v>
      </c>
      <c r="AF406" s="11"/>
    </row>
    <row r="414" spans="23:32">
      <c r="W414" s="5">
        <v>4.33439</v>
      </c>
      <c r="AF414" s="11"/>
    </row>
    <row r="422" spans="23:32">
      <c r="W422" s="5">
        <v>4.60128</v>
      </c>
      <c r="AF422" s="11"/>
    </row>
    <row r="430" spans="23:32">
      <c r="W430" s="5">
        <v>4.4014100000000003</v>
      </c>
      <c r="AF430" s="11"/>
    </row>
    <row r="438" spans="23:32">
      <c r="W438" s="5">
        <v>4.1056299999999997</v>
      </c>
      <c r="AF438" s="10"/>
    </row>
    <row r="446" spans="23:32">
      <c r="W446" s="5">
        <v>3.8370600000000001</v>
      </c>
      <c r="AF446" s="11"/>
    </row>
    <row r="454" spans="23:32">
      <c r="W454" s="5">
        <v>3.8450700000000002</v>
      </c>
      <c r="AF454" s="11"/>
    </row>
    <row r="462" spans="23:32">
      <c r="W462" s="5">
        <v>3.7547999999999999</v>
      </c>
      <c r="AF462" s="11"/>
    </row>
    <row r="470" spans="23:32">
      <c r="W470" s="5">
        <v>3.7270099999999999</v>
      </c>
      <c r="AF470" s="11"/>
    </row>
    <row r="478" spans="23:32">
      <c r="W478" s="5">
        <v>4.3196599999999998</v>
      </c>
      <c r="AF478" s="11"/>
    </row>
    <row r="486" spans="23:32">
      <c r="W486" s="5">
        <v>4.5913000000000004</v>
      </c>
      <c r="AF486" s="11"/>
    </row>
    <row r="494" spans="23:32">
      <c r="W494" s="5">
        <v>4.3851000000000004</v>
      </c>
      <c r="AF494" s="11"/>
    </row>
    <row r="502" spans="23:32">
      <c r="W502" s="5">
        <v>4.0885899999999999</v>
      </c>
      <c r="AF502" s="10"/>
    </row>
    <row r="510" spans="23:32">
      <c r="W510" s="5">
        <v>3.8210500000000001</v>
      </c>
      <c r="AF510" s="11"/>
    </row>
    <row r="518" spans="23:32">
      <c r="W518" s="5">
        <v>3.8567900000000002</v>
      </c>
      <c r="AF518" s="11"/>
    </row>
    <row r="526" spans="23:32">
      <c r="W526" s="5">
        <v>3.7665199999999999</v>
      </c>
      <c r="AF526" s="11"/>
    </row>
    <row r="534" spans="23:32">
      <c r="W534" s="5">
        <v>3.7287300000000001</v>
      </c>
      <c r="AF534" s="11"/>
    </row>
    <row r="542" spans="23:32">
      <c r="W542" s="5">
        <v>4.3180399999999999</v>
      </c>
      <c r="AF542" s="11"/>
    </row>
    <row r="550" spans="23:32">
      <c r="W550" s="5">
        <v>4.5900499999999997</v>
      </c>
      <c r="AF550" s="11"/>
    </row>
    <row r="558" spans="23:32">
      <c r="W558" s="5">
        <v>4.3807799999999997</v>
      </c>
      <c r="AF558" s="10"/>
    </row>
    <row r="566" spans="23:32">
      <c r="W566" s="5">
        <v>4.0839800000000004</v>
      </c>
      <c r="AF566" s="11"/>
    </row>
    <row r="574" spans="23:32">
      <c r="W574" s="5">
        <v>3.81704</v>
      </c>
      <c r="AF574" s="11"/>
    </row>
    <row r="582" spans="23:32">
      <c r="W582" s="5">
        <v>3.8437299999999999</v>
      </c>
      <c r="AF582" s="11"/>
    </row>
    <row r="590" spans="23:32">
      <c r="W590" s="5">
        <v>3.6910099999999999</v>
      </c>
      <c r="AF590" s="11"/>
    </row>
    <row r="598" spans="23:32">
      <c r="W598" s="5">
        <v>3.54603</v>
      </c>
      <c r="AF598" s="11"/>
    </row>
    <row r="606" spans="23:32">
      <c r="W606" s="5">
        <v>3.9665699999999999</v>
      </c>
      <c r="AF606" s="11"/>
    </row>
    <row r="614" spans="23:32">
      <c r="W614" s="5">
        <v>4.0839999999999996</v>
      </c>
      <c r="AF614" s="11"/>
    </row>
    <row r="622" spans="23:32">
      <c r="W622" s="5">
        <v>3.8266300000000002</v>
      </c>
      <c r="AF622" s="11"/>
    </row>
    <row r="630" spans="23:32">
      <c r="W630" s="5">
        <v>3.5358900000000002</v>
      </c>
      <c r="AF630" s="11"/>
    </row>
    <row r="638" spans="23:32">
      <c r="W638" s="5">
        <v>3.2840500000000001</v>
      </c>
      <c r="AF638" s="11"/>
    </row>
    <row r="646" spans="23:32">
      <c r="W646" s="5">
        <v>3.81203</v>
      </c>
      <c r="AF646" s="11"/>
    </row>
    <row r="654" spans="23:32">
      <c r="W654" s="5">
        <v>3.6106500000000001</v>
      </c>
      <c r="AF654" s="11"/>
    </row>
    <row r="662" spans="23:32">
      <c r="W662" s="5">
        <v>3.3479100000000002</v>
      </c>
      <c r="AF662" s="11"/>
    </row>
    <row r="670" spans="23:32">
      <c r="W670" s="5">
        <v>3.5778500000000002</v>
      </c>
      <c r="AF670" s="11"/>
    </row>
    <row r="678" spans="23:32">
      <c r="W678" s="5">
        <v>3.5040300000000002</v>
      </c>
      <c r="AF678" s="11"/>
    </row>
    <row r="686" spans="23:32">
      <c r="W686" s="5">
        <v>3.1820499999999998</v>
      </c>
      <c r="AF686" s="11"/>
    </row>
    <row r="694" spans="23:32">
      <c r="W694" s="5">
        <v>2.8938199999999998</v>
      </c>
      <c r="AF694" s="11"/>
    </row>
    <row r="702" spans="23:32">
      <c r="W702" s="5">
        <v>2.65455</v>
      </c>
      <c r="AF702" s="11"/>
    </row>
    <row r="710" spans="23:32">
      <c r="W710" s="5">
        <v>3.7929400000000002</v>
      </c>
      <c r="AF710" s="11"/>
    </row>
    <row r="718" spans="23:32">
      <c r="W718" s="5">
        <v>3.5464500000000001</v>
      </c>
      <c r="AF718" s="11"/>
    </row>
    <row r="726" spans="23:32">
      <c r="W726" s="5">
        <v>3.20207</v>
      </c>
      <c r="AF726" s="11"/>
    </row>
    <row r="734" spans="23:32">
      <c r="W734" s="5">
        <v>3.2898299999999998</v>
      </c>
      <c r="AF734" s="11"/>
    </row>
    <row r="742" spans="23:32">
      <c r="W742" s="5">
        <v>3.0584899999999999</v>
      </c>
      <c r="AF742" s="11"/>
    </row>
    <row r="750" spans="23:32">
      <c r="W750" s="5">
        <v>2.67319</v>
      </c>
      <c r="AF750" s="11"/>
    </row>
    <row r="758" spans="23:32">
      <c r="W758" s="5">
        <v>2.3793099999999998</v>
      </c>
      <c r="AF758" s="11"/>
    </row>
    <row r="766" spans="23:32">
      <c r="W766" s="5">
        <v>2.14574</v>
      </c>
      <c r="AF766" s="11"/>
    </row>
  </sheetData>
  <mergeCells count="15">
    <mergeCell ref="AN4:AN5"/>
    <mergeCell ref="AQ4:AQ5"/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J4:AJ5"/>
    <mergeCell ref="AK4:AK5"/>
    <mergeCell ref="AI4:AI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5B45-1029-4A2C-80BF-07579A08B17E}">
  <sheetPr codeName="Sheet10"/>
  <dimension ref="A1:AO766"/>
  <sheetViews>
    <sheetView topLeftCell="AF1" zoomScaleNormal="100" workbookViewId="0">
      <pane ySplit="5" topLeftCell="A6" activePane="bottomLeft" state="frozen"/>
      <selection pane="bottomLeft" activeCell="BC41" sqref="BC41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111" t="s">
        <v>0</v>
      </c>
      <c r="J2" s="112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113" t="s">
        <v>1</v>
      </c>
      <c r="J3" s="114"/>
      <c r="K3" s="13" t="s">
        <v>963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>
      <c r="A4" s="25"/>
      <c r="B4" s="110" t="s">
        <v>26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26" t="s">
        <v>27</v>
      </c>
      <c r="T4" s="115" t="s">
        <v>30</v>
      </c>
      <c r="U4" s="115"/>
      <c r="V4" s="115" t="s">
        <v>515</v>
      </c>
      <c r="W4" s="115"/>
      <c r="X4" s="115"/>
      <c r="Y4" s="115"/>
      <c r="Z4" s="115"/>
      <c r="AA4" s="115"/>
      <c r="AB4" s="115"/>
      <c r="AC4" s="115"/>
      <c r="AD4" s="115"/>
      <c r="AE4" s="110" t="s">
        <v>3</v>
      </c>
      <c r="AF4" s="110" t="s">
        <v>4</v>
      </c>
      <c r="AG4" s="110" t="s">
        <v>224</v>
      </c>
      <c r="AH4" s="110" t="s">
        <v>225</v>
      </c>
      <c r="AI4" s="110" t="s">
        <v>223</v>
      </c>
      <c r="AJ4" s="110" t="s">
        <v>517</v>
      </c>
      <c r="AK4" s="110" t="s">
        <v>516</v>
      </c>
      <c r="AL4" s="110" t="s">
        <v>914</v>
      </c>
    </row>
    <row r="5" spans="1:41" s="1" customFormat="1" ht="5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0"/>
      <c r="AF5" s="110"/>
      <c r="AG5" s="110"/>
      <c r="AH5" s="110"/>
      <c r="AI5" s="110"/>
      <c r="AJ5" s="110"/>
      <c r="AK5" s="110"/>
      <c r="AL5" s="110"/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5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3.8555999999999999</v>
      </c>
      <c r="X6" s="15"/>
      <c r="Y6" s="15">
        <f>AK6</f>
        <v>1.0187131143735495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12924.79529947511</v>
      </c>
      <c r="AH6" s="17">
        <v>11732.748093205439</v>
      </c>
      <c r="AI6" s="15">
        <v>43.059948816022462</v>
      </c>
      <c r="AJ6" s="17">
        <f>(V6/AI6)^0.5</f>
        <v>0.29647172660107202</v>
      </c>
      <c r="AK6" s="15">
        <f>W6/V6</f>
        <v>1.0187131143735495</v>
      </c>
      <c r="AL6" s="56">
        <v>26.521000000000001</v>
      </c>
      <c r="AN6" s="15">
        <v>3.8583599999999998</v>
      </c>
      <c r="AO6" s="98">
        <v>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5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53" si="0">L7*T7/(S7*1000)</f>
        <v>4.2613868756451598</v>
      </c>
      <c r="W7" s="15">
        <v>4.1362199999999998</v>
      </c>
      <c r="X7" s="15"/>
      <c r="Y7" s="15">
        <f t="shared" ref="Y7:Y53" si="1">AK7</f>
        <v>0.97062766669684031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53" si="2">W7*S7</f>
        <v>12314.717192757824</v>
      </c>
      <c r="AH7" s="17">
        <v>10420.507171923251</v>
      </c>
      <c r="AI7" s="15">
        <v>16.951000000000001</v>
      </c>
      <c r="AJ7" s="17">
        <f t="shared" ref="AJ7:AJ53" si="3">(V7/AI7)^0.5</f>
        <v>0.5013924846573633</v>
      </c>
      <c r="AK7" s="15">
        <f t="shared" ref="AK7:AK53" si="4">W7/V7</f>
        <v>0.97062766669684031</v>
      </c>
      <c r="AL7" s="5">
        <v>26.521000000000001</v>
      </c>
      <c r="AN7" s="15">
        <v>4.1454599999999999</v>
      </c>
      <c r="AO7" s="6">
        <v>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5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4.0863699999999996</v>
      </c>
      <c r="X8" s="15"/>
      <c r="Y8" s="15">
        <f t="shared" si="1"/>
        <v>0.78891982356499668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10009.321646502949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 t="shared" si="4"/>
        <v>0.78891982356499668</v>
      </c>
      <c r="AL8" s="5">
        <v>26.521000000000001</v>
      </c>
      <c r="AN8" s="15">
        <v>4.49092</v>
      </c>
      <c r="AO8" s="6">
        <v>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5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4.38361</v>
      </c>
      <c r="X9" s="15"/>
      <c r="Y9" s="15">
        <f t="shared" si="1"/>
        <v>0.65887451745853198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8359.3880809404418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0.65887451745853198</v>
      </c>
      <c r="AL9" s="5">
        <v>26.521000000000001</v>
      </c>
      <c r="AN9" s="15">
        <v>4.86761</v>
      </c>
      <c r="AO9" s="6">
        <v>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5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4.6275599999999999</v>
      </c>
      <c r="X10" s="15"/>
      <c r="Y10" s="15">
        <f t="shared" si="1"/>
        <v>0.48486349588664168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6151.6449961247808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0.48486349588664168</v>
      </c>
      <c r="AL10" s="5">
        <v>26.521000000000001</v>
      </c>
      <c r="AN10" s="15">
        <v>4.8331299999999997</v>
      </c>
      <c r="AO10" s="6">
        <v>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5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4.4271000000000003</v>
      </c>
      <c r="X11" s="15"/>
      <c r="Y11" s="15">
        <f t="shared" si="1"/>
        <v>0.32695239054596464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4148.1675860031082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0.32695239054596464</v>
      </c>
      <c r="AL11" s="5">
        <v>26.521000000000001</v>
      </c>
      <c r="AN11" s="15">
        <v>4.6064800000000004</v>
      </c>
      <c r="AO11" s="6">
        <v>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5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4.0845599999999997</v>
      </c>
      <c r="X12" s="15"/>
      <c r="Y12" s="15">
        <f t="shared" si="1"/>
        <v>0.22306637278196431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4" t="s">
        <v>218</v>
      </c>
      <c r="AG12" s="17">
        <f t="shared" si="2"/>
        <v>2830.1267213745741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0.22306637278196431</v>
      </c>
      <c r="AL12" s="5">
        <v>26.521000000000001</v>
      </c>
      <c r="AN12" s="15">
        <v>4.4423300000000001</v>
      </c>
      <c r="AO12" s="6">
        <v>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5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3.7604700000000002</v>
      </c>
      <c r="X13" s="15"/>
      <c r="Y13" s="15">
        <f t="shared" si="1"/>
        <v>0.13866724567052971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1759.323346039137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0.13866724567052971</v>
      </c>
      <c r="AL13" s="5">
        <v>26.521000000000001</v>
      </c>
      <c r="AN13" s="15">
        <v>4.27128</v>
      </c>
      <c r="AO13" s="6">
        <v>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3.8620999999999999</v>
      </c>
      <c r="X14" s="15"/>
      <c r="Y14" s="15">
        <f t="shared" si="1"/>
        <v>1.0233385779101531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9981.4807547631681</v>
      </c>
      <c r="AH14" s="17">
        <v>9045.6442457914309</v>
      </c>
      <c r="AI14" s="15">
        <v>42.63916362874</v>
      </c>
      <c r="AJ14" s="17">
        <f t="shared" si="3"/>
        <v>0.29750738138153421</v>
      </c>
      <c r="AK14" s="15">
        <f t="shared" si="4"/>
        <v>1.0233385779101531</v>
      </c>
      <c r="AL14" s="56">
        <v>15.672000000000001</v>
      </c>
      <c r="AN14" s="15">
        <v>3.8673799999999998</v>
      </c>
      <c r="AO14" s="98">
        <v>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4.0963599999999998</v>
      </c>
      <c r="X15" s="15"/>
      <c r="Y15" s="15">
        <f t="shared" si="1"/>
        <v>0.96401337423408162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9402.8322101393551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0.96401337423408162</v>
      </c>
      <c r="AL15" s="5">
        <v>15.672000000000001</v>
      </c>
      <c r="AN15" s="15">
        <v>4.1142500000000002</v>
      </c>
      <c r="AO15" s="6">
        <v>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4.01586</v>
      </c>
      <c r="X16" s="15"/>
      <c r="Y16" s="15">
        <f t="shared" si="1"/>
        <v>0.77751656818976944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7583.7722034721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0.77751656818976944</v>
      </c>
      <c r="AL16" s="5">
        <v>15.672000000000001</v>
      </c>
      <c r="AN16" s="15">
        <v>4.44841</v>
      </c>
      <c r="AO16" s="6">
        <v>1</v>
      </c>
    </row>
    <row r="17" spans="1:41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4.3561300000000003</v>
      </c>
      <c r="X17" s="15"/>
      <c r="Y17" s="15">
        <f t="shared" si="1"/>
        <v>0.65661007238766389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6404.4695884576913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0.65661007238766389</v>
      </c>
      <c r="AL17" s="5">
        <v>15.672000000000001</v>
      </c>
      <c r="AN17" s="15">
        <v>4.8394700000000004</v>
      </c>
      <c r="AO17" s="6">
        <v>1</v>
      </c>
    </row>
    <row r="18" spans="1:41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4.6087999999999996</v>
      </c>
      <c r="X18" s="15"/>
      <c r="Y18" s="15">
        <f t="shared" si="1"/>
        <v>0.48427405088631992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4723.5316084970227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0.48427405088631992</v>
      </c>
      <c r="AL18" s="5">
        <v>15.672000000000001</v>
      </c>
      <c r="AN18" s="15">
        <v>4.8156600000000003</v>
      </c>
      <c r="AO18" s="6">
        <v>1</v>
      </c>
    </row>
    <row r="19" spans="1:41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4.4131400000000003</v>
      </c>
      <c r="X19" s="15"/>
      <c r="Y19" s="15">
        <f t="shared" si="1"/>
        <v>0.32685023119358075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3188.0448590251954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0.32685023119358075</v>
      </c>
      <c r="AL19" s="5">
        <v>15.672000000000001</v>
      </c>
      <c r="AN19" s="15">
        <v>4.5840899999999998</v>
      </c>
      <c r="AO19" s="6">
        <v>1</v>
      </c>
    </row>
    <row r="20" spans="1:41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4.0778499999999998</v>
      </c>
      <c r="X20" s="15"/>
      <c r="Y20" s="15">
        <f t="shared" si="1"/>
        <v>0.22333458317710916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2"/>
        <v>2178.3697907762144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0.22333458317710916</v>
      </c>
      <c r="AL20" s="5">
        <v>15.672000000000001</v>
      </c>
      <c r="AN20" s="15">
        <v>4.4172099999999999</v>
      </c>
      <c r="AO20" s="6">
        <v>1</v>
      </c>
    </row>
    <row r="21" spans="1:41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3.76464</v>
      </c>
      <c r="X21" s="15"/>
      <c r="Y21" s="15">
        <f t="shared" si="1"/>
        <v>0.13921663099944792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1357.8967441076552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0.13921663099944792</v>
      </c>
      <c r="AL21" s="5">
        <v>15.672000000000001</v>
      </c>
      <c r="AN21" s="15">
        <v>4.2443600000000004</v>
      </c>
      <c r="AO21" s="6">
        <v>1</v>
      </c>
    </row>
    <row r="22" spans="1:41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5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3.86416</v>
      </c>
      <c r="X22" s="15"/>
      <c r="Y22" s="15">
        <f t="shared" si="1"/>
        <v>1.0257399576536981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8719.2209637086271</v>
      </c>
      <c r="AH22" s="17">
        <v>7897.5180564418115</v>
      </c>
      <c r="AI22" s="15">
        <v>15.577999999999999</v>
      </c>
      <c r="AJ22" s="17">
        <f t="shared" si="3"/>
        <v>0.49175984548526802</v>
      </c>
      <c r="AK22" s="15">
        <f t="shared" si="4"/>
        <v>1.0257399576536981</v>
      </c>
      <c r="AL22" s="56">
        <v>10.936</v>
      </c>
      <c r="AN22" s="15">
        <v>3.8714</v>
      </c>
      <c r="AO22" s="98">
        <v>1</v>
      </c>
    </row>
    <row r="23" spans="1:41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5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4.0656400000000001</v>
      </c>
      <c r="X23" s="15"/>
      <c r="Y23" s="15">
        <f t="shared" si="1"/>
        <v>0.95851784854839284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8147.8047694166544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0.95851784854839284</v>
      </c>
      <c r="AL23" s="5">
        <v>10.936</v>
      </c>
      <c r="AN23" s="15">
        <v>4.1044499999999999</v>
      </c>
      <c r="AO23" s="6">
        <v>1</v>
      </c>
    </row>
    <row r="24" spans="1:41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5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3.97471</v>
      </c>
      <c r="X24" s="15"/>
      <c r="Y24" s="15">
        <f t="shared" si="1"/>
        <v>0.77094407819179489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6553.3488466151357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0.77094407819179489</v>
      </c>
      <c r="AL24" s="5">
        <v>10.936</v>
      </c>
      <c r="AN24" s="15">
        <v>4.3821300000000001</v>
      </c>
      <c r="AO24" s="6">
        <v>1</v>
      </c>
    </row>
    <row r="25" spans="1:41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5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4.3424199999999997</v>
      </c>
      <c r="X25" s="15"/>
      <c r="Y25" s="15">
        <f t="shared" si="1"/>
        <v>0.65572973243286881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5573.9784600318735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0.65572973243286881</v>
      </c>
      <c r="AL25" s="5">
        <v>10.936</v>
      </c>
      <c r="AN25" s="15">
        <v>4.8262200000000002</v>
      </c>
      <c r="AO25" s="6">
        <v>1</v>
      </c>
    </row>
    <row r="26" spans="1:41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5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4.6031599999999999</v>
      </c>
      <c r="X26" s="15"/>
      <c r="Y26" s="15">
        <f t="shared" si="1"/>
        <v>0.48455797800243861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4118.9465696504785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0.48455797800243861</v>
      </c>
      <c r="AL26" s="5">
        <v>10.936</v>
      </c>
      <c r="AN26" s="15">
        <v>4.8081899999999997</v>
      </c>
      <c r="AO26" s="6">
        <v>1</v>
      </c>
    </row>
    <row r="27" spans="1:41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5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4.4055999999999997</v>
      </c>
      <c r="X27" s="15"/>
      <c r="Y27" s="15">
        <f t="shared" si="1"/>
        <v>0.32688312133401404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2778.64398569164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0.32688312133401404</v>
      </c>
      <c r="AL27" s="5">
        <v>10.936</v>
      </c>
      <c r="AN27" s="15">
        <v>4.5720999999999998</v>
      </c>
      <c r="AO27" s="6">
        <v>1</v>
      </c>
    </row>
    <row r="28" spans="1:41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5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4.07491</v>
      </c>
      <c r="X28" s="15"/>
      <c r="Y28" s="15">
        <f t="shared" si="1"/>
        <v>0.22357801411718653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2"/>
        <v>1900.5071345510216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0.22357801411718653</v>
      </c>
      <c r="AL28" s="5">
        <v>10.936</v>
      </c>
      <c r="AN28" s="15">
        <v>4.4035299999999999</v>
      </c>
      <c r="AO28" s="6">
        <v>1</v>
      </c>
    </row>
    <row r="29" spans="1:41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5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3.7677700000000001</v>
      </c>
      <c r="X29" s="15"/>
      <c r="Y29" s="15">
        <f t="shared" si="1"/>
        <v>0.13958488480899567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1186.5302163205256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0.13958488480899567</v>
      </c>
      <c r="AL29" s="5">
        <v>10.936</v>
      </c>
      <c r="AN29" s="15">
        <v>4.2298299999999998</v>
      </c>
      <c r="AO29" s="6">
        <v>1</v>
      </c>
    </row>
    <row r="30" spans="1:41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5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3.86768</v>
      </c>
      <c r="X30" s="15"/>
      <c r="Y30" s="15">
        <f t="shared" si="1"/>
        <v>1.0302345937397397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7026.5141508561155</v>
      </c>
      <c r="AH30" s="17">
        <v>6358.5403983774268</v>
      </c>
      <c r="AI30" s="15">
        <v>42.050022134952336</v>
      </c>
      <c r="AJ30" s="17">
        <f t="shared" si="3"/>
        <v>0.29879552482933619</v>
      </c>
      <c r="AK30" s="15">
        <f t="shared" si="4"/>
        <v>1.0302345937397397</v>
      </c>
      <c r="AL30" s="56">
        <v>6.1308999999999996</v>
      </c>
      <c r="AN30" s="15">
        <v>3.8752599999999999</v>
      </c>
      <c r="AO30" s="98">
        <v>1</v>
      </c>
    </row>
    <row r="31" spans="1:41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5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3.9754499999999999</v>
      </c>
      <c r="X31" s="15"/>
      <c r="Y31" s="15">
        <f t="shared" si="1"/>
        <v>0.94050476498925339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6414.5293511800301</v>
      </c>
      <c r="AH31" s="17">
        <v>5647.3739398382841</v>
      </c>
      <c r="AI31" s="15">
        <v>17.044317632338284</v>
      </c>
      <c r="AJ31" s="17">
        <f t="shared" si="3"/>
        <v>0.49799254138222698</v>
      </c>
      <c r="AK31" s="15">
        <f t="shared" si="4"/>
        <v>0.94050476498925339</v>
      </c>
      <c r="AL31" s="5">
        <v>6.1308999999999996</v>
      </c>
      <c r="AN31" s="15">
        <v>4.0747900000000001</v>
      </c>
      <c r="AO31" s="98">
        <v>1</v>
      </c>
    </row>
    <row r="32" spans="1:41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5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3.8986700000000001</v>
      </c>
      <c r="X32" s="15"/>
      <c r="Y32" s="15">
        <f t="shared" si="1"/>
        <v>0.75881747966484991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5175.3666506455738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0.75881747966484991</v>
      </c>
      <c r="AL32" s="5">
        <v>6.1308999999999996</v>
      </c>
      <c r="AN32" s="15">
        <v>4.3324499999999997</v>
      </c>
      <c r="AO32" s="6">
        <v>1</v>
      </c>
    </row>
    <row r="33" spans="1:41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5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4.3240699999999999</v>
      </c>
      <c r="X33" s="15"/>
      <c r="Y33" s="15">
        <f t="shared" si="1"/>
        <v>0.6552230796265035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4468.8212460920404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0.6552230796265035</v>
      </c>
      <c r="AL33" s="5">
        <v>6.1308999999999996</v>
      </c>
      <c r="AN33" s="15">
        <v>4.8113299999999999</v>
      </c>
      <c r="AO33" s="6">
        <v>1</v>
      </c>
    </row>
    <row r="34" spans="1:41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5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4.5959199999999996</v>
      </c>
      <c r="X34" s="15"/>
      <c r="Y34" s="15">
        <f t="shared" si="1"/>
        <v>0.48547353406011506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3311.0775717178731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0.48547353406011506</v>
      </c>
      <c r="AL34" s="5">
        <v>6.1308999999999996</v>
      </c>
      <c r="AN34" s="15">
        <v>4.7953999999999999</v>
      </c>
      <c r="AO34" s="6">
        <v>1</v>
      </c>
    </row>
    <row r="35" spans="1:41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5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4.3931100000000001</v>
      </c>
      <c r="X35" s="15"/>
      <c r="Y35" s="15">
        <f t="shared" si="1"/>
        <v>0.32708673484558348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2"/>
        <v>2230.8312931010073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0.32708673484558348</v>
      </c>
      <c r="AL35" s="5">
        <v>6.1308999999999996</v>
      </c>
      <c r="AN35" s="15">
        <v>4.5521200000000004</v>
      </c>
      <c r="AO35" s="6">
        <v>1</v>
      </c>
    </row>
    <row r="36" spans="1:41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5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4.0699899999999998</v>
      </c>
      <c r="X36" s="15"/>
      <c r="Y36" s="15">
        <f t="shared" si="1"/>
        <v>0.22408244584621367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2"/>
        <v>1528.3106258171606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0.22408244584621367</v>
      </c>
      <c r="AL36" s="5">
        <v>6.1308999999999996</v>
      </c>
      <c r="AN36" s="15">
        <v>4.3809199999999997</v>
      </c>
      <c r="AO36" s="6">
        <v>1</v>
      </c>
    </row>
    <row r="37" spans="1:41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5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3.7741500000000001</v>
      </c>
      <c r="X37" s="15"/>
      <c r="Y37" s="15">
        <f t="shared" si="1"/>
        <v>0.1403061107710572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956.93046882239537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0.1403061107710572</v>
      </c>
      <c r="AL37" s="5">
        <v>6.1308999999999996</v>
      </c>
      <c r="AN37" s="15">
        <v>4.2045199999999996</v>
      </c>
      <c r="AO37" s="6">
        <v>1</v>
      </c>
    </row>
    <row r="38" spans="1:41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5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3.8597899999999998</v>
      </c>
      <c r="X38" s="15"/>
      <c r="Y38" s="15">
        <f t="shared" si="1"/>
        <v>1.0319713566839466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5799.9086381906427</v>
      </c>
      <c r="AH38" s="17">
        <v>5259.2706426171508</v>
      </c>
      <c r="AI38" s="15">
        <v>41.735015378530434</v>
      </c>
      <c r="AJ38" s="17">
        <f>(V38/AI38)^0.5</f>
        <v>0.29936272799904123</v>
      </c>
      <c r="AK38" s="15">
        <f t="shared" si="4"/>
        <v>1.0319713566839466</v>
      </c>
      <c r="AL38" s="56">
        <v>3.2757000000000001</v>
      </c>
      <c r="AN38" s="15">
        <v>3.8658800000000002</v>
      </c>
      <c r="AO38" s="98">
        <v>1</v>
      </c>
    </row>
    <row r="39" spans="1:41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5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3.8633000000000002</v>
      </c>
      <c r="X39" s="15"/>
      <c r="Y39" s="15">
        <f t="shared" si="1"/>
        <v>0.91738473900089201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5155.9063512894418</v>
      </c>
      <c r="AH39" s="17">
        <v>4671.0512332754497</v>
      </c>
      <c r="AI39" s="15">
        <v>16.916634579150902</v>
      </c>
      <c r="AJ39" s="17">
        <f t="shared" si="3"/>
        <v>0.49893787999840211</v>
      </c>
      <c r="AK39" s="15">
        <f t="shared" si="4"/>
        <v>0.91738473900089201</v>
      </c>
      <c r="AL39" s="5">
        <v>3.2757000000000001</v>
      </c>
      <c r="AN39" s="15">
        <v>4.0462400000000001</v>
      </c>
      <c r="AO39" s="98">
        <v>1</v>
      </c>
    </row>
    <row r="40" spans="1:41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3.8212700000000002</v>
      </c>
      <c r="X40" s="15"/>
      <c r="Y40" s="15">
        <f t="shared" si="1"/>
        <v>0.74652945451564967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4195.6616371815817</v>
      </c>
      <c r="AH40" s="17">
        <v>3842.9149811804809</v>
      </c>
      <c r="AI40" s="15">
        <v>9.1387185914606928</v>
      </c>
      <c r="AJ40" s="17">
        <f t="shared" si="3"/>
        <v>0.74840681999760295</v>
      </c>
      <c r="AK40" s="15">
        <f t="shared" si="4"/>
        <v>0.74652945451564967</v>
      </c>
      <c r="AL40" s="5">
        <v>3.2757000000000001</v>
      </c>
      <c r="AN40" s="15">
        <v>4.2986000000000004</v>
      </c>
      <c r="AO40" s="98">
        <v>1</v>
      </c>
    </row>
    <row r="41" spans="1:41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4.3085899999999997</v>
      </c>
      <c r="X41" s="15"/>
      <c r="Y41" s="15">
        <f t="shared" si="1"/>
        <v>0.65531485436110493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3683.0152890645059</v>
      </c>
      <c r="AH41" s="17">
        <v>2991.8264471035236</v>
      </c>
      <c r="AI41" s="15">
        <v>6.6028618480120294</v>
      </c>
      <c r="AJ41" s="17">
        <f t="shared" si="3"/>
        <v>0.99787575999680422</v>
      </c>
      <c r="AK41" s="15">
        <f t="shared" si="4"/>
        <v>0.65531485436110493</v>
      </c>
      <c r="AL41" s="5">
        <v>3.2757000000000001</v>
      </c>
      <c r="AN41" s="15">
        <v>4.7991000000000001</v>
      </c>
      <c r="AO41" s="98">
        <v>1</v>
      </c>
    </row>
    <row r="42" spans="1:41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4.5886800000000001</v>
      </c>
      <c r="X42" s="15"/>
      <c r="Y42" s="15">
        <f t="shared" si="1"/>
        <v>0.4865183705943566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2734.3414930777421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0.4865183705943566</v>
      </c>
      <c r="AL42" s="5">
        <v>3.2757000000000001</v>
      </c>
      <c r="AN42" s="15">
        <v>4.78118</v>
      </c>
      <c r="AO42" s="6">
        <v>1</v>
      </c>
    </row>
    <row r="43" spans="1:41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4.37981</v>
      </c>
      <c r="X43" s="15"/>
      <c r="Y43" s="15">
        <f t="shared" si="1"/>
        <v>0.32731393635677458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1839.5771496759128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0.32731393635677458</v>
      </c>
      <c r="AL43" s="5">
        <v>3.2757000000000001</v>
      </c>
      <c r="AN43" s="15">
        <v>4.5317600000000002</v>
      </c>
      <c r="AO43" s="6">
        <v>1</v>
      </c>
    </row>
    <row r="44" spans="1:41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4.0648900000000001</v>
      </c>
      <c r="X44" s="15"/>
      <c r="Y44" s="15">
        <f t="shared" si="1"/>
        <v>0.22463719326507553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4" t="s">
        <v>218</v>
      </c>
      <c r="AG44" s="17">
        <f t="shared" si="2"/>
        <v>1262.5110079252263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0.22463719326507553</v>
      </c>
      <c r="AL44" s="5">
        <v>3.2757000000000001</v>
      </c>
      <c r="AN44" s="15">
        <v>4.3593799999999998</v>
      </c>
      <c r="AO44" s="6">
        <v>1</v>
      </c>
    </row>
    <row r="45" spans="1:41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3.7800199999999999</v>
      </c>
      <c r="X45" s="15"/>
      <c r="Y45" s="15">
        <f t="shared" si="1"/>
        <v>0.14104896372487041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792.7265595282006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0.14104896372487041</v>
      </c>
      <c r="AL45" s="5">
        <v>3.2757000000000001</v>
      </c>
      <c r="AN45" s="15">
        <v>4.1771700000000003</v>
      </c>
      <c r="AO45" s="6">
        <v>1</v>
      </c>
    </row>
    <row r="46" spans="1:41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5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3.8457400000000002</v>
      </c>
      <c r="X46" s="15"/>
      <c r="Y46" s="15">
        <f t="shared" si="1"/>
        <v>1.0310082425585927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5134.6050829130882</v>
      </c>
      <c r="AH46" s="17">
        <v>4672.9934395450055</v>
      </c>
      <c r="AI46" s="15">
        <v>41.542904551397591</v>
      </c>
      <c r="AJ46" s="17">
        <f t="shared" si="3"/>
        <v>0.29964736441136586</v>
      </c>
      <c r="AK46" s="15">
        <f t="shared" si="4"/>
        <v>1.0310082425585927</v>
      </c>
      <c r="AL46" s="56">
        <v>1.7927999999999999</v>
      </c>
      <c r="AN46" s="15">
        <v>3.8592900000000001</v>
      </c>
      <c r="AO46" s="98">
        <v>1</v>
      </c>
    </row>
    <row r="47" spans="1:41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5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3.80647</v>
      </c>
      <c r="X47" s="15"/>
      <c r="Y47" s="15">
        <f t="shared" si="1"/>
        <v>0.9063454101612668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4513.761925258822</v>
      </c>
      <c r="AH47" s="17">
        <v>4150.3457897752714</v>
      </c>
      <c r="AI47" s="95">
        <v>16.838765465366503</v>
      </c>
      <c r="AJ47" s="17">
        <f t="shared" si="3"/>
        <v>0.49941227401894306</v>
      </c>
      <c r="AK47" s="15">
        <f t="shared" si="4"/>
        <v>0.9063454101612668</v>
      </c>
      <c r="AL47" s="5">
        <v>1.7927999999999999</v>
      </c>
      <c r="AN47" s="15">
        <v>4.0110700000000001</v>
      </c>
      <c r="AO47" s="98">
        <v>1</v>
      </c>
    </row>
    <row r="48" spans="1:41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5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3.7637999999999998</v>
      </c>
      <c r="X48" s="15"/>
      <c r="Y48" s="15">
        <f t="shared" si="1"/>
        <v>0.73729962335116606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3671.8837322715749</v>
      </c>
      <c r="AH48" s="17">
        <v>3414.5260276716385</v>
      </c>
      <c r="AI48" s="15">
        <v>9.0966520731758305</v>
      </c>
      <c r="AJ48" s="17">
        <f t="shared" si="3"/>
        <v>0.74911841102841459</v>
      </c>
      <c r="AK48" s="15">
        <f t="shared" si="4"/>
        <v>0.73729962335116606</v>
      </c>
      <c r="AL48" s="5">
        <v>1.7927999999999999</v>
      </c>
      <c r="AN48" s="15">
        <v>4.2771699999999999</v>
      </c>
      <c r="AO48" s="98">
        <v>1</v>
      </c>
    </row>
    <row r="49" spans="1:41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5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4.2992299999999997</v>
      </c>
      <c r="X49" s="15"/>
      <c r="Y49" s="15">
        <f t="shared" si="1"/>
        <v>0.65566767669103321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3265.3420666016345</v>
      </c>
      <c r="AH49" s="17">
        <v>2658.3125892556859</v>
      </c>
      <c r="AI49" s="15">
        <v>6.5724681548610722</v>
      </c>
      <c r="AJ49" s="17">
        <f t="shared" si="3"/>
        <v>0.99882454803788601</v>
      </c>
      <c r="AK49" s="15">
        <f t="shared" si="4"/>
        <v>0.65566767669103321</v>
      </c>
      <c r="AL49" s="5">
        <v>1.7927999999999999</v>
      </c>
      <c r="AN49" s="15">
        <v>4.7920800000000003</v>
      </c>
      <c r="AO49" s="98">
        <v>1</v>
      </c>
    </row>
    <row r="50" spans="1:41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5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4.5805400000000001</v>
      </c>
      <c r="X50" s="15"/>
      <c r="Y50" s="15">
        <f t="shared" si="1"/>
        <v>0.48697470418609617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2425.2209518314562</v>
      </c>
      <c r="AH50" s="17">
        <v>1853.1162988228673</v>
      </c>
      <c r="AI50" s="15">
        <v>5.3300168349800403</v>
      </c>
      <c r="AJ50" s="17">
        <f t="shared" si="3"/>
        <v>1.3284366488903889</v>
      </c>
      <c r="AK50" s="15">
        <f t="shared" si="4"/>
        <v>0.48697470418609617</v>
      </c>
      <c r="AL50" s="5">
        <v>1.7927999999999999</v>
      </c>
      <c r="AN50" s="15">
        <v>4.7666399999999998</v>
      </c>
      <c r="AO50" s="98">
        <v>1</v>
      </c>
    </row>
    <row r="51" spans="1:41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5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4.3682800000000004</v>
      </c>
      <c r="X51" s="15"/>
      <c r="Y51" s="15">
        <f t="shared" si="1"/>
        <v>0.32733914651562884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1630.2073796854843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0.32733914651562884</v>
      </c>
      <c r="AL51" s="5">
        <v>1.7927999999999999</v>
      </c>
      <c r="AN51" s="15">
        <v>4.5159399999999996</v>
      </c>
      <c r="AO51" s="6">
        <v>1</v>
      </c>
    </row>
    <row r="52" spans="1:41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5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4.0598299999999998</v>
      </c>
      <c r="X52" s="15"/>
      <c r="Y52" s="15">
        <f t="shared" si="1"/>
        <v>0.22496707737495336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1120.3762019505793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0.22496707737495336</v>
      </c>
      <c r="AL52" s="5">
        <v>1.7927999999999999</v>
      </c>
      <c r="AN52" s="15">
        <v>4.3438100000000004</v>
      </c>
      <c r="AO52" s="6">
        <v>1</v>
      </c>
    </row>
    <row r="53" spans="1:41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5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3.7830599999999999</v>
      </c>
      <c r="X53" s="15"/>
      <c r="Y53" s="15">
        <f t="shared" si="1"/>
        <v>0.14154589627110575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704.92382937259094</v>
      </c>
      <c r="AH53" s="17">
        <v>652.17929475188566</v>
      </c>
      <c r="AI53" s="95">
        <v>4.3297999999999996</v>
      </c>
      <c r="AJ53" s="17">
        <f t="shared" si="3"/>
        <v>2.4845003099159175</v>
      </c>
      <c r="AK53" s="15">
        <f t="shared" si="4"/>
        <v>0.14154589627110575</v>
      </c>
      <c r="AL53" s="5">
        <v>1.7927999999999999</v>
      </c>
      <c r="AN53" s="15">
        <v>4.15768</v>
      </c>
      <c r="AO53" s="6">
        <v>1</v>
      </c>
    </row>
    <row r="54" spans="1:41">
      <c r="A54" s="15"/>
      <c r="B54" s="20"/>
      <c r="C54" s="20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9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6"/>
      <c r="AB54" s="15"/>
      <c r="AC54" s="17"/>
      <c r="AD54" s="15"/>
      <c r="AE54" s="15"/>
      <c r="AF54" s="22"/>
      <c r="AG54" s="17"/>
      <c r="AH54" s="17"/>
      <c r="AI54" s="15"/>
      <c r="AJ54" s="17"/>
      <c r="AK54" s="15"/>
      <c r="AL54" s="56"/>
      <c r="AN54" s="15">
        <v>3.8517800000000002</v>
      </c>
      <c r="AO54" s="6">
        <v>1</v>
      </c>
    </row>
    <row r="55" spans="1:41">
      <c r="A55" s="15"/>
      <c r="B55" s="20"/>
      <c r="C55" s="20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9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6"/>
      <c r="AB55" s="15"/>
      <c r="AC55" s="17"/>
      <c r="AD55" s="15"/>
      <c r="AE55" s="15"/>
      <c r="AF55" s="22"/>
      <c r="AG55" s="17"/>
      <c r="AH55" s="17"/>
      <c r="AI55" s="15"/>
      <c r="AJ55" s="17"/>
      <c r="AK55" s="15"/>
      <c r="AN55" s="15">
        <v>3.9940099999999998</v>
      </c>
      <c r="AO55" s="6">
        <v>1</v>
      </c>
    </row>
    <row r="56" spans="1:41">
      <c r="A56" s="15"/>
      <c r="B56" s="20"/>
      <c r="C56" s="20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9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6"/>
      <c r="AB56" s="15"/>
      <c r="AC56" s="17"/>
      <c r="AD56" s="15"/>
      <c r="AE56" s="15"/>
      <c r="AF56" s="22"/>
      <c r="AG56" s="17"/>
      <c r="AH56" s="17"/>
      <c r="AI56" s="15"/>
      <c r="AJ56" s="17"/>
      <c r="AK56" s="15"/>
      <c r="AN56" s="15">
        <v>4.3224299999999998</v>
      </c>
      <c r="AO56" s="6">
        <v>1</v>
      </c>
    </row>
    <row r="57" spans="1:41">
      <c r="A57" s="15"/>
      <c r="B57" s="20"/>
      <c r="C57" s="20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9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6"/>
      <c r="AB57" s="15"/>
      <c r="AC57" s="17"/>
      <c r="AD57" s="15"/>
      <c r="AE57" s="15"/>
      <c r="AF57" s="22"/>
      <c r="AG57" s="17"/>
      <c r="AH57" s="17"/>
      <c r="AI57" s="15"/>
      <c r="AJ57" s="17"/>
      <c r="AK57" s="15"/>
      <c r="AN57" s="15">
        <v>4.85487</v>
      </c>
      <c r="AO57" s="6">
        <v>1</v>
      </c>
    </row>
    <row r="58" spans="1:41">
      <c r="A58" s="15"/>
      <c r="B58" s="20"/>
      <c r="C58" s="20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9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6"/>
      <c r="AB58" s="15"/>
      <c r="AC58" s="17"/>
      <c r="AD58" s="15"/>
      <c r="AE58" s="15"/>
      <c r="AF58" s="22"/>
      <c r="AG58" s="17"/>
      <c r="AH58" s="17"/>
      <c r="AI58" s="15"/>
      <c r="AJ58" s="17"/>
      <c r="AK58" s="15"/>
      <c r="AN58" s="15">
        <v>4.7803599999999999</v>
      </c>
      <c r="AO58" s="6">
        <v>1</v>
      </c>
    </row>
    <row r="59" spans="1:41">
      <c r="A59" s="15"/>
      <c r="B59" s="20"/>
      <c r="C59" s="20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9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6"/>
      <c r="AB59" s="15"/>
      <c r="AC59" s="17"/>
      <c r="AD59" s="15"/>
      <c r="AE59" s="15"/>
      <c r="AF59" s="22"/>
      <c r="AG59" s="17"/>
      <c r="AH59" s="17"/>
      <c r="AI59" s="15"/>
      <c r="AJ59" s="17"/>
      <c r="AK59" s="15"/>
      <c r="AN59" s="15">
        <v>4.5346399999999996</v>
      </c>
      <c r="AO59" s="6">
        <v>1</v>
      </c>
    </row>
    <row r="60" spans="1:41">
      <c r="A60" s="15"/>
      <c r="B60" s="20"/>
      <c r="C60" s="2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9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6"/>
      <c r="AB60" s="15"/>
      <c r="AC60" s="17"/>
      <c r="AD60" s="15"/>
      <c r="AE60" s="15"/>
      <c r="AF60" s="24"/>
      <c r="AG60" s="17"/>
      <c r="AH60" s="17"/>
      <c r="AI60" s="15"/>
      <c r="AJ60" s="17"/>
      <c r="AK60" s="15"/>
      <c r="AN60" s="15">
        <v>4.3687199999999997</v>
      </c>
      <c r="AO60" s="6">
        <v>1</v>
      </c>
    </row>
    <row r="61" spans="1:41">
      <c r="A61" s="15"/>
      <c r="B61" s="20"/>
      <c r="C61" s="20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9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6"/>
      <c r="AB61" s="15"/>
      <c r="AC61" s="17"/>
      <c r="AD61" s="15"/>
      <c r="AE61" s="15"/>
      <c r="AF61" s="22"/>
      <c r="AG61" s="17"/>
      <c r="AH61" s="17"/>
      <c r="AI61" s="15"/>
      <c r="AJ61" s="17"/>
      <c r="AK61" s="15"/>
      <c r="AN61" s="15">
        <v>4.1875900000000001</v>
      </c>
      <c r="AO61" s="6">
        <v>1</v>
      </c>
    </row>
    <row r="62" spans="1:41">
      <c r="A62" s="15"/>
      <c r="B62" s="20"/>
      <c r="C62" s="20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9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6"/>
      <c r="AB62" s="15"/>
      <c r="AC62" s="17"/>
      <c r="AD62" s="15"/>
      <c r="AE62" s="15"/>
      <c r="AF62" s="22"/>
      <c r="AG62" s="17"/>
      <c r="AH62" s="17"/>
      <c r="AI62" s="15"/>
      <c r="AJ62" s="17"/>
      <c r="AK62" s="15"/>
      <c r="AL62" s="56"/>
      <c r="AN62" s="15">
        <v>3.8594300000000001</v>
      </c>
      <c r="AO62" s="98">
        <v>1</v>
      </c>
    </row>
    <row r="63" spans="1:41">
      <c r="A63" s="15"/>
      <c r="B63" s="20"/>
      <c r="C63" s="20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9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6"/>
      <c r="AB63" s="15"/>
      <c r="AC63" s="17"/>
      <c r="AD63" s="15"/>
      <c r="AE63" s="15"/>
      <c r="AF63" s="22"/>
      <c r="AG63" s="17"/>
      <c r="AH63" s="17"/>
      <c r="AI63" s="15"/>
      <c r="AJ63" s="17"/>
      <c r="AK63" s="15"/>
      <c r="AN63" s="15">
        <v>3.88</v>
      </c>
      <c r="AO63" s="6">
        <v>1</v>
      </c>
    </row>
    <row r="64" spans="1:41">
      <c r="A64" s="15"/>
      <c r="B64" s="20"/>
      <c r="C64" s="20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9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6"/>
      <c r="AB64" s="15"/>
      <c r="AC64" s="17"/>
      <c r="AD64" s="15"/>
      <c r="AE64" s="15"/>
      <c r="AF64" s="22"/>
      <c r="AG64" s="17"/>
      <c r="AH64" s="17"/>
      <c r="AI64" s="15"/>
      <c r="AJ64" s="17"/>
      <c r="AK64" s="15"/>
      <c r="AN64" s="15">
        <v>4.3168300000000004</v>
      </c>
      <c r="AO64" s="6">
        <v>1</v>
      </c>
    </row>
    <row r="65" spans="1:41">
      <c r="A65" s="15"/>
      <c r="B65" s="20"/>
      <c r="C65" s="20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9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6"/>
      <c r="AB65" s="15"/>
      <c r="AC65" s="17"/>
      <c r="AD65" s="15"/>
      <c r="AE65" s="15"/>
      <c r="AF65" s="22"/>
      <c r="AG65" s="17"/>
      <c r="AH65" s="17"/>
      <c r="AI65" s="15"/>
      <c r="AJ65" s="17"/>
      <c r="AK65" s="15"/>
      <c r="AN65" s="15">
        <v>4.8481800000000002</v>
      </c>
      <c r="AO65" s="6">
        <v>1</v>
      </c>
    </row>
    <row r="66" spans="1:41">
      <c r="A66" s="15"/>
      <c r="B66" s="20"/>
      <c r="C66" s="20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9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6"/>
      <c r="AB66" s="15"/>
      <c r="AC66" s="17"/>
      <c r="AD66" s="15"/>
      <c r="AE66" s="15"/>
      <c r="AF66" s="22"/>
      <c r="AG66" s="17"/>
      <c r="AH66" s="17"/>
      <c r="AI66" s="15"/>
      <c r="AJ66" s="17"/>
      <c r="AK66" s="15"/>
      <c r="AN66" s="15">
        <v>4.77006</v>
      </c>
      <c r="AO66" s="6">
        <v>1</v>
      </c>
    </row>
    <row r="67" spans="1:41">
      <c r="A67" s="15"/>
      <c r="B67" s="20"/>
      <c r="C67" s="20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9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6"/>
      <c r="AB67" s="15"/>
      <c r="AC67" s="17"/>
      <c r="AD67" s="15"/>
      <c r="AE67" s="15"/>
      <c r="AF67" s="22"/>
      <c r="AG67" s="17"/>
      <c r="AH67" s="17"/>
      <c r="AI67" s="15"/>
      <c r="AJ67" s="17"/>
      <c r="AK67" s="15"/>
      <c r="AN67" s="15">
        <v>4.5221799999999996</v>
      </c>
      <c r="AO67" s="6">
        <v>1</v>
      </c>
    </row>
    <row r="68" spans="1:41">
      <c r="A68" s="15"/>
      <c r="B68" s="20"/>
      <c r="C68" s="20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9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6"/>
      <c r="AB68" s="15"/>
      <c r="AC68" s="17"/>
      <c r="AD68" s="15"/>
      <c r="AE68" s="15"/>
      <c r="AF68" s="24"/>
      <c r="AG68" s="17"/>
      <c r="AH68" s="17"/>
      <c r="AI68" s="15"/>
      <c r="AJ68" s="17"/>
      <c r="AK68" s="15"/>
      <c r="AN68" s="15">
        <v>4.3548400000000003</v>
      </c>
      <c r="AO68" s="6">
        <v>1</v>
      </c>
    </row>
    <row r="69" spans="1:41">
      <c r="A69" s="15"/>
      <c r="B69" s="20"/>
      <c r="C69" s="20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9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6"/>
      <c r="AB69" s="15"/>
      <c r="AC69" s="17"/>
      <c r="AD69" s="15"/>
      <c r="AE69" s="15"/>
      <c r="AF69" s="22"/>
      <c r="AG69" s="17"/>
      <c r="AH69" s="17"/>
      <c r="AI69" s="15"/>
      <c r="AJ69" s="17"/>
      <c r="AK69" s="15"/>
      <c r="AN69" s="15">
        <v>4.1698399999999998</v>
      </c>
      <c r="AO69" s="6">
        <v>1</v>
      </c>
    </row>
    <row r="70" spans="1:41">
      <c r="A70" s="15"/>
      <c r="B70" s="20"/>
      <c r="C70" s="20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9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6"/>
      <c r="AB70" s="15"/>
      <c r="AC70" s="17"/>
      <c r="AD70" s="15"/>
      <c r="AE70" s="15"/>
      <c r="AF70" s="22"/>
      <c r="AG70" s="17"/>
      <c r="AH70" s="17"/>
      <c r="AI70" s="15"/>
      <c r="AJ70" s="17"/>
      <c r="AK70" s="15"/>
      <c r="AL70" s="56"/>
      <c r="AN70" s="15">
        <v>3.8702899999999998</v>
      </c>
      <c r="AO70" s="98">
        <v>1</v>
      </c>
    </row>
    <row r="71" spans="1:41">
      <c r="A71" s="15"/>
      <c r="B71" s="20"/>
      <c r="C71" s="20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9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6"/>
      <c r="AB71" s="15"/>
      <c r="AC71" s="17"/>
      <c r="AD71" s="15"/>
      <c r="AE71" s="15"/>
      <c r="AF71" s="22"/>
      <c r="AG71" s="17"/>
      <c r="AH71" s="17"/>
      <c r="AI71" s="15"/>
      <c r="AJ71" s="17"/>
      <c r="AK71" s="15"/>
      <c r="AN71" s="15">
        <v>3.92028</v>
      </c>
      <c r="AO71" s="98">
        <v>1</v>
      </c>
    </row>
    <row r="72" spans="1:41">
      <c r="A72" s="15"/>
      <c r="B72" s="20"/>
      <c r="C72" s="20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9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6"/>
      <c r="AB72" s="15"/>
      <c r="AC72" s="17"/>
      <c r="AD72" s="15"/>
      <c r="AE72" s="15"/>
      <c r="AF72" s="22"/>
      <c r="AG72" s="17"/>
      <c r="AH72" s="17"/>
      <c r="AI72" s="15"/>
      <c r="AJ72" s="17"/>
      <c r="AK72" s="15"/>
      <c r="AN72" s="15">
        <v>4.3202600000000002</v>
      </c>
      <c r="AO72" s="6">
        <v>1</v>
      </c>
    </row>
    <row r="73" spans="1:41">
      <c r="A73" s="15"/>
      <c r="B73" s="20"/>
      <c r="C73" s="20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9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6"/>
      <c r="AB73" s="15"/>
      <c r="AC73" s="17"/>
      <c r="AD73" s="15"/>
      <c r="AE73" s="15"/>
      <c r="AF73" s="22"/>
      <c r="AG73" s="17"/>
      <c r="AH73" s="17"/>
      <c r="AI73" s="15"/>
      <c r="AJ73" s="17"/>
      <c r="AK73" s="15"/>
      <c r="AN73" s="15">
        <v>4.8501599999999998</v>
      </c>
      <c r="AO73" s="6">
        <v>1</v>
      </c>
    </row>
    <row r="74" spans="1:41">
      <c r="A74" s="15"/>
      <c r="B74" s="20"/>
      <c r="C74" s="20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9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6"/>
      <c r="AB74" s="15"/>
      <c r="AC74" s="17"/>
      <c r="AD74" s="15"/>
      <c r="AE74" s="15"/>
      <c r="AF74" s="22"/>
      <c r="AG74" s="17"/>
      <c r="AH74" s="17"/>
      <c r="AI74" s="15"/>
      <c r="AJ74" s="17"/>
      <c r="AK74" s="15"/>
      <c r="AN74" s="15">
        <v>4.7687099999999996</v>
      </c>
      <c r="AO74" s="6">
        <v>1</v>
      </c>
    </row>
    <row r="75" spans="1:41">
      <c r="A75" s="15"/>
      <c r="B75" s="20"/>
      <c r="C75" s="20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9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6"/>
      <c r="AB75" s="15"/>
      <c r="AC75" s="17"/>
      <c r="AD75" s="15"/>
      <c r="AE75" s="15"/>
      <c r="AF75" s="24"/>
      <c r="AG75" s="17"/>
      <c r="AH75" s="17"/>
      <c r="AI75" s="15"/>
      <c r="AJ75" s="17"/>
      <c r="AK75" s="15"/>
      <c r="AN75" s="15">
        <v>4.5194900000000002</v>
      </c>
      <c r="AO75" s="6">
        <v>1</v>
      </c>
    </row>
    <row r="76" spans="1:41">
      <c r="A76" s="15"/>
      <c r="B76" s="20"/>
      <c r="C76" s="20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9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6"/>
      <c r="AB76" s="15"/>
      <c r="AC76" s="17"/>
      <c r="AD76" s="15"/>
      <c r="AE76" s="15"/>
      <c r="AF76" s="22"/>
      <c r="AG76" s="17"/>
      <c r="AH76" s="17"/>
      <c r="AI76" s="15"/>
      <c r="AJ76" s="17"/>
      <c r="AK76" s="15"/>
      <c r="AN76" s="15">
        <v>4.3513999999999999</v>
      </c>
      <c r="AO76" s="6">
        <v>1</v>
      </c>
    </row>
    <row r="77" spans="1:41">
      <c r="A77" s="15"/>
      <c r="B77" s="20"/>
      <c r="C77" s="20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9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6"/>
      <c r="AB77" s="15"/>
      <c r="AC77" s="17"/>
      <c r="AD77" s="15"/>
      <c r="AE77" s="15"/>
      <c r="AF77" s="22"/>
      <c r="AG77" s="17"/>
      <c r="AH77" s="17"/>
      <c r="AI77" s="15"/>
      <c r="AJ77" s="17"/>
      <c r="AK77" s="15"/>
      <c r="AN77" s="15">
        <v>4.1649200000000004</v>
      </c>
      <c r="AO77" s="6">
        <v>1</v>
      </c>
    </row>
    <row r="78" spans="1:41">
      <c r="A78" s="15"/>
      <c r="B78" s="20"/>
      <c r="C78" s="20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9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6"/>
      <c r="AB78" s="15"/>
      <c r="AC78" s="17"/>
      <c r="AD78" s="15"/>
      <c r="AE78" s="15"/>
      <c r="AF78" s="22"/>
      <c r="AG78" s="17"/>
      <c r="AH78" s="17"/>
      <c r="AI78" s="15"/>
      <c r="AJ78" s="17"/>
      <c r="AK78" s="15"/>
      <c r="AL78" s="56"/>
      <c r="AN78" s="15">
        <v>3.8428</v>
      </c>
      <c r="AO78" s="98">
        <v>1</v>
      </c>
    </row>
    <row r="79" spans="1:41">
      <c r="A79" s="15"/>
      <c r="B79" s="20"/>
      <c r="C79" s="20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9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6"/>
      <c r="AB79" s="15"/>
      <c r="AC79" s="17"/>
      <c r="AD79" s="15"/>
      <c r="AE79" s="15"/>
      <c r="AF79" s="22"/>
      <c r="AG79" s="17"/>
      <c r="AH79" s="17"/>
      <c r="AI79" s="15"/>
      <c r="AJ79" s="17"/>
      <c r="AK79" s="15"/>
      <c r="AN79" s="15">
        <v>3.8582100000000001</v>
      </c>
      <c r="AO79" s="98">
        <v>1</v>
      </c>
    </row>
    <row r="80" spans="1:41">
      <c r="A80" s="15"/>
      <c r="B80" s="20"/>
      <c r="C80" s="20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9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6"/>
      <c r="AB80" s="15"/>
      <c r="AC80" s="17"/>
      <c r="AD80" s="15"/>
      <c r="AE80" s="15"/>
      <c r="AF80" s="22"/>
      <c r="AG80" s="17"/>
      <c r="AH80" s="17"/>
      <c r="AI80" s="15"/>
      <c r="AJ80" s="17"/>
      <c r="AK80" s="15"/>
      <c r="AN80" s="15">
        <v>4.1100500000000002</v>
      </c>
      <c r="AO80" s="98">
        <v>1</v>
      </c>
    </row>
    <row r="81" spans="1:41">
      <c r="A81" s="15"/>
      <c r="B81" s="20"/>
      <c r="C81" s="20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9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6"/>
      <c r="AB81" s="15"/>
      <c r="AC81" s="17"/>
      <c r="AD81" s="15"/>
      <c r="AE81" s="15"/>
      <c r="AF81" s="22"/>
      <c r="AG81" s="17"/>
      <c r="AH81" s="17"/>
      <c r="AI81" s="15"/>
      <c r="AJ81" s="17"/>
      <c r="AK81" s="15"/>
      <c r="AN81" s="15">
        <v>4.4180299999999999</v>
      </c>
      <c r="AO81" s="6">
        <v>1</v>
      </c>
    </row>
    <row r="82" spans="1:41">
      <c r="A82" s="15"/>
      <c r="B82" s="20"/>
      <c r="C82" s="20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9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6"/>
      <c r="AB82" s="15"/>
      <c r="AC82" s="17"/>
      <c r="AD82" s="15"/>
      <c r="AE82" s="15"/>
      <c r="AF82" s="22"/>
      <c r="AG82" s="17"/>
      <c r="AH82" s="17"/>
      <c r="AI82" s="15"/>
      <c r="AJ82" s="17"/>
      <c r="AK82" s="15"/>
      <c r="AN82" s="15">
        <v>4.2418699999999996</v>
      </c>
      <c r="AO82" s="6">
        <v>1</v>
      </c>
    </row>
    <row r="83" spans="1:41">
      <c r="A83" s="15"/>
      <c r="B83" s="20"/>
      <c r="C83" s="20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9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6"/>
      <c r="AB83" s="15"/>
      <c r="AC83" s="17"/>
      <c r="AD83" s="15"/>
      <c r="AE83" s="15"/>
      <c r="AF83" s="22"/>
      <c r="AG83" s="17"/>
      <c r="AH83" s="17"/>
      <c r="AI83" s="15"/>
      <c r="AJ83" s="17"/>
      <c r="AK83" s="15"/>
      <c r="AN83" s="15">
        <v>3.95011</v>
      </c>
      <c r="AO83" s="6">
        <v>1</v>
      </c>
    </row>
    <row r="84" spans="1:41">
      <c r="A84" s="15"/>
      <c r="B84" s="20"/>
      <c r="C84" s="20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9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6"/>
      <c r="AB84" s="15"/>
      <c r="AC84" s="17"/>
      <c r="AD84" s="15"/>
      <c r="AE84" s="15"/>
      <c r="AF84" s="22"/>
      <c r="AG84" s="17"/>
      <c r="AH84" s="17"/>
      <c r="AI84" s="15"/>
      <c r="AJ84" s="17"/>
      <c r="AK84" s="15"/>
      <c r="AN84" s="15">
        <v>3.7688100000000002</v>
      </c>
      <c r="AO84" s="6">
        <v>1</v>
      </c>
    </row>
    <row r="85" spans="1:41">
      <c r="A85" s="15"/>
      <c r="B85" s="20"/>
      <c r="C85" s="20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9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6"/>
      <c r="AB85" s="15"/>
      <c r="AC85" s="17"/>
      <c r="AD85" s="15"/>
      <c r="AE85" s="15"/>
      <c r="AF85" s="22"/>
      <c r="AG85" s="17"/>
      <c r="AH85" s="17"/>
      <c r="AI85" s="15"/>
      <c r="AJ85" s="17"/>
      <c r="AK85" s="15"/>
      <c r="AN85" s="15">
        <v>3.5951</v>
      </c>
      <c r="AO85" s="6">
        <v>1</v>
      </c>
    </row>
    <row r="86" spans="1:41">
      <c r="A86" s="15"/>
      <c r="B86" s="20"/>
      <c r="C86" s="20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9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6"/>
      <c r="AB86" s="15"/>
      <c r="AC86" s="17"/>
      <c r="AD86" s="15"/>
      <c r="AE86" s="15"/>
      <c r="AF86" s="22"/>
      <c r="AG86" s="17"/>
      <c r="AH86" s="17"/>
      <c r="AI86" s="15"/>
      <c r="AJ86" s="17"/>
      <c r="AK86" s="15"/>
      <c r="AL86" s="56"/>
      <c r="AN86" s="15">
        <v>3.81229</v>
      </c>
      <c r="AO86" s="98">
        <v>1</v>
      </c>
    </row>
    <row r="87" spans="1:41">
      <c r="A87" s="15"/>
      <c r="B87" s="20"/>
      <c r="C87" s="20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9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6"/>
      <c r="AB87" s="15"/>
      <c r="AC87" s="17"/>
      <c r="AD87" s="15"/>
      <c r="AE87" s="15"/>
      <c r="AF87" s="22"/>
      <c r="AG87" s="17"/>
      <c r="AH87" s="17"/>
      <c r="AI87" s="15"/>
      <c r="AJ87" s="17"/>
      <c r="AK87" s="15"/>
      <c r="AN87" s="15">
        <v>3.8384100000000001</v>
      </c>
      <c r="AO87" s="98">
        <v>1</v>
      </c>
    </row>
    <row r="88" spans="1:41">
      <c r="A88" s="15"/>
      <c r="B88" s="20"/>
      <c r="C88" s="20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9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6"/>
      <c r="AB88" s="15"/>
      <c r="AC88" s="17"/>
      <c r="AD88" s="15"/>
      <c r="AE88" s="15"/>
      <c r="AF88" s="22"/>
      <c r="AG88" s="17"/>
      <c r="AH88" s="17"/>
      <c r="AI88" s="15"/>
      <c r="AJ88" s="17"/>
      <c r="AK88" s="15"/>
      <c r="AN88" s="15">
        <v>3.87879</v>
      </c>
      <c r="AO88" s="98">
        <v>1</v>
      </c>
    </row>
    <row r="89" spans="1:41">
      <c r="A89" s="15"/>
      <c r="B89" s="20"/>
      <c r="C89" s="20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9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6"/>
      <c r="AB89" s="15"/>
      <c r="AC89" s="17"/>
      <c r="AD89" s="15"/>
      <c r="AE89" s="15"/>
      <c r="AF89" s="22"/>
      <c r="AG89" s="17"/>
      <c r="AH89" s="17"/>
      <c r="AI89" s="15"/>
      <c r="AJ89" s="17"/>
      <c r="AK89" s="15"/>
      <c r="AN89" s="15">
        <v>3.9841799999999998</v>
      </c>
      <c r="AO89" s="98">
        <v>1</v>
      </c>
    </row>
    <row r="90" spans="1:41">
      <c r="A90" s="15"/>
      <c r="B90" s="20"/>
      <c r="C90" s="20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9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6"/>
      <c r="AB90" s="15"/>
      <c r="AC90" s="17"/>
      <c r="AD90" s="15"/>
      <c r="AE90" s="15"/>
      <c r="AF90" s="22"/>
      <c r="AG90" s="17"/>
      <c r="AH90" s="17"/>
      <c r="AI90" s="15"/>
      <c r="AJ90" s="17"/>
      <c r="AK90" s="15"/>
      <c r="AN90" s="15">
        <v>3.6392500000000001</v>
      </c>
      <c r="AO90" s="6">
        <v>1</v>
      </c>
    </row>
    <row r="91" spans="1:41">
      <c r="A91" s="15"/>
      <c r="B91" s="20"/>
      <c r="C91" s="20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9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6"/>
      <c r="AB91" s="15"/>
      <c r="AC91" s="17"/>
      <c r="AD91" s="15"/>
      <c r="AE91" s="15"/>
      <c r="AF91" s="22"/>
      <c r="AG91" s="17"/>
      <c r="AH91" s="17"/>
      <c r="AI91" s="15"/>
      <c r="AJ91" s="17"/>
      <c r="AK91" s="15"/>
      <c r="AN91" s="15">
        <v>3.2863199999999999</v>
      </c>
      <c r="AO91" s="6">
        <v>1</v>
      </c>
    </row>
    <row r="92" spans="1:41">
      <c r="A92" s="15"/>
      <c r="B92" s="20"/>
      <c r="C92" s="20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9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6"/>
      <c r="AB92" s="15"/>
      <c r="AC92" s="17"/>
      <c r="AD92" s="15"/>
      <c r="AE92" s="15"/>
      <c r="AF92" s="22"/>
      <c r="AG92" s="17"/>
      <c r="AH92" s="17"/>
      <c r="AI92" s="15"/>
      <c r="AJ92" s="17"/>
      <c r="AK92" s="15"/>
      <c r="AN92" s="15">
        <v>3.0848800000000001</v>
      </c>
      <c r="AO92" s="6">
        <v>1</v>
      </c>
    </row>
    <row r="93" spans="1:41">
      <c r="A93" s="15"/>
      <c r="B93" s="20"/>
      <c r="C93" s="20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9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6"/>
      <c r="AB93" s="15"/>
      <c r="AC93" s="17"/>
      <c r="AD93" s="15"/>
      <c r="AE93" s="15"/>
      <c r="AF93" s="22"/>
      <c r="AG93" s="17"/>
      <c r="AH93" s="17"/>
      <c r="AI93" s="15"/>
      <c r="AJ93" s="17"/>
      <c r="AK93" s="15"/>
      <c r="AN93" s="15">
        <v>2.9036400000000002</v>
      </c>
      <c r="AO93" s="6">
        <v>1</v>
      </c>
    </row>
    <row r="94" spans="1:41">
      <c r="A94" s="15"/>
      <c r="B94" s="20"/>
      <c r="C94" s="20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9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6"/>
      <c r="AB94" s="15"/>
      <c r="AC94" s="17"/>
      <c r="AD94" s="15"/>
      <c r="AE94" s="15"/>
      <c r="AF94" s="22"/>
      <c r="AG94" s="17"/>
      <c r="AH94" s="17"/>
      <c r="AI94" s="15"/>
      <c r="AJ94" s="17"/>
      <c r="AK94" s="15"/>
      <c r="AL94" s="56"/>
      <c r="AN94" s="15">
        <v>3.7902100000000001</v>
      </c>
      <c r="AO94" s="98">
        <v>1</v>
      </c>
    </row>
    <row r="95" spans="1:41">
      <c r="A95" s="15"/>
      <c r="B95" s="20"/>
      <c r="C95" s="20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9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6"/>
      <c r="AB95" s="15"/>
      <c r="AC95" s="17"/>
      <c r="AD95" s="15"/>
      <c r="AE95" s="15"/>
      <c r="AF95" s="22"/>
      <c r="AG95" s="17"/>
      <c r="AH95" s="17"/>
      <c r="AI95" s="15"/>
      <c r="AJ95" s="17"/>
      <c r="AK95" s="15"/>
      <c r="AN95" s="15">
        <v>3.7658900000000002</v>
      </c>
      <c r="AO95" s="98">
        <v>1</v>
      </c>
    </row>
    <row r="96" spans="1:41">
      <c r="A96" s="15"/>
      <c r="B96" s="20"/>
      <c r="C96" s="20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9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6"/>
      <c r="AB96" s="15"/>
      <c r="AC96" s="17"/>
      <c r="AD96" s="15"/>
      <c r="AE96" s="15"/>
      <c r="AF96" s="22"/>
      <c r="AG96" s="17"/>
      <c r="AH96" s="17"/>
      <c r="AI96" s="15"/>
      <c r="AJ96" s="17"/>
      <c r="AK96" s="15"/>
      <c r="AN96" s="15">
        <v>3.70459</v>
      </c>
      <c r="AO96" s="98">
        <v>1</v>
      </c>
    </row>
    <row r="97" spans="1:41">
      <c r="A97" s="15"/>
      <c r="B97" s="20"/>
      <c r="C97" s="20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9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6"/>
      <c r="AB97" s="15"/>
      <c r="AC97" s="17"/>
      <c r="AD97" s="15"/>
      <c r="AE97" s="15"/>
      <c r="AF97" s="22"/>
      <c r="AG97" s="17"/>
      <c r="AH97" s="17"/>
      <c r="AI97" s="15"/>
      <c r="AJ97" s="17"/>
      <c r="AK97" s="15"/>
      <c r="AN97" s="15">
        <v>3.6599400000000002</v>
      </c>
      <c r="AO97" s="98">
        <v>1</v>
      </c>
    </row>
    <row r="98" spans="1:41">
      <c r="A98" s="15"/>
      <c r="B98" s="20"/>
      <c r="C98" s="20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9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6"/>
      <c r="AB98" s="15"/>
      <c r="AC98" s="17"/>
      <c r="AD98" s="15"/>
      <c r="AE98" s="15"/>
      <c r="AF98" s="22"/>
      <c r="AG98" s="17"/>
      <c r="AH98" s="17"/>
      <c r="AI98" s="15"/>
      <c r="AJ98" s="17"/>
      <c r="AK98" s="15"/>
      <c r="AN98" s="15">
        <v>3.1746099999999999</v>
      </c>
      <c r="AO98" s="6">
        <v>1</v>
      </c>
    </row>
    <row r="99" spans="1:41">
      <c r="A99" s="15"/>
      <c r="B99" s="20"/>
      <c r="C99" s="20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9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6"/>
      <c r="AB99" s="15"/>
      <c r="AC99" s="17"/>
      <c r="AD99" s="15"/>
      <c r="AE99" s="15"/>
      <c r="AF99" s="22"/>
      <c r="AG99" s="17"/>
      <c r="AH99" s="17"/>
      <c r="AI99" s="15"/>
      <c r="AJ99" s="17"/>
      <c r="AK99" s="15"/>
      <c r="AN99" s="15">
        <v>2.76152</v>
      </c>
      <c r="AO99" s="6">
        <v>1</v>
      </c>
    </row>
    <row r="100" spans="1:41">
      <c r="A100" s="31"/>
      <c r="B100" s="32"/>
      <c r="C100" s="32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96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3"/>
      <c r="AB100" s="31"/>
      <c r="AC100" s="34"/>
      <c r="AD100" s="31"/>
      <c r="AE100" s="31"/>
      <c r="AF100" s="35"/>
      <c r="AG100" s="34"/>
      <c r="AH100" s="34"/>
      <c r="AI100" s="31"/>
      <c r="AJ100" s="34"/>
      <c r="AK100" s="31"/>
      <c r="AN100" s="31">
        <v>2.5363099999999998</v>
      </c>
      <c r="AO100" s="6">
        <v>1</v>
      </c>
    </row>
    <row r="101" spans="1:41" ht="13.5" thickBot="1">
      <c r="A101" s="42"/>
      <c r="B101" s="45"/>
      <c r="C101" s="45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97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1"/>
      <c r="AB101" s="42"/>
      <c r="AC101" s="43"/>
      <c r="AD101" s="42"/>
      <c r="AE101" s="42"/>
      <c r="AF101" s="44"/>
      <c r="AG101" s="43"/>
      <c r="AH101" s="43"/>
      <c r="AI101" s="42"/>
      <c r="AJ101" s="43"/>
      <c r="AK101" s="42"/>
      <c r="AN101" s="42">
        <v>2.3448000000000002</v>
      </c>
      <c r="AO101" s="6">
        <v>1</v>
      </c>
    </row>
    <row r="102" spans="1:41">
      <c r="A102" s="36"/>
      <c r="B102" s="37"/>
      <c r="C102" s="37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8"/>
      <c r="AB102" s="36"/>
      <c r="AC102" s="39"/>
      <c r="AD102" s="36"/>
      <c r="AE102" s="36"/>
      <c r="AF102" s="40"/>
      <c r="AG102" s="39"/>
      <c r="AH102" s="39"/>
      <c r="AI102" s="36"/>
      <c r="AJ102" s="39"/>
      <c r="AK102" s="36"/>
      <c r="AL102" s="56"/>
      <c r="AN102" s="36">
        <v>4.1831399999999999</v>
      </c>
    </row>
    <row r="103" spans="1:41">
      <c r="A103" s="15"/>
      <c r="B103" s="20"/>
      <c r="C103" s="20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6"/>
      <c r="AB103" s="15"/>
      <c r="AC103" s="17"/>
      <c r="AD103" s="15"/>
      <c r="AE103" s="15"/>
      <c r="AF103" s="22"/>
      <c r="AG103" s="17"/>
      <c r="AH103" s="17"/>
      <c r="AI103" s="15"/>
      <c r="AJ103" s="17"/>
      <c r="AK103" s="15"/>
    </row>
    <row r="104" spans="1:41">
      <c r="A104" s="15"/>
      <c r="B104" s="20"/>
      <c r="C104" s="20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6"/>
      <c r="AB104" s="15"/>
      <c r="AC104" s="17"/>
      <c r="AD104" s="15"/>
      <c r="AE104" s="15"/>
      <c r="AF104" s="22"/>
      <c r="AG104" s="17"/>
      <c r="AH104" s="17"/>
      <c r="AI104" s="15"/>
      <c r="AJ104" s="17"/>
      <c r="AK104" s="15"/>
    </row>
    <row r="105" spans="1:41">
      <c r="A105" s="15"/>
      <c r="B105" s="20"/>
      <c r="C105" s="20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6"/>
      <c r="AB105" s="15"/>
      <c r="AC105" s="17"/>
      <c r="AD105" s="15"/>
      <c r="AE105" s="15"/>
      <c r="AF105" s="22"/>
      <c r="AG105" s="17"/>
      <c r="AH105" s="17"/>
      <c r="AI105" s="15"/>
      <c r="AJ105" s="17"/>
      <c r="AK105" s="15"/>
    </row>
    <row r="106" spans="1:41">
      <c r="A106" s="15"/>
      <c r="B106" s="20"/>
      <c r="C106" s="20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6"/>
      <c r="AB106" s="15"/>
      <c r="AC106" s="17"/>
      <c r="AD106" s="15"/>
      <c r="AE106" s="15"/>
      <c r="AF106" s="22"/>
      <c r="AG106" s="17"/>
      <c r="AH106" s="17"/>
      <c r="AI106" s="15"/>
      <c r="AJ106" s="17"/>
      <c r="AK106" s="15"/>
    </row>
    <row r="107" spans="1:41">
      <c r="A107" s="15"/>
      <c r="B107" s="20"/>
      <c r="C107" s="20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6"/>
      <c r="AB107" s="15"/>
      <c r="AC107" s="17"/>
      <c r="AD107" s="15"/>
      <c r="AE107" s="15"/>
      <c r="AF107" s="22"/>
      <c r="AG107" s="17"/>
      <c r="AH107" s="17"/>
      <c r="AI107" s="15"/>
      <c r="AJ107" s="17"/>
      <c r="AK107" s="15"/>
    </row>
    <row r="108" spans="1:41">
      <c r="A108" s="15"/>
      <c r="B108" s="20"/>
      <c r="C108" s="20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6"/>
      <c r="AB108" s="15"/>
      <c r="AC108" s="17"/>
      <c r="AD108" s="15"/>
      <c r="AE108" s="15"/>
      <c r="AF108" s="22"/>
      <c r="AG108" s="17"/>
      <c r="AH108" s="17"/>
      <c r="AI108" s="15"/>
      <c r="AJ108" s="17"/>
      <c r="AK108" s="15"/>
    </row>
    <row r="109" spans="1:41">
      <c r="A109" s="15"/>
      <c r="B109" s="20"/>
      <c r="C109" s="20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6"/>
      <c r="AB109" s="15"/>
      <c r="AC109" s="17"/>
      <c r="AD109" s="15"/>
      <c r="AE109" s="15"/>
      <c r="AF109" s="22"/>
      <c r="AG109" s="17"/>
      <c r="AH109" s="17"/>
      <c r="AI109" s="15"/>
      <c r="AJ109" s="17"/>
      <c r="AK109" s="15"/>
    </row>
    <row r="110" spans="1:41">
      <c r="A110" s="15"/>
      <c r="B110" s="20"/>
      <c r="C110" s="20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6"/>
      <c r="AB110" s="15"/>
      <c r="AC110" s="17"/>
      <c r="AD110" s="15"/>
      <c r="AE110" s="15"/>
      <c r="AF110" s="22"/>
      <c r="AG110" s="17"/>
      <c r="AH110" s="17"/>
      <c r="AI110" s="15"/>
      <c r="AJ110" s="17"/>
      <c r="AK110" s="15"/>
      <c r="AL110" s="56"/>
    </row>
    <row r="111" spans="1:41">
      <c r="A111" s="15"/>
      <c r="B111" s="20"/>
      <c r="C111" s="20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6"/>
      <c r="AB111" s="15"/>
      <c r="AC111" s="17"/>
      <c r="AD111" s="15"/>
      <c r="AE111" s="15"/>
      <c r="AF111" s="22"/>
      <c r="AG111" s="17"/>
      <c r="AH111" s="17"/>
      <c r="AI111" s="15"/>
      <c r="AJ111" s="17"/>
      <c r="AK111" s="15"/>
    </row>
    <row r="112" spans="1:41">
      <c r="A112" s="15"/>
      <c r="B112" s="20"/>
      <c r="C112" s="20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6"/>
      <c r="AB112" s="15"/>
      <c r="AC112" s="17"/>
      <c r="AD112" s="15"/>
      <c r="AE112" s="15"/>
      <c r="AF112" s="22"/>
      <c r="AG112" s="17"/>
      <c r="AH112" s="17"/>
      <c r="AI112" s="15"/>
      <c r="AJ112" s="17"/>
      <c r="AK112" s="15"/>
    </row>
    <row r="113" spans="1:38">
      <c r="A113" s="15"/>
      <c r="B113" s="20"/>
      <c r="C113" s="20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6"/>
      <c r="AB113" s="15"/>
      <c r="AC113" s="17"/>
      <c r="AD113" s="15"/>
      <c r="AE113" s="15"/>
      <c r="AF113" s="22"/>
      <c r="AG113" s="17"/>
      <c r="AH113" s="17"/>
      <c r="AI113" s="15"/>
      <c r="AJ113" s="17"/>
      <c r="AK113" s="15"/>
    </row>
    <row r="114" spans="1:38">
      <c r="A114" s="15"/>
      <c r="B114" s="20"/>
      <c r="C114" s="20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6"/>
      <c r="AB114" s="15"/>
      <c r="AC114" s="17"/>
      <c r="AD114" s="15"/>
      <c r="AE114" s="15"/>
      <c r="AF114" s="22"/>
      <c r="AG114" s="17"/>
      <c r="AH114" s="17"/>
      <c r="AI114" s="15"/>
      <c r="AJ114" s="17"/>
      <c r="AK114" s="15"/>
    </row>
    <row r="115" spans="1:38">
      <c r="A115" s="15"/>
      <c r="B115" s="20"/>
      <c r="C115" s="20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6"/>
      <c r="AB115" s="15"/>
      <c r="AC115" s="17"/>
      <c r="AD115" s="15"/>
      <c r="AE115" s="15"/>
      <c r="AF115" s="22"/>
      <c r="AG115" s="17"/>
      <c r="AH115" s="17"/>
      <c r="AI115" s="15"/>
      <c r="AJ115" s="17"/>
      <c r="AK115" s="15"/>
    </row>
    <row r="116" spans="1:38">
      <c r="A116" s="15"/>
      <c r="B116" s="20"/>
      <c r="C116" s="20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6"/>
      <c r="AB116" s="15"/>
      <c r="AC116" s="17"/>
      <c r="AD116" s="15"/>
      <c r="AE116" s="15"/>
      <c r="AF116" s="22"/>
      <c r="AG116" s="17"/>
      <c r="AH116" s="17"/>
      <c r="AI116" s="15"/>
      <c r="AJ116" s="17"/>
      <c r="AK116" s="15"/>
    </row>
    <row r="117" spans="1:38">
      <c r="A117" s="15"/>
      <c r="B117" s="20"/>
      <c r="C117" s="20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6"/>
      <c r="AB117" s="15"/>
      <c r="AC117" s="17"/>
      <c r="AD117" s="15"/>
      <c r="AE117" s="15"/>
      <c r="AF117" s="22"/>
      <c r="AG117" s="17"/>
      <c r="AH117" s="17"/>
      <c r="AI117" s="15"/>
      <c r="AJ117" s="17"/>
      <c r="AK117" s="15"/>
    </row>
    <row r="118" spans="1:38">
      <c r="A118" s="15"/>
      <c r="B118" s="20"/>
      <c r="C118" s="20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6"/>
      <c r="AB118" s="15"/>
      <c r="AC118" s="17"/>
      <c r="AD118" s="15"/>
      <c r="AE118" s="15"/>
      <c r="AF118" s="22"/>
      <c r="AG118" s="17"/>
      <c r="AH118" s="17"/>
      <c r="AI118" s="15"/>
      <c r="AJ118" s="17"/>
      <c r="AK118" s="15"/>
      <c r="AL118" s="56"/>
    </row>
    <row r="119" spans="1:38">
      <c r="A119" s="15"/>
      <c r="B119" s="20"/>
      <c r="C119" s="20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6"/>
      <c r="AB119" s="15"/>
      <c r="AC119" s="17"/>
      <c r="AD119" s="15"/>
      <c r="AE119" s="15"/>
      <c r="AF119" s="22"/>
      <c r="AG119" s="17"/>
      <c r="AH119" s="17"/>
      <c r="AI119" s="15"/>
      <c r="AJ119" s="17"/>
      <c r="AK119" s="15"/>
    </row>
    <row r="120" spans="1:38">
      <c r="A120" s="15"/>
      <c r="B120" s="20"/>
      <c r="C120" s="20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6"/>
      <c r="AB120" s="15"/>
      <c r="AC120" s="17"/>
      <c r="AD120" s="15"/>
      <c r="AE120" s="15"/>
      <c r="AF120" s="22"/>
      <c r="AG120" s="17"/>
      <c r="AH120" s="17"/>
      <c r="AI120" s="15"/>
      <c r="AJ120" s="17"/>
      <c r="AK120" s="15"/>
    </row>
    <row r="121" spans="1:38">
      <c r="A121" s="15"/>
      <c r="B121" s="20"/>
      <c r="C121" s="20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6"/>
      <c r="AB121" s="15"/>
      <c r="AC121" s="17"/>
      <c r="AD121" s="15"/>
      <c r="AE121" s="15"/>
      <c r="AF121" s="22"/>
      <c r="AG121" s="17"/>
      <c r="AH121" s="17"/>
      <c r="AI121" s="15"/>
      <c r="AJ121" s="17"/>
      <c r="AK121" s="15"/>
    </row>
    <row r="122" spans="1:38">
      <c r="A122" s="15"/>
      <c r="B122" s="20"/>
      <c r="C122" s="20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6"/>
      <c r="AB122" s="15"/>
      <c r="AC122" s="17"/>
      <c r="AD122" s="15"/>
      <c r="AE122" s="15"/>
      <c r="AF122" s="22"/>
      <c r="AG122" s="17"/>
      <c r="AH122" s="17"/>
      <c r="AI122" s="15"/>
      <c r="AJ122" s="17"/>
      <c r="AK122" s="15"/>
    </row>
    <row r="123" spans="1:38">
      <c r="A123" s="15"/>
      <c r="B123" s="20"/>
      <c r="C123" s="20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6"/>
      <c r="AB123" s="15"/>
      <c r="AC123" s="17"/>
      <c r="AD123" s="15"/>
      <c r="AE123" s="15"/>
      <c r="AF123" s="22"/>
      <c r="AG123" s="17"/>
      <c r="AH123" s="17"/>
      <c r="AI123" s="15"/>
      <c r="AJ123" s="17"/>
      <c r="AK123" s="15"/>
    </row>
    <row r="124" spans="1:38">
      <c r="A124" s="15"/>
      <c r="B124" s="20"/>
      <c r="C124" s="20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6"/>
      <c r="AB124" s="15"/>
      <c r="AC124" s="17"/>
      <c r="AD124" s="15"/>
      <c r="AE124" s="15"/>
      <c r="AF124" s="22"/>
      <c r="AG124" s="17"/>
      <c r="AH124" s="17"/>
      <c r="AI124" s="15"/>
      <c r="AJ124" s="17"/>
      <c r="AK124" s="15"/>
    </row>
    <row r="125" spans="1:38">
      <c r="A125" s="15"/>
      <c r="B125" s="20"/>
      <c r="C125" s="20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6"/>
      <c r="AB125" s="15"/>
      <c r="AC125" s="17"/>
      <c r="AD125" s="15"/>
      <c r="AE125" s="15"/>
      <c r="AF125" s="22"/>
      <c r="AG125" s="17"/>
      <c r="AH125" s="17"/>
      <c r="AI125" s="15"/>
      <c r="AJ125" s="17"/>
      <c r="AK125" s="15"/>
    </row>
    <row r="126" spans="1:38">
      <c r="A126" s="15"/>
      <c r="B126" s="20"/>
      <c r="C126" s="20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6"/>
      <c r="AB126" s="15"/>
      <c r="AC126" s="17"/>
      <c r="AD126" s="15"/>
      <c r="AE126" s="15"/>
      <c r="AF126" s="24"/>
      <c r="AG126" s="17"/>
      <c r="AH126" s="17"/>
      <c r="AI126" s="15"/>
      <c r="AJ126" s="17"/>
      <c r="AK126" s="15"/>
      <c r="AL126" s="56"/>
    </row>
    <row r="127" spans="1:38">
      <c r="A127" s="15"/>
      <c r="B127" s="20"/>
      <c r="C127" s="20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6"/>
      <c r="AB127" s="15"/>
      <c r="AC127" s="17"/>
      <c r="AD127" s="15"/>
      <c r="AE127" s="15"/>
      <c r="AF127" s="22"/>
      <c r="AG127" s="17"/>
      <c r="AH127" s="17"/>
      <c r="AI127" s="15"/>
      <c r="AJ127" s="17"/>
      <c r="AK127" s="15"/>
    </row>
    <row r="128" spans="1:38">
      <c r="A128" s="15"/>
      <c r="B128" s="20"/>
      <c r="C128" s="20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6"/>
      <c r="AB128" s="15"/>
      <c r="AC128" s="17"/>
      <c r="AD128" s="15"/>
      <c r="AE128" s="15"/>
      <c r="AF128" s="22"/>
      <c r="AG128" s="17"/>
      <c r="AH128" s="17"/>
      <c r="AI128" s="15"/>
      <c r="AJ128" s="17"/>
      <c r="AK128" s="15"/>
    </row>
    <row r="129" spans="1:38">
      <c r="A129" s="15"/>
      <c r="B129" s="20"/>
      <c r="C129" s="20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6"/>
      <c r="AB129" s="15"/>
      <c r="AC129" s="17"/>
      <c r="AD129" s="15"/>
      <c r="AE129" s="15"/>
      <c r="AF129" s="22"/>
      <c r="AG129" s="17"/>
      <c r="AH129" s="17"/>
      <c r="AI129" s="15"/>
      <c r="AJ129" s="17"/>
      <c r="AK129" s="15"/>
    </row>
    <row r="130" spans="1:38">
      <c r="A130" s="15"/>
      <c r="B130" s="20"/>
      <c r="C130" s="20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6"/>
      <c r="AB130" s="15"/>
      <c r="AC130" s="17"/>
      <c r="AD130" s="15"/>
      <c r="AE130" s="15"/>
      <c r="AF130" s="22"/>
      <c r="AG130" s="17"/>
      <c r="AH130" s="17"/>
      <c r="AI130" s="15"/>
      <c r="AJ130" s="17"/>
      <c r="AK130" s="15"/>
    </row>
    <row r="131" spans="1:38">
      <c r="A131" s="15"/>
      <c r="B131" s="20"/>
      <c r="C131" s="20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6"/>
      <c r="AB131" s="15"/>
      <c r="AC131" s="17"/>
      <c r="AD131" s="15"/>
      <c r="AE131" s="15"/>
      <c r="AF131" s="22"/>
      <c r="AG131" s="17"/>
      <c r="AH131" s="17"/>
      <c r="AI131" s="15"/>
      <c r="AJ131" s="17"/>
      <c r="AK131" s="15"/>
    </row>
    <row r="132" spans="1:38">
      <c r="A132" s="15"/>
      <c r="B132" s="20"/>
      <c r="C132" s="20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6"/>
      <c r="AB132" s="15"/>
      <c r="AC132" s="17"/>
      <c r="AD132" s="15"/>
      <c r="AE132" s="15"/>
      <c r="AF132" s="22"/>
      <c r="AG132" s="17"/>
      <c r="AH132" s="17"/>
      <c r="AI132" s="15"/>
      <c r="AJ132" s="17"/>
      <c r="AK132" s="15"/>
    </row>
    <row r="133" spans="1:38">
      <c r="A133" s="15"/>
      <c r="B133" s="20"/>
      <c r="C133" s="20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6"/>
      <c r="AB133" s="15"/>
      <c r="AC133" s="17"/>
      <c r="AD133" s="15"/>
      <c r="AE133" s="15"/>
      <c r="AF133" s="22"/>
      <c r="AG133" s="17"/>
      <c r="AH133" s="17"/>
      <c r="AI133" s="15"/>
      <c r="AJ133" s="17"/>
      <c r="AK133" s="15"/>
    </row>
    <row r="134" spans="1:38">
      <c r="A134" s="15"/>
      <c r="B134" s="20"/>
      <c r="C134" s="20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6"/>
      <c r="AB134" s="15"/>
      <c r="AC134" s="17"/>
      <c r="AD134" s="15"/>
      <c r="AE134" s="15"/>
      <c r="AF134" s="22"/>
      <c r="AG134" s="17"/>
      <c r="AH134" s="17"/>
      <c r="AI134" s="15"/>
      <c r="AJ134" s="17"/>
      <c r="AK134" s="15"/>
      <c r="AL134" s="56"/>
    </row>
    <row r="135" spans="1:38">
      <c r="A135" s="15"/>
      <c r="B135" s="20"/>
      <c r="C135" s="20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6"/>
      <c r="AB135" s="15"/>
      <c r="AC135" s="17"/>
      <c r="AD135" s="15"/>
      <c r="AE135" s="15"/>
      <c r="AF135" s="22"/>
      <c r="AG135" s="17"/>
      <c r="AH135" s="17"/>
      <c r="AI135" s="15"/>
      <c r="AJ135" s="17"/>
      <c r="AK135" s="15"/>
    </row>
    <row r="136" spans="1:38">
      <c r="A136" s="15"/>
      <c r="B136" s="20"/>
      <c r="C136" s="20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6"/>
      <c r="AB136" s="15"/>
      <c r="AC136" s="17"/>
      <c r="AD136" s="15"/>
      <c r="AE136" s="15"/>
      <c r="AF136" s="22"/>
      <c r="AG136" s="17"/>
      <c r="AH136" s="17"/>
      <c r="AI136" s="15"/>
      <c r="AJ136" s="17"/>
      <c r="AK136" s="15"/>
    </row>
    <row r="137" spans="1:38">
      <c r="A137" s="15"/>
      <c r="B137" s="20"/>
      <c r="C137" s="20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6"/>
      <c r="AB137" s="15"/>
      <c r="AC137" s="17"/>
      <c r="AD137" s="15"/>
      <c r="AE137" s="15"/>
      <c r="AF137" s="22"/>
      <c r="AG137" s="17"/>
      <c r="AH137" s="17"/>
      <c r="AI137" s="15"/>
      <c r="AJ137" s="17"/>
      <c r="AK137" s="15"/>
    </row>
    <row r="138" spans="1:38">
      <c r="A138" s="15"/>
      <c r="B138" s="20"/>
      <c r="C138" s="20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6"/>
      <c r="AB138" s="15"/>
      <c r="AC138" s="17"/>
      <c r="AD138" s="15"/>
      <c r="AE138" s="15"/>
      <c r="AF138" s="22"/>
      <c r="AG138" s="17"/>
      <c r="AH138" s="17"/>
      <c r="AI138" s="15"/>
      <c r="AJ138" s="17"/>
      <c r="AK138" s="15"/>
    </row>
    <row r="139" spans="1:38">
      <c r="A139" s="15"/>
      <c r="B139" s="20"/>
      <c r="C139" s="20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6"/>
      <c r="AB139" s="15"/>
      <c r="AC139" s="17"/>
      <c r="AD139" s="15"/>
      <c r="AE139" s="15"/>
      <c r="AF139" s="22"/>
      <c r="AG139" s="17"/>
      <c r="AH139" s="17"/>
      <c r="AI139" s="15"/>
      <c r="AJ139" s="17"/>
      <c r="AK139" s="15"/>
    </row>
    <row r="140" spans="1:38">
      <c r="A140" s="15"/>
      <c r="B140" s="20"/>
      <c r="C140" s="20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6"/>
      <c r="AB140" s="15"/>
      <c r="AC140" s="17"/>
      <c r="AD140" s="15"/>
      <c r="AE140" s="15"/>
      <c r="AF140" s="22"/>
      <c r="AG140" s="17"/>
      <c r="AH140" s="17"/>
      <c r="AI140" s="15"/>
      <c r="AJ140" s="17"/>
      <c r="AK140" s="15"/>
    </row>
    <row r="141" spans="1:38">
      <c r="A141" s="15"/>
      <c r="B141" s="20"/>
      <c r="C141" s="20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6"/>
      <c r="AB141" s="15"/>
      <c r="AC141" s="17"/>
      <c r="AD141" s="15"/>
      <c r="AE141" s="15"/>
      <c r="AF141" s="22"/>
      <c r="AG141" s="17"/>
      <c r="AH141" s="17"/>
      <c r="AI141" s="15"/>
      <c r="AJ141" s="17"/>
      <c r="AK141" s="15"/>
    </row>
    <row r="142" spans="1:38">
      <c r="A142" s="15"/>
      <c r="B142" s="20"/>
      <c r="C142" s="20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6"/>
      <c r="AB142" s="15"/>
      <c r="AC142" s="17"/>
      <c r="AD142" s="15"/>
      <c r="AE142" s="15"/>
      <c r="AF142" s="22"/>
      <c r="AG142" s="17"/>
      <c r="AH142" s="17"/>
      <c r="AI142" s="15"/>
      <c r="AJ142" s="17"/>
      <c r="AK142" s="15"/>
      <c r="AL142" s="56"/>
    </row>
    <row r="143" spans="1:38">
      <c r="A143" s="15"/>
      <c r="B143" s="20"/>
      <c r="C143" s="20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6"/>
      <c r="AB143" s="15"/>
      <c r="AC143" s="17"/>
      <c r="AD143" s="15"/>
      <c r="AE143" s="15"/>
      <c r="AF143" s="22"/>
      <c r="AG143" s="17"/>
      <c r="AH143" s="17"/>
      <c r="AI143" s="15"/>
      <c r="AJ143" s="17"/>
      <c r="AK143" s="15"/>
    </row>
    <row r="144" spans="1:38">
      <c r="A144" s="15"/>
      <c r="B144" s="20"/>
      <c r="C144" s="20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6"/>
      <c r="AB144" s="15"/>
      <c r="AC144" s="17"/>
      <c r="AD144" s="15"/>
      <c r="AE144" s="15"/>
      <c r="AF144" s="22"/>
      <c r="AG144" s="17"/>
      <c r="AH144" s="17"/>
      <c r="AI144" s="15"/>
      <c r="AJ144" s="17"/>
      <c r="AK144" s="15"/>
    </row>
    <row r="145" spans="1:38">
      <c r="A145" s="15"/>
      <c r="B145" s="20"/>
      <c r="C145" s="20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6"/>
      <c r="AB145" s="15"/>
      <c r="AC145" s="17"/>
      <c r="AD145" s="15"/>
      <c r="AE145" s="15"/>
      <c r="AF145" s="22"/>
      <c r="AG145" s="17"/>
      <c r="AH145" s="17"/>
      <c r="AI145" s="15"/>
      <c r="AJ145" s="17"/>
      <c r="AK145" s="15"/>
    </row>
    <row r="146" spans="1:38">
      <c r="A146" s="15"/>
      <c r="B146" s="20"/>
      <c r="C146" s="20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6"/>
      <c r="AB146" s="15"/>
      <c r="AC146" s="17"/>
      <c r="AD146" s="15"/>
      <c r="AE146" s="15"/>
      <c r="AF146" s="22"/>
      <c r="AG146" s="17"/>
      <c r="AH146" s="17"/>
      <c r="AI146" s="15"/>
      <c r="AJ146" s="17"/>
      <c r="AK146" s="15"/>
    </row>
    <row r="147" spans="1:38">
      <c r="A147" s="15"/>
      <c r="B147" s="20"/>
      <c r="C147" s="20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6"/>
      <c r="AB147" s="15"/>
      <c r="AC147" s="17"/>
      <c r="AD147" s="15"/>
      <c r="AE147" s="15"/>
      <c r="AF147" s="22"/>
      <c r="AG147" s="17"/>
      <c r="AH147" s="17"/>
      <c r="AI147" s="15"/>
      <c r="AJ147" s="17"/>
      <c r="AK147" s="15"/>
    </row>
    <row r="148" spans="1:38">
      <c r="A148" s="15"/>
      <c r="B148" s="20"/>
      <c r="C148" s="20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6"/>
      <c r="AB148" s="15"/>
      <c r="AC148" s="17"/>
      <c r="AD148" s="15"/>
      <c r="AE148" s="15"/>
      <c r="AF148" s="22"/>
      <c r="AG148" s="17"/>
      <c r="AH148" s="17"/>
      <c r="AI148" s="15"/>
      <c r="AJ148" s="17"/>
      <c r="AK148" s="15"/>
    </row>
    <row r="149" spans="1:38">
      <c r="A149" s="15"/>
      <c r="B149" s="20"/>
      <c r="C149" s="20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6"/>
      <c r="AB149" s="15"/>
      <c r="AC149" s="17"/>
      <c r="AD149" s="15"/>
      <c r="AE149" s="15"/>
      <c r="AF149" s="22"/>
      <c r="AG149" s="17"/>
      <c r="AH149" s="17"/>
      <c r="AI149" s="15"/>
      <c r="AJ149" s="17"/>
      <c r="AK149" s="15"/>
    </row>
    <row r="150" spans="1:38">
      <c r="A150" s="15"/>
      <c r="B150" s="20"/>
      <c r="C150" s="20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6"/>
      <c r="AB150" s="15"/>
      <c r="AC150" s="17"/>
      <c r="AD150" s="15"/>
      <c r="AE150" s="15"/>
      <c r="AF150" s="22"/>
      <c r="AG150" s="17"/>
      <c r="AH150" s="17"/>
      <c r="AI150" s="15"/>
      <c r="AJ150" s="17"/>
      <c r="AK150" s="15"/>
      <c r="AL150" s="56"/>
    </row>
    <row r="151" spans="1:38">
      <c r="A151" s="15"/>
      <c r="B151" s="20"/>
      <c r="C151" s="20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6"/>
      <c r="AB151" s="15"/>
      <c r="AC151" s="17"/>
      <c r="AD151" s="15"/>
      <c r="AE151" s="15"/>
      <c r="AF151" s="22"/>
      <c r="AG151" s="17"/>
      <c r="AH151" s="17"/>
      <c r="AI151" s="15"/>
      <c r="AJ151" s="17"/>
      <c r="AK151" s="15"/>
    </row>
    <row r="152" spans="1:38">
      <c r="A152" s="15"/>
      <c r="B152" s="20"/>
      <c r="C152" s="20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6"/>
      <c r="AB152" s="15"/>
      <c r="AC152" s="17"/>
      <c r="AD152" s="15"/>
      <c r="AE152" s="15"/>
      <c r="AF152" s="22"/>
      <c r="AG152" s="17"/>
      <c r="AH152" s="17"/>
      <c r="AI152" s="15"/>
      <c r="AJ152" s="17"/>
      <c r="AK152" s="15"/>
    </row>
    <row r="153" spans="1:38">
      <c r="A153" s="15"/>
      <c r="B153" s="20"/>
      <c r="C153" s="20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6"/>
      <c r="AB153" s="15"/>
      <c r="AC153" s="17"/>
      <c r="AD153" s="15"/>
      <c r="AE153" s="15"/>
      <c r="AF153" s="22"/>
      <c r="AG153" s="17"/>
      <c r="AH153" s="17"/>
      <c r="AI153" s="15"/>
      <c r="AJ153" s="17"/>
      <c r="AK153" s="15"/>
    </row>
    <row r="154" spans="1:38">
      <c r="A154" s="15"/>
      <c r="B154" s="20"/>
      <c r="C154" s="20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6"/>
      <c r="AB154" s="15"/>
      <c r="AC154" s="17"/>
      <c r="AD154" s="15"/>
      <c r="AE154" s="15"/>
      <c r="AF154" s="22"/>
      <c r="AG154" s="17"/>
      <c r="AH154" s="17"/>
      <c r="AI154" s="15"/>
      <c r="AJ154" s="17"/>
      <c r="AK154" s="15"/>
    </row>
    <row r="155" spans="1:38">
      <c r="A155" s="15"/>
      <c r="B155" s="20"/>
      <c r="C155" s="20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6"/>
      <c r="AB155" s="15"/>
      <c r="AC155" s="17"/>
      <c r="AD155" s="15"/>
      <c r="AE155" s="15"/>
      <c r="AF155" s="22"/>
      <c r="AG155" s="17"/>
      <c r="AH155" s="17"/>
      <c r="AI155" s="15"/>
      <c r="AJ155" s="17"/>
      <c r="AK155" s="15"/>
    </row>
    <row r="156" spans="1:38">
      <c r="A156" s="15"/>
      <c r="B156" s="20"/>
      <c r="C156" s="20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6"/>
      <c r="AB156" s="15"/>
      <c r="AC156" s="17"/>
      <c r="AD156" s="15"/>
      <c r="AE156" s="15"/>
      <c r="AF156" s="22"/>
      <c r="AG156" s="17"/>
      <c r="AH156" s="17"/>
      <c r="AI156" s="15"/>
      <c r="AJ156" s="17"/>
      <c r="AK156" s="15"/>
    </row>
    <row r="157" spans="1:38">
      <c r="A157" s="15"/>
      <c r="B157" s="20"/>
      <c r="C157" s="20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6"/>
      <c r="AB157" s="15"/>
      <c r="AC157" s="17"/>
      <c r="AD157" s="15"/>
      <c r="AE157" s="15"/>
      <c r="AF157" s="22"/>
      <c r="AG157" s="17"/>
      <c r="AH157" s="17"/>
      <c r="AI157" s="15"/>
      <c r="AJ157" s="17"/>
      <c r="AK157" s="15"/>
    </row>
    <row r="158" spans="1:38">
      <c r="A158" s="15"/>
      <c r="B158" s="20"/>
      <c r="C158" s="20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6"/>
      <c r="AB158" s="15"/>
      <c r="AC158" s="17"/>
      <c r="AD158" s="15"/>
      <c r="AE158" s="15"/>
      <c r="AF158" s="22"/>
      <c r="AG158" s="17"/>
      <c r="AH158" s="17"/>
      <c r="AI158" s="15"/>
      <c r="AJ158" s="17"/>
      <c r="AK158" s="15"/>
      <c r="AL158" s="56"/>
    </row>
    <row r="159" spans="1:38">
      <c r="A159" s="15"/>
      <c r="B159" s="20"/>
      <c r="C159" s="20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6"/>
      <c r="AB159" s="15"/>
      <c r="AC159" s="17"/>
      <c r="AD159" s="15"/>
      <c r="AE159" s="15"/>
      <c r="AF159" s="22"/>
      <c r="AG159" s="17"/>
      <c r="AH159" s="17"/>
      <c r="AI159" s="15"/>
      <c r="AJ159" s="17"/>
      <c r="AK159" s="15"/>
    </row>
    <row r="160" spans="1:38">
      <c r="A160" s="15"/>
      <c r="B160" s="20"/>
      <c r="C160" s="20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6"/>
      <c r="AB160" s="15"/>
      <c r="AC160" s="17"/>
      <c r="AD160" s="15"/>
      <c r="AE160" s="15"/>
      <c r="AF160" s="22"/>
      <c r="AG160" s="17"/>
      <c r="AH160" s="17"/>
      <c r="AI160" s="15"/>
      <c r="AJ160" s="17"/>
      <c r="AK160" s="15"/>
    </row>
    <row r="161" spans="1:38">
      <c r="A161" s="15"/>
      <c r="B161" s="20"/>
      <c r="C161" s="20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6"/>
      <c r="AB161" s="15"/>
      <c r="AC161" s="17"/>
      <c r="AD161" s="15"/>
      <c r="AE161" s="15"/>
      <c r="AF161" s="22"/>
      <c r="AG161" s="17"/>
      <c r="AH161" s="17"/>
      <c r="AI161" s="15"/>
      <c r="AJ161" s="17"/>
      <c r="AK161" s="15"/>
    </row>
    <row r="162" spans="1:38">
      <c r="A162" s="15"/>
      <c r="B162" s="20"/>
      <c r="C162" s="20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6"/>
      <c r="AB162" s="15"/>
      <c r="AC162" s="17"/>
      <c r="AD162" s="15"/>
      <c r="AE162" s="15"/>
      <c r="AF162" s="22"/>
      <c r="AG162" s="17"/>
      <c r="AH162" s="17"/>
      <c r="AI162" s="15"/>
      <c r="AJ162" s="17"/>
      <c r="AK162" s="15"/>
    </row>
    <row r="163" spans="1:38">
      <c r="A163" s="15"/>
      <c r="B163" s="20"/>
      <c r="C163" s="20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6"/>
      <c r="AB163" s="15"/>
      <c r="AC163" s="17"/>
      <c r="AD163" s="15"/>
      <c r="AE163" s="15"/>
      <c r="AF163" s="22"/>
      <c r="AG163" s="17"/>
      <c r="AH163" s="17"/>
      <c r="AI163" s="15"/>
      <c r="AJ163" s="17"/>
      <c r="AK163" s="15"/>
    </row>
    <row r="164" spans="1:38">
      <c r="A164" s="15"/>
      <c r="B164" s="20"/>
      <c r="C164" s="20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6"/>
      <c r="AB164" s="15"/>
      <c r="AC164" s="17"/>
      <c r="AD164" s="15"/>
      <c r="AE164" s="15"/>
      <c r="AF164" s="22"/>
      <c r="AG164" s="17"/>
      <c r="AH164" s="17"/>
      <c r="AI164" s="15"/>
      <c r="AJ164" s="17"/>
      <c r="AK164" s="15"/>
    </row>
    <row r="165" spans="1:38">
      <c r="A165" s="15"/>
      <c r="B165" s="20"/>
      <c r="C165" s="20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6"/>
      <c r="AB165" s="15"/>
      <c r="AC165" s="17"/>
      <c r="AD165" s="15"/>
      <c r="AE165" s="15"/>
      <c r="AF165" s="22"/>
      <c r="AG165" s="17"/>
      <c r="AH165" s="17"/>
      <c r="AI165" s="15"/>
      <c r="AJ165" s="17"/>
      <c r="AK165" s="15"/>
    </row>
    <row r="166" spans="1:38">
      <c r="A166" s="15"/>
      <c r="B166" s="20"/>
      <c r="C166" s="20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6"/>
      <c r="AB166" s="15"/>
      <c r="AC166" s="17"/>
      <c r="AD166" s="15"/>
      <c r="AE166" s="15"/>
      <c r="AF166" s="22"/>
      <c r="AG166" s="17"/>
      <c r="AH166" s="17"/>
      <c r="AI166" s="15"/>
      <c r="AJ166" s="17"/>
      <c r="AK166" s="15"/>
      <c r="AL166" s="56"/>
    </row>
    <row r="167" spans="1:38">
      <c r="A167" s="15"/>
      <c r="B167" s="20"/>
      <c r="C167" s="20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6"/>
      <c r="AB167" s="15"/>
      <c r="AC167" s="17"/>
      <c r="AD167" s="15"/>
      <c r="AE167" s="15"/>
      <c r="AF167" s="22"/>
      <c r="AG167" s="17"/>
      <c r="AH167" s="17"/>
      <c r="AI167" s="15"/>
      <c r="AJ167" s="17"/>
      <c r="AK167" s="15"/>
    </row>
    <row r="168" spans="1:38">
      <c r="A168" s="15"/>
      <c r="B168" s="20"/>
      <c r="C168" s="20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6"/>
      <c r="AB168" s="15"/>
      <c r="AC168" s="17"/>
      <c r="AD168" s="15"/>
      <c r="AE168" s="15"/>
      <c r="AF168" s="22"/>
      <c r="AG168" s="17"/>
      <c r="AH168" s="17"/>
      <c r="AI168" s="15"/>
      <c r="AJ168" s="17"/>
      <c r="AK168" s="15"/>
    </row>
    <row r="169" spans="1:38">
      <c r="A169" s="15"/>
      <c r="B169" s="20"/>
      <c r="C169" s="20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6"/>
      <c r="AB169" s="15"/>
      <c r="AC169" s="17"/>
      <c r="AD169" s="15"/>
      <c r="AE169" s="15"/>
      <c r="AF169" s="22"/>
      <c r="AG169" s="17"/>
      <c r="AH169" s="17"/>
      <c r="AI169" s="15"/>
      <c r="AJ169" s="17"/>
      <c r="AK169" s="15"/>
    </row>
    <row r="170" spans="1:38">
      <c r="A170" s="15"/>
      <c r="B170" s="20"/>
      <c r="C170" s="20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6"/>
      <c r="AB170" s="15"/>
      <c r="AC170" s="17"/>
      <c r="AD170" s="15"/>
      <c r="AE170" s="15"/>
      <c r="AF170" s="22"/>
      <c r="AG170" s="17"/>
      <c r="AH170" s="17"/>
      <c r="AI170" s="15"/>
      <c r="AJ170" s="17"/>
      <c r="AK170" s="15"/>
    </row>
    <row r="171" spans="1:38">
      <c r="A171" s="15"/>
      <c r="B171" s="20"/>
      <c r="C171" s="20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6"/>
      <c r="AB171" s="15"/>
      <c r="AC171" s="17"/>
      <c r="AD171" s="15"/>
      <c r="AE171" s="15"/>
      <c r="AF171" s="22"/>
      <c r="AG171" s="17"/>
      <c r="AH171" s="17"/>
      <c r="AI171" s="15"/>
      <c r="AJ171" s="17"/>
      <c r="AK171" s="15"/>
    </row>
    <row r="172" spans="1:38">
      <c r="A172" s="15"/>
      <c r="B172" s="20"/>
      <c r="C172" s="20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6"/>
      <c r="AB172" s="15"/>
      <c r="AC172" s="17"/>
      <c r="AD172" s="15"/>
      <c r="AE172" s="15"/>
      <c r="AF172" s="22"/>
      <c r="AG172" s="17"/>
      <c r="AH172" s="17"/>
      <c r="AI172" s="15"/>
      <c r="AJ172" s="17"/>
      <c r="AK172" s="15"/>
    </row>
    <row r="173" spans="1:38">
      <c r="A173" s="15"/>
      <c r="B173" s="20"/>
      <c r="C173" s="20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6"/>
      <c r="AB173" s="15"/>
      <c r="AC173" s="17"/>
      <c r="AD173" s="15"/>
      <c r="AE173" s="15"/>
      <c r="AF173" s="22"/>
      <c r="AG173" s="17"/>
      <c r="AH173" s="17"/>
      <c r="AI173" s="15"/>
      <c r="AJ173" s="17"/>
      <c r="AK173" s="15"/>
    </row>
    <row r="174" spans="1:38">
      <c r="A174" s="15"/>
      <c r="B174" s="20"/>
      <c r="C174" s="20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6"/>
      <c r="AB174" s="15"/>
      <c r="AC174" s="17"/>
      <c r="AD174" s="15"/>
      <c r="AE174" s="15"/>
      <c r="AF174" s="22"/>
      <c r="AG174" s="17"/>
      <c r="AH174" s="17"/>
      <c r="AI174" s="15"/>
      <c r="AJ174" s="17"/>
      <c r="AK174" s="15"/>
      <c r="AL174" s="56"/>
    </row>
    <row r="175" spans="1:38">
      <c r="A175" s="15"/>
      <c r="B175" s="20"/>
      <c r="C175" s="20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6"/>
      <c r="AB175" s="15"/>
      <c r="AC175" s="17"/>
      <c r="AD175" s="15"/>
      <c r="AE175" s="15"/>
      <c r="AF175" s="22"/>
      <c r="AG175" s="17"/>
      <c r="AH175" s="17"/>
      <c r="AI175" s="15"/>
      <c r="AJ175" s="17"/>
      <c r="AK175" s="15"/>
    </row>
    <row r="176" spans="1:38">
      <c r="A176" s="15"/>
      <c r="B176" s="20"/>
      <c r="C176" s="20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6"/>
      <c r="AB176" s="15"/>
      <c r="AC176" s="17"/>
      <c r="AD176" s="15"/>
      <c r="AE176" s="15"/>
      <c r="AF176" s="22"/>
      <c r="AG176" s="17"/>
      <c r="AH176" s="17"/>
      <c r="AI176" s="15"/>
      <c r="AJ176" s="17"/>
      <c r="AK176" s="15"/>
    </row>
    <row r="177" spans="1:38">
      <c r="A177" s="15"/>
      <c r="B177" s="20"/>
      <c r="C177" s="20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6"/>
      <c r="AB177" s="15"/>
      <c r="AC177" s="17"/>
      <c r="AD177" s="15"/>
      <c r="AE177" s="15"/>
      <c r="AF177" s="22"/>
      <c r="AG177" s="17"/>
      <c r="AH177" s="17"/>
      <c r="AI177" s="15"/>
      <c r="AJ177" s="17"/>
      <c r="AK177" s="15"/>
    </row>
    <row r="178" spans="1:38">
      <c r="A178" s="15"/>
      <c r="B178" s="20"/>
      <c r="C178" s="20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6"/>
      <c r="AB178" s="15"/>
      <c r="AC178" s="17"/>
      <c r="AD178" s="15"/>
      <c r="AE178" s="15"/>
      <c r="AF178" s="22"/>
      <c r="AG178" s="17"/>
      <c r="AH178" s="17"/>
      <c r="AI178" s="15"/>
      <c r="AJ178" s="17"/>
      <c r="AK178" s="15"/>
    </row>
    <row r="179" spans="1:38">
      <c r="A179" s="15"/>
      <c r="B179" s="20"/>
      <c r="C179" s="20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6"/>
      <c r="AB179" s="15"/>
      <c r="AC179" s="17"/>
      <c r="AD179" s="15"/>
      <c r="AE179" s="15"/>
      <c r="AF179" s="22"/>
      <c r="AG179" s="17"/>
      <c r="AH179" s="17"/>
      <c r="AI179" s="15"/>
      <c r="AJ179" s="17"/>
      <c r="AK179" s="15"/>
    </row>
    <row r="180" spans="1:38">
      <c r="A180" s="15"/>
      <c r="B180" s="20"/>
      <c r="C180" s="20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6"/>
      <c r="AB180" s="15"/>
      <c r="AC180" s="17"/>
      <c r="AD180" s="15"/>
      <c r="AE180" s="15"/>
      <c r="AF180" s="22"/>
      <c r="AG180" s="17"/>
      <c r="AH180" s="17"/>
      <c r="AI180" s="15"/>
      <c r="AJ180" s="17"/>
      <c r="AK180" s="15"/>
    </row>
    <row r="181" spans="1:38">
      <c r="A181" s="15"/>
      <c r="B181" s="20"/>
      <c r="C181" s="20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6"/>
      <c r="AB181" s="15"/>
      <c r="AC181" s="17"/>
      <c r="AD181" s="15"/>
      <c r="AE181" s="15"/>
      <c r="AF181" s="22"/>
      <c r="AG181" s="17"/>
      <c r="AH181" s="17"/>
      <c r="AI181" s="15"/>
      <c r="AJ181" s="17"/>
      <c r="AK181" s="15"/>
    </row>
    <row r="182" spans="1:38">
      <c r="A182" s="15"/>
      <c r="B182" s="20"/>
      <c r="C182" s="20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6"/>
      <c r="AB182" s="15"/>
      <c r="AC182" s="17"/>
      <c r="AD182" s="15"/>
      <c r="AE182" s="15"/>
      <c r="AF182" s="22"/>
      <c r="AG182" s="17"/>
      <c r="AH182" s="17"/>
      <c r="AI182" s="15"/>
      <c r="AJ182" s="17"/>
      <c r="AK182" s="15"/>
      <c r="AL182" s="56"/>
    </row>
    <row r="183" spans="1:38">
      <c r="A183" s="15"/>
      <c r="B183" s="20"/>
      <c r="C183" s="20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6"/>
      <c r="AB183" s="15"/>
      <c r="AC183" s="17"/>
      <c r="AD183" s="15"/>
      <c r="AE183" s="15"/>
      <c r="AF183" s="22"/>
      <c r="AG183" s="17"/>
      <c r="AH183" s="17"/>
      <c r="AI183" s="15"/>
      <c r="AJ183" s="17"/>
      <c r="AK183" s="15"/>
    </row>
    <row r="184" spans="1:38">
      <c r="A184" s="15"/>
      <c r="B184" s="20"/>
      <c r="C184" s="20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6"/>
      <c r="AB184" s="15"/>
      <c r="AC184" s="17"/>
      <c r="AD184" s="15"/>
      <c r="AE184" s="15"/>
      <c r="AF184" s="22"/>
      <c r="AG184" s="17"/>
      <c r="AH184" s="17"/>
      <c r="AI184" s="15"/>
      <c r="AJ184" s="17"/>
      <c r="AK184" s="15"/>
    </row>
    <row r="185" spans="1:38">
      <c r="A185" s="15"/>
      <c r="B185" s="20"/>
      <c r="C185" s="20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6"/>
      <c r="AB185" s="15"/>
      <c r="AC185" s="17"/>
      <c r="AD185" s="15"/>
      <c r="AE185" s="15"/>
      <c r="AF185" s="22"/>
      <c r="AG185" s="17"/>
      <c r="AH185" s="17"/>
      <c r="AI185" s="15"/>
      <c r="AJ185" s="17"/>
      <c r="AK185" s="15"/>
    </row>
    <row r="186" spans="1:38">
      <c r="A186" s="15"/>
      <c r="B186" s="20"/>
      <c r="C186" s="20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6"/>
      <c r="AB186" s="15"/>
      <c r="AC186" s="17"/>
      <c r="AD186" s="15"/>
      <c r="AE186" s="15"/>
      <c r="AF186" s="22"/>
      <c r="AG186" s="17"/>
      <c r="AH186" s="17"/>
      <c r="AI186" s="15"/>
      <c r="AJ186" s="17"/>
      <c r="AK186" s="15"/>
    </row>
    <row r="187" spans="1:38">
      <c r="A187" s="15"/>
      <c r="B187" s="20"/>
      <c r="C187" s="20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6"/>
      <c r="AB187" s="15"/>
      <c r="AC187" s="17"/>
      <c r="AD187" s="15"/>
      <c r="AE187" s="15"/>
      <c r="AF187" s="22"/>
      <c r="AG187" s="17"/>
      <c r="AH187" s="17"/>
      <c r="AI187" s="15"/>
      <c r="AJ187" s="17"/>
      <c r="AK187" s="15"/>
    </row>
    <row r="188" spans="1:38">
      <c r="A188" s="15"/>
      <c r="B188" s="20"/>
      <c r="C188" s="20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6"/>
      <c r="AB188" s="15"/>
      <c r="AC188" s="17"/>
      <c r="AD188" s="15"/>
      <c r="AE188" s="15"/>
      <c r="AF188" s="22"/>
      <c r="AG188" s="17"/>
      <c r="AH188" s="17"/>
      <c r="AI188" s="15"/>
      <c r="AJ188" s="17"/>
      <c r="AK188" s="15"/>
    </row>
    <row r="189" spans="1:38">
      <c r="A189" s="15"/>
      <c r="B189" s="20"/>
      <c r="C189" s="20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6"/>
      <c r="AB189" s="15"/>
      <c r="AC189" s="17"/>
      <c r="AD189" s="15"/>
      <c r="AE189" s="15"/>
      <c r="AF189" s="22"/>
      <c r="AG189" s="17"/>
      <c r="AH189" s="17"/>
      <c r="AI189" s="15"/>
      <c r="AJ189" s="17"/>
      <c r="AK189" s="15"/>
    </row>
    <row r="190" spans="1:38">
      <c r="A190" s="15"/>
      <c r="B190" s="20"/>
      <c r="C190" s="20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6"/>
      <c r="AB190" s="15"/>
      <c r="AC190" s="17"/>
      <c r="AD190" s="15"/>
      <c r="AE190" s="15"/>
      <c r="AF190" s="24"/>
      <c r="AG190" s="17"/>
      <c r="AH190" s="17"/>
      <c r="AI190" s="15"/>
      <c r="AJ190" s="17"/>
      <c r="AK190" s="15"/>
      <c r="AL190" s="56"/>
    </row>
    <row r="191" spans="1:38">
      <c r="A191" s="15"/>
      <c r="B191" s="20"/>
      <c r="C191" s="20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6"/>
      <c r="AB191" s="15"/>
      <c r="AC191" s="17"/>
      <c r="AD191" s="15"/>
      <c r="AE191" s="15"/>
      <c r="AF191" s="22"/>
      <c r="AG191" s="17"/>
      <c r="AH191" s="17"/>
      <c r="AI191" s="15"/>
      <c r="AJ191" s="17"/>
      <c r="AK191" s="15"/>
    </row>
    <row r="192" spans="1:38">
      <c r="A192" s="15"/>
      <c r="B192" s="20"/>
      <c r="C192" s="20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6"/>
      <c r="AB192" s="15"/>
      <c r="AC192" s="17"/>
      <c r="AD192" s="15"/>
      <c r="AE192" s="15"/>
      <c r="AF192" s="22"/>
      <c r="AG192" s="17"/>
      <c r="AH192" s="17"/>
      <c r="AI192" s="15"/>
      <c r="AJ192" s="17"/>
      <c r="AK192" s="15"/>
    </row>
    <row r="193" spans="1:38">
      <c r="A193" s="15"/>
      <c r="B193" s="20"/>
      <c r="C193" s="20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6"/>
      <c r="AB193" s="15"/>
      <c r="AC193" s="17"/>
      <c r="AD193" s="15"/>
      <c r="AE193" s="15"/>
      <c r="AF193" s="22"/>
      <c r="AG193" s="17"/>
      <c r="AH193" s="17"/>
      <c r="AI193" s="15"/>
      <c r="AJ193" s="17"/>
      <c r="AK193" s="15"/>
    </row>
    <row r="194" spans="1:38">
      <c r="A194" s="15"/>
      <c r="B194" s="20"/>
      <c r="C194" s="20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6"/>
      <c r="AB194" s="15"/>
      <c r="AC194" s="17"/>
      <c r="AD194" s="15"/>
      <c r="AE194" s="15"/>
      <c r="AF194" s="22"/>
      <c r="AG194" s="17"/>
      <c r="AH194" s="17"/>
      <c r="AI194" s="15"/>
      <c r="AJ194" s="17"/>
      <c r="AK194" s="15"/>
    </row>
    <row r="195" spans="1:38">
      <c r="A195" s="15"/>
      <c r="B195" s="20"/>
      <c r="C195" s="20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6"/>
      <c r="AB195" s="15"/>
      <c r="AC195" s="17"/>
      <c r="AD195" s="15"/>
      <c r="AE195" s="15"/>
      <c r="AF195" s="22"/>
      <c r="AG195" s="17"/>
      <c r="AH195" s="17"/>
      <c r="AI195" s="15"/>
      <c r="AJ195" s="17"/>
      <c r="AK195" s="15"/>
    </row>
    <row r="196" spans="1:38">
      <c r="A196" s="15"/>
      <c r="B196" s="20"/>
      <c r="C196" s="20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6"/>
      <c r="AB196" s="15"/>
      <c r="AC196" s="17"/>
      <c r="AD196" s="15"/>
      <c r="AE196" s="15"/>
      <c r="AF196" s="22"/>
      <c r="AG196" s="17"/>
      <c r="AH196" s="17"/>
      <c r="AI196" s="15"/>
      <c r="AJ196" s="17"/>
      <c r="AK196" s="15"/>
    </row>
    <row r="197" spans="1:38" ht="13.5" thickBot="1">
      <c r="A197" s="42"/>
      <c r="B197" s="45"/>
      <c r="C197" s="45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1"/>
      <c r="AB197" s="42"/>
      <c r="AC197" s="43"/>
      <c r="AD197" s="42"/>
      <c r="AE197" s="42"/>
      <c r="AF197" s="44"/>
      <c r="AG197" s="43"/>
      <c r="AH197" s="43"/>
      <c r="AI197" s="42"/>
      <c r="AJ197" s="43"/>
      <c r="AK197" s="42"/>
    </row>
    <row r="198" spans="1:38">
      <c r="A198" s="36"/>
      <c r="B198" s="37"/>
      <c r="C198" s="37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15"/>
      <c r="X198" s="36"/>
      <c r="Y198" s="36"/>
      <c r="Z198" s="36"/>
      <c r="AA198" s="38"/>
      <c r="AB198" s="36"/>
      <c r="AC198" s="39"/>
      <c r="AD198" s="36"/>
      <c r="AE198" s="36"/>
      <c r="AF198" s="40"/>
      <c r="AG198" s="39"/>
      <c r="AH198" s="39"/>
      <c r="AI198" s="36"/>
      <c r="AJ198" s="39"/>
      <c r="AK198" s="36"/>
      <c r="AL198" s="56"/>
    </row>
    <row r="199" spans="1:38">
      <c r="A199" s="15"/>
      <c r="B199" s="20"/>
      <c r="C199" s="20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X199" s="15"/>
      <c r="Y199" s="15"/>
      <c r="Z199" s="15"/>
      <c r="AA199" s="16"/>
      <c r="AB199" s="15"/>
      <c r="AC199" s="17"/>
      <c r="AD199" s="15"/>
      <c r="AE199" s="15"/>
      <c r="AF199" s="22"/>
      <c r="AG199" s="17"/>
      <c r="AH199" s="17"/>
      <c r="AI199" s="15"/>
      <c r="AJ199" s="17"/>
      <c r="AK199" s="15"/>
    </row>
    <row r="200" spans="1:38">
      <c r="A200" s="15"/>
      <c r="B200" s="20"/>
      <c r="C200" s="20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6"/>
      <c r="AB200" s="15"/>
      <c r="AC200" s="17"/>
      <c r="AD200" s="15"/>
      <c r="AE200" s="15"/>
      <c r="AF200" s="22"/>
      <c r="AG200" s="17"/>
      <c r="AH200" s="17"/>
      <c r="AI200" s="15"/>
      <c r="AJ200" s="17"/>
      <c r="AK200" s="15"/>
    </row>
    <row r="201" spans="1:38">
      <c r="A201" s="15"/>
      <c r="B201" s="20"/>
      <c r="C201" s="20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6"/>
      <c r="AB201" s="15"/>
      <c r="AC201" s="17"/>
      <c r="AD201" s="15"/>
      <c r="AE201" s="15"/>
      <c r="AF201" s="22"/>
      <c r="AG201" s="17"/>
      <c r="AH201" s="17"/>
      <c r="AI201" s="15"/>
      <c r="AJ201" s="17"/>
      <c r="AK201" s="15"/>
    </row>
    <row r="202" spans="1:38">
      <c r="A202" s="15"/>
      <c r="B202" s="20"/>
      <c r="C202" s="20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6"/>
      <c r="AB202" s="15"/>
      <c r="AC202" s="17"/>
      <c r="AD202" s="15"/>
      <c r="AE202" s="15"/>
      <c r="AF202" s="22"/>
      <c r="AG202" s="17"/>
      <c r="AH202" s="17"/>
      <c r="AI202" s="15"/>
      <c r="AJ202" s="17"/>
      <c r="AK202" s="15"/>
    </row>
    <row r="203" spans="1:38">
      <c r="A203" s="15"/>
      <c r="B203" s="20"/>
      <c r="C203" s="20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6"/>
      <c r="AB203" s="15"/>
      <c r="AC203" s="17"/>
      <c r="AD203" s="15"/>
      <c r="AE203" s="15"/>
      <c r="AF203" s="22"/>
      <c r="AG203" s="17"/>
      <c r="AH203" s="17"/>
      <c r="AI203" s="15"/>
      <c r="AJ203" s="17"/>
      <c r="AK203" s="15"/>
    </row>
    <row r="204" spans="1:38">
      <c r="A204" s="15"/>
      <c r="B204" s="20"/>
      <c r="C204" s="20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6"/>
      <c r="AB204" s="15"/>
      <c r="AC204" s="17"/>
      <c r="AD204" s="15"/>
      <c r="AE204" s="15"/>
      <c r="AF204" s="22"/>
      <c r="AG204" s="17"/>
      <c r="AH204" s="17"/>
      <c r="AI204" s="15"/>
      <c r="AJ204" s="17"/>
      <c r="AK204" s="15"/>
    </row>
    <row r="205" spans="1:38">
      <c r="A205" s="15"/>
      <c r="B205" s="20"/>
      <c r="C205" s="20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6"/>
      <c r="AB205" s="15"/>
      <c r="AC205" s="17"/>
      <c r="AD205" s="15"/>
      <c r="AE205" s="15"/>
      <c r="AF205" s="22"/>
      <c r="AG205" s="17"/>
      <c r="AH205" s="17"/>
      <c r="AI205" s="15"/>
      <c r="AJ205" s="17"/>
      <c r="AK205" s="15"/>
    </row>
    <row r="206" spans="1:38">
      <c r="A206" s="15"/>
      <c r="B206" s="20"/>
      <c r="C206" s="20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6"/>
      <c r="AB206" s="15"/>
      <c r="AC206" s="17"/>
      <c r="AD206" s="15"/>
      <c r="AE206" s="15"/>
      <c r="AF206" s="22"/>
      <c r="AG206" s="17"/>
      <c r="AH206" s="17"/>
      <c r="AI206" s="15"/>
      <c r="AJ206" s="17"/>
      <c r="AK206" s="15"/>
      <c r="AL206" s="56"/>
    </row>
    <row r="207" spans="1:38">
      <c r="A207" s="15"/>
      <c r="B207" s="20"/>
      <c r="C207" s="20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6"/>
      <c r="AB207" s="15"/>
      <c r="AC207" s="17"/>
      <c r="AD207" s="15"/>
      <c r="AE207" s="15"/>
      <c r="AF207" s="22"/>
      <c r="AG207" s="17"/>
      <c r="AH207" s="17"/>
      <c r="AI207" s="15"/>
      <c r="AJ207" s="17"/>
      <c r="AK207" s="15"/>
    </row>
    <row r="208" spans="1:38">
      <c r="A208" s="15"/>
      <c r="B208" s="20"/>
      <c r="C208" s="20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6"/>
      <c r="AB208" s="15"/>
      <c r="AC208" s="17"/>
      <c r="AD208" s="15"/>
      <c r="AE208" s="15"/>
      <c r="AF208" s="22"/>
      <c r="AG208" s="17"/>
      <c r="AH208" s="17"/>
      <c r="AI208" s="15"/>
      <c r="AJ208" s="17"/>
      <c r="AK208" s="15"/>
    </row>
    <row r="209" spans="1:38">
      <c r="A209" s="15"/>
      <c r="B209" s="20"/>
      <c r="C209" s="20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6"/>
      <c r="AB209" s="15"/>
      <c r="AC209" s="17"/>
      <c r="AD209" s="15"/>
      <c r="AE209" s="15"/>
      <c r="AF209" s="22"/>
      <c r="AG209" s="17"/>
      <c r="AH209" s="17"/>
      <c r="AI209" s="15"/>
      <c r="AJ209" s="17"/>
      <c r="AK209" s="15"/>
    </row>
    <row r="210" spans="1:38">
      <c r="A210" s="15"/>
      <c r="B210" s="20"/>
      <c r="C210" s="20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6"/>
      <c r="AB210" s="15"/>
      <c r="AC210" s="17"/>
      <c r="AD210" s="15"/>
      <c r="AE210" s="15"/>
      <c r="AF210" s="22"/>
      <c r="AG210" s="17"/>
      <c r="AH210" s="17"/>
      <c r="AI210" s="15"/>
      <c r="AJ210" s="17"/>
      <c r="AK210" s="15"/>
    </row>
    <row r="211" spans="1:38">
      <c r="A211" s="15"/>
      <c r="B211" s="20"/>
      <c r="C211" s="20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6"/>
      <c r="AB211" s="15"/>
      <c r="AC211" s="17"/>
      <c r="AD211" s="15"/>
      <c r="AE211" s="15"/>
      <c r="AF211" s="22"/>
      <c r="AG211" s="17"/>
      <c r="AH211" s="17"/>
      <c r="AI211" s="15"/>
      <c r="AJ211" s="17"/>
      <c r="AK211" s="15"/>
    </row>
    <row r="212" spans="1:38">
      <c r="A212" s="15"/>
      <c r="B212" s="20"/>
      <c r="C212" s="20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6"/>
      <c r="AB212" s="15"/>
      <c r="AC212" s="17"/>
      <c r="AD212" s="15"/>
      <c r="AE212" s="15"/>
      <c r="AF212" s="22"/>
      <c r="AG212" s="17"/>
      <c r="AH212" s="17"/>
      <c r="AI212" s="15"/>
      <c r="AJ212" s="17"/>
      <c r="AK212" s="15"/>
    </row>
    <row r="213" spans="1:38">
      <c r="A213" s="15"/>
      <c r="B213" s="20"/>
      <c r="C213" s="20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6"/>
      <c r="AB213" s="15"/>
      <c r="AC213" s="17"/>
      <c r="AD213" s="15"/>
      <c r="AE213" s="15"/>
      <c r="AF213" s="22"/>
      <c r="AG213" s="17"/>
      <c r="AH213" s="17"/>
      <c r="AI213" s="15"/>
      <c r="AJ213" s="17"/>
      <c r="AK213" s="15"/>
    </row>
    <row r="214" spans="1:38">
      <c r="A214" s="15"/>
      <c r="B214" s="20"/>
      <c r="C214" s="20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6"/>
      <c r="AB214" s="15"/>
      <c r="AC214" s="17"/>
      <c r="AD214" s="15"/>
      <c r="AE214" s="15"/>
      <c r="AF214" s="22"/>
      <c r="AG214" s="17"/>
      <c r="AH214" s="17"/>
      <c r="AI214" s="15"/>
      <c r="AJ214" s="17"/>
      <c r="AK214" s="15"/>
      <c r="AL214" s="56"/>
    </row>
    <row r="215" spans="1:38">
      <c r="A215" s="15"/>
      <c r="B215" s="20"/>
      <c r="C215" s="20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6"/>
      <c r="AB215" s="15"/>
      <c r="AC215" s="17"/>
      <c r="AD215" s="15"/>
      <c r="AE215" s="15"/>
      <c r="AF215" s="22"/>
      <c r="AG215" s="17"/>
      <c r="AH215" s="17"/>
      <c r="AI215" s="15"/>
      <c r="AJ215" s="17"/>
      <c r="AK215" s="15"/>
    </row>
    <row r="216" spans="1:38">
      <c r="A216" s="15"/>
      <c r="B216" s="20"/>
      <c r="C216" s="20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6"/>
      <c r="AB216" s="15"/>
      <c r="AC216" s="17"/>
      <c r="AD216" s="15"/>
      <c r="AE216" s="15"/>
      <c r="AF216" s="22"/>
      <c r="AG216" s="17"/>
      <c r="AH216" s="17"/>
      <c r="AI216" s="15"/>
      <c r="AJ216" s="17"/>
      <c r="AK216" s="15"/>
    </row>
    <row r="217" spans="1:38">
      <c r="A217" s="15"/>
      <c r="B217" s="20"/>
      <c r="C217" s="20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6"/>
      <c r="AB217" s="15"/>
      <c r="AC217" s="17"/>
      <c r="AD217" s="15"/>
      <c r="AE217" s="15"/>
      <c r="AF217" s="22"/>
      <c r="AG217" s="17"/>
      <c r="AH217" s="17"/>
      <c r="AI217" s="15"/>
      <c r="AJ217" s="17"/>
      <c r="AK217" s="15"/>
    </row>
    <row r="218" spans="1:38">
      <c r="A218" s="15"/>
      <c r="B218" s="20"/>
      <c r="C218" s="20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6"/>
      <c r="AB218" s="15"/>
      <c r="AC218" s="17"/>
      <c r="AD218" s="15"/>
      <c r="AE218" s="15"/>
      <c r="AF218" s="22"/>
      <c r="AG218" s="17"/>
      <c r="AH218" s="17"/>
      <c r="AI218" s="15"/>
      <c r="AJ218" s="17"/>
      <c r="AK218" s="15"/>
    </row>
    <row r="219" spans="1:38">
      <c r="A219" s="15"/>
      <c r="B219" s="20"/>
      <c r="C219" s="20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6"/>
      <c r="AB219" s="15"/>
      <c r="AC219" s="17"/>
      <c r="AD219" s="15"/>
      <c r="AE219" s="15"/>
      <c r="AF219" s="22"/>
      <c r="AG219" s="17"/>
      <c r="AH219" s="17"/>
      <c r="AI219" s="15"/>
      <c r="AJ219" s="17"/>
      <c r="AK219" s="15"/>
    </row>
    <row r="220" spans="1:38">
      <c r="A220" s="15"/>
      <c r="B220" s="20"/>
      <c r="C220" s="20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6"/>
      <c r="AB220" s="15"/>
      <c r="AC220" s="17"/>
      <c r="AD220" s="15"/>
      <c r="AE220" s="15"/>
      <c r="AF220" s="22"/>
      <c r="AG220" s="17"/>
      <c r="AH220" s="17"/>
      <c r="AI220" s="15"/>
      <c r="AJ220" s="17"/>
      <c r="AK220" s="15"/>
    </row>
    <row r="221" spans="1:38">
      <c r="A221" s="15"/>
      <c r="B221" s="20"/>
      <c r="C221" s="20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6"/>
      <c r="AB221" s="15"/>
      <c r="AC221" s="17"/>
      <c r="AD221" s="15"/>
      <c r="AE221" s="15"/>
      <c r="AF221" s="22"/>
      <c r="AG221" s="17"/>
      <c r="AH221" s="17"/>
      <c r="AI221" s="15"/>
      <c r="AJ221" s="17"/>
      <c r="AK221" s="15"/>
    </row>
    <row r="222" spans="1:38">
      <c r="A222" s="15"/>
      <c r="B222" s="20"/>
      <c r="C222" s="20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6"/>
      <c r="AB222" s="15"/>
      <c r="AC222" s="17"/>
      <c r="AD222" s="15"/>
      <c r="AE222" s="15"/>
      <c r="AF222" s="22"/>
      <c r="AG222" s="17"/>
      <c r="AH222" s="17"/>
      <c r="AI222" s="15"/>
      <c r="AJ222" s="17"/>
      <c r="AK222" s="15"/>
      <c r="AL222" s="56"/>
    </row>
    <row r="223" spans="1:38">
      <c r="A223" s="15"/>
      <c r="B223" s="20"/>
      <c r="C223" s="20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6"/>
      <c r="AB223" s="15"/>
      <c r="AC223" s="17"/>
      <c r="AD223" s="15"/>
      <c r="AE223" s="15"/>
      <c r="AF223" s="22"/>
      <c r="AG223" s="17"/>
      <c r="AH223" s="17"/>
      <c r="AI223" s="15"/>
      <c r="AJ223" s="17"/>
      <c r="AK223" s="15"/>
    </row>
    <row r="224" spans="1:38">
      <c r="A224" s="15"/>
      <c r="B224" s="20"/>
      <c r="C224" s="20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6"/>
      <c r="AB224" s="15"/>
      <c r="AC224" s="17"/>
      <c r="AD224" s="15"/>
      <c r="AE224" s="15"/>
      <c r="AF224" s="22"/>
      <c r="AG224" s="17"/>
      <c r="AH224" s="17"/>
      <c r="AI224" s="15"/>
      <c r="AJ224" s="17"/>
      <c r="AK224" s="15"/>
    </row>
    <row r="225" spans="1:38">
      <c r="A225" s="15"/>
      <c r="B225" s="20"/>
      <c r="C225" s="20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6"/>
      <c r="AB225" s="15"/>
      <c r="AC225" s="17"/>
      <c r="AD225" s="15"/>
      <c r="AE225" s="15"/>
      <c r="AF225" s="22"/>
      <c r="AG225" s="17"/>
      <c r="AH225" s="17"/>
      <c r="AI225" s="15"/>
      <c r="AJ225" s="17"/>
      <c r="AK225" s="15"/>
    </row>
    <row r="226" spans="1:38">
      <c r="A226" s="15"/>
      <c r="B226" s="20"/>
      <c r="C226" s="20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6"/>
      <c r="AB226" s="15"/>
      <c r="AC226" s="17"/>
      <c r="AD226" s="15"/>
      <c r="AE226" s="15"/>
      <c r="AF226" s="22"/>
      <c r="AG226" s="17"/>
      <c r="AH226" s="17"/>
      <c r="AI226" s="15"/>
      <c r="AJ226" s="17"/>
      <c r="AK226" s="15"/>
    </row>
    <row r="227" spans="1:38">
      <c r="A227" s="15"/>
      <c r="B227" s="20"/>
      <c r="C227" s="20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6"/>
      <c r="AB227" s="15"/>
      <c r="AC227" s="17"/>
      <c r="AD227" s="15"/>
      <c r="AE227" s="15"/>
      <c r="AF227" s="22"/>
      <c r="AG227" s="17"/>
      <c r="AH227" s="17"/>
      <c r="AI227" s="15"/>
      <c r="AJ227" s="17"/>
      <c r="AK227" s="15"/>
    </row>
    <row r="228" spans="1:38">
      <c r="A228" s="15"/>
      <c r="B228" s="20"/>
      <c r="C228" s="20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6"/>
      <c r="AB228" s="15"/>
      <c r="AC228" s="17"/>
      <c r="AD228" s="15"/>
      <c r="AE228" s="15"/>
      <c r="AF228" s="22"/>
      <c r="AG228" s="17"/>
      <c r="AH228" s="17"/>
      <c r="AI228" s="15"/>
      <c r="AJ228" s="17"/>
      <c r="AK228" s="15"/>
    </row>
    <row r="229" spans="1:38">
      <c r="A229" s="15"/>
      <c r="B229" s="20"/>
      <c r="C229" s="20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6"/>
      <c r="AB229" s="15"/>
      <c r="AC229" s="17"/>
      <c r="AD229" s="15"/>
      <c r="AE229" s="15"/>
      <c r="AF229" s="22"/>
      <c r="AG229" s="17"/>
      <c r="AH229" s="17"/>
      <c r="AI229" s="15"/>
      <c r="AJ229" s="17"/>
      <c r="AK229" s="15"/>
    </row>
    <row r="230" spans="1:38">
      <c r="A230" s="15"/>
      <c r="B230" s="20"/>
      <c r="C230" s="20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6"/>
      <c r="AB230" s="15"/>
      <c r="AC230" s="17"/>
      <c r="AD230" s="15"/>
      <c r="AE230" s="15"/>
      <c r="AF230" s="22"/>
      <c r="AG230" s="17"/>
      <c r="AH230" s="17"/>
      <c r="AI230" s="15"/>
      <c r="AJ230" s="17"/>
      <c r="AK230" s="15"/>
      <c r="AL230" s="56"/>
    </row>
    <row r="231" spans="1:38">
      <c r="A231" s="15"/>
      <c r="B231" s="20"/>
      <c r="C231" s="20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6"/>
      <c r="AB231" s="15"/>
      <c r="AC231" s="17"/>
      <c r="AD231" s="15"/>
      <c r="AE231" s="15"/>
      <c r="AF231" s="22"/>
      <c r="AG231" s="17"/>
      <c r="AH231" s="17"/>
      <c r="AI231" s="15"/>
      <c r="AJ231" s="17"/>
      <c r="AK231" s="15"/>
    </row>
    <row r="232" spans="1:38">
      <c r="A232" s="15"/>
      <c r="B232" s="20"/>
      <c r="C232" s="20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6"/>
      <c r="AB232" s="15"/>
      <c r="AC232" s="17"/>
      <c r="AD232" s="15"/>
      <c r="AE232" s="15"/>
      <c r="AF232" s="22"/>
      <c r="AG232" s="17"/>
      <c r="AH232" s="17"/>
      <c r="AI232" s="15"/>
      <c r="AJ232" s="17"/>
      <c r="AK232" s="15"/>
    </row>
    <row r="233" spans="1:38">
      <c r="A233" s="15"/>
      <c r="B233" s="20"/>
      <c r="C233" s="20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6"/>
      <c r="AB233" s="15"/>
      <c r="AC233" s="17"/>
      <c r="AD233" s="15"/>
      <c r="AE233" s="15"/>
      <c r="AF233" s="22"/>
      <c r="AG233" s="17"/>
      <c r="AH233" s="17"/>
      <c r="AI233" s="15"/>
      <c r="AJ233" s="17"/>
      <c r="AK233" s="15"/>
    </row>
    <row r="234" spans="1:38">
      <c r="A234" s="15"/>
      <c r="B234" s="20"/>
      <c r="C234" s="20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6"/>
      <c r="AB234" s="15"/>
      <c r="AC234" s="17"/>
      <c r="AD234" s="15"/>
      <c r="AE234" s="15"/>
      <c r="AF234" s="22"/>
      <c r="AG234" s="17"/>
      <c r="AH234" s="17"/>
      <c r="AI234" s="15"/>
      <c r="AJ234" s="17"/>
      <c r="AK234" s="15"/>
    </row>
    <row r="235" spans="1:38">
      <c r="A235" s="15"/>
      <c r="B235" s="20"/>
      <c r="C235" s="20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6"/>
      <c r="AB235" s="15"/>
      <c r="AC235" s="17"/>
      <c r="AD235" s="15"/>
      <c r="AE235" s="15"/>
      <c r="AF235" s="22"/>
      <c r="AG235" s="17"/>
      <c r="AH235" s="17"/>
      <c r="AI235" s="15"/>
      <c r="AJ235" s="17"/>
      <c r="AK235" s="15"/>
    </row>
    <row r="236" spans="1:38">
      <c r="A236" s="15"/>
      <c r="B236" s="20"/>
      <c r="C236" s="20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6"/>
      <c r="AB236" s="15"/>
      <c r="AC236" s="17"/>
      <c r="AD236" s="15"/>
      <c r="AE236" s="15"/>
      <c r="AF236" s="22"/>
      <c r="AG236" s="17"/>
      <c r="AH236" s="17"/>
      <c r="AI236" s="15"/>
      <c r="AJ236" s="17"/>
      <c r="AK236" s="15"/>
    </row>
    <row r="237" spans="1:38">
      <c r="A237" s="15"/>
      <c r="B237" s="20"/>
      <c r="C237" s="20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6"/>
      <c r="AB237" s="15"/>
      <c r="AC237" s="17"/>
      <c r="AD237" s="15"/>
      <c r="AE237" s="15"/>
      <c r="AF237" s="22"/>
      <c r="AG237" s="17"/>
      <c r="AH237" s="17"/>
      <c r="AI237" s="15"/>
      <c r="AJ237" s="17"/>
      <c r="AK237" s="15"/>
    </row>
    <row r="238" spans="1:38">
      <c r="A238" s="15"/>
      <c r="B238" s="20"/>
      <c r="C238" s="20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6"/>
      <c r="AB238" s="15"/>
      <c r="AC238" s="17"/>
      <c r="AD238" s="15"/>
      <c r="AE238" s="15"/>
      <c r="AF238" s="22"/>
      <c r="AG238" s="17"/>
      <c r="AH238" s="17"/>
      <c r="AI238" s="15"/>
      <c r="AJ238" s="17"/>
      <c r="AK238" s="15"/>
      <c r="AL238" s="56"/>
    </row>
    <row r="239" spans="1:38">
      <c r="A239" s="15"/>
      <c r="B239" s="20"/>
      <c r="C239" s="20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6"/>
      <c r="AB239" s="15"/>
      <c r="AC239" s="17"/>
      <c r="AD239" s="15"/>
      <c r="AE239" s="15"/>
      <c r="AF239" s="22"/>
      <c r="AG239" s="17"/>
      <c r="AH239" s="17"/>
      <c r="AI239" s="15"/>
      <c r="AJ239" s="17"/>
      <c r="AK239" s="15"/>
    </row>
    <row r="240" spans="1:38">
      <c r="A240" s="15"/>
      <c r="B240" s="20"/>
      <c r="C240" s="20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6"/>
      <c r="AB240" s="15"/>
      <c r="AC240" s="17"/>
      <c r="AD240" s="15"/>
      <c r="AE240" s="15"/>
      <c r="AF240" s="22"/>
      <c r="AG240" s="17"/>
      <c r="AH240" s="17"/>
      <c r="AI240" s="15"/>
      <c r="AJ240" s="17"/>
      <c r="AK240" s="15"/>
    </row>
    <row r="241" spans="1:38">
      <c r="A241" s="15"/>
      <c r="B241" s="20"/>
      <c r="C241" s="20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6"/>
      <c r="AB241" s="15"/>
      <c r="AC241" s="17"/>
      <c r="AD241" s="15"/>
      <c r="AE241" s="15"/>
      <c r="AF241" s="22"/>
      <c r="AG241" s="17"/>
      <c r="AH241" s="17"/>
      <c r="AI241" s="15"/>
      <c r="AJ241" s="17"/>
      <c r="AK241" s="15"/>
    </row>
    <row r="242" spans="1:38">
      <c r="A242" s="15"/>
      <c r="B242" s="20"/>
      <c r="C242" s="20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6"/>
      <c r="AB242" s="15"/>
      <c r="AC242" s="17"/>
      <c r="AD242" s="15"/>
      <c r="AE242" s="15"/>
      <c r="AF242" s="22"/>
      <c r="AG242" s="17"/>
      <c r="AH242" s="17"/>
      <c r="AI242" s="15"/>
      <c r="AJ242" s="17"/>
      <c r="AK242" s="15"/>
    </row>
    <row r="243" spans="1:38">
      <c r="A243" s="15"/>
      <c r="B243" s="20"/>
      <c r="C243" s="20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6"/>
      <c r="AB243" s="15"/>
      <c r="AC243" s="17"/>
      <c r="AD243" s="15"/>
      <c r="AE243" s="15"/>
      <c r="AF243" s="22"/>
      <c r="AG243" s="17"/>
      <c r="AH243" s="17"/>
      <c r="AI243" s="15"/>
      <c r="AJ243" s="17"/>
      <c r="AK243" s="15"/>
    </row>
    <row r="244" spans="1:38">
      <c r="A244" s="15"/>
      <c r="B244" s="20"/>
      <c r="C244" s="20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6"/>
      <c r="AB244" s="15"/>
      <c r="AC244" s="17"/>
      <c r="AD244" s="15"/>
      <c r="AE244" s="15"/>
      <c r="AF244" s="22"/>
      <c r="AG244" s="17"/>
      <c r="AH244" s="17"/>
      <c r="AI244" s="15"/>
      <c r="AJ244" s="17"/>
      <c r="AK244" s="15"/>
    </row>
    <row r="245" spans="1:38">
      <c r="A245" s="25"/>
      <c r="B245" s="27"/>
      <c r="C245" s="27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46"/>
      <c r="AB245" s="25"/>
      <c r="AC245" s="47"/>
      <c r="AD245" s="25"/>
      <c r="AE245" s="25"/>
      <c r="AF245" s="48"/>
      <c r="AG245" s="47"/>
      <c r="AH245" s="47"/>
      <c r="AI245" s="25"/>
      <c r="AJ245" s="47"/>
      <c r="AK245" s="25"/>
    </row>
    <row r="246" spans="1:38">
      <c r="A246" s="15"/>
      <c r="B246" s="20"/>
      <c r="C246" s="20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6"/>
      <c r="AB246" s="15"/>
      <c r="AC246" s="17"/>
      <c r="AD246" s="15"/>
      <c r="AE246" s="15"/>
      <c r="AF246" s="22"/>
      <c r="AG246" s="17"/>
      <c r="AH246" s="17"/>
      <c r="AI246" s="15"/>
      <c r="AJ246" s="17"/>
      <c r="AK246" s="15"/>
      <c r="AL246" s="56"/>
    </row>
    <row r="247" spans="1:38">
      <c r="A247" s="15"/>
      <c r="B247" s="20"/>
      <c r="C247" s="20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6"/>
      <c r="AB247" s="15"/>
      <c r="AC247" s="17"/>
      <c r="AD247" s="15"/>
      <c r="AE247" s="15"/>
      <c r="AF247" s="22"/>
      <c r="AG247" s="17"/>
      <c r="AH247" s="17"/>
      <c r="AI247" s="15"/>
      <c r="AJ247" s="17"/>
      <c r="AK247" s="15"/>
    </row>
    <row r="248" spans="1:38">
      <c r="A248" s="15"/>
      <c r="B248" s="20"/>
      <c r="C248" s="20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6"/>
      <c r="AB248" s="15"/>
      <c r="AC248" s="17"/>
      <c r="AD248" s="15"/>
      <c r="AE248" s="15"/>
      <c r="AF248" s="22"/>
      <c r="AG248" s="17"/>
      <c r="AH248" s="17"/>
      <c r="AI248" s="15"/>
      <c r="AJ248" s="17"/>
      <c r="AK248" s="15"/>
    </row>
    <row r="249" spans="1:38">
      <c r="A249" s="15"/>
      <c r="B249" s="20"/>
      <c r="C249" s="20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6"/>
      <c r="AB249" s="15"/>
      <c r="AC249" s="17"/>
      <c r="AD249" s="15"/>
      <c r="AE249" s="15"/>
      <c r="AF249" s="22"/>
      <c r="AG249" s="17"/>
      <c r="AH249" s="17"/>
      <c r="AI249" s="15"/>
      <c r="AJ249" s="17"/>
      <c r="AK249" s="15"/>
    </row>
    <row r="250" spans="1:38">
      <c r="A250" s="15"/>
      <c r="B250" s="20"/>
      <c r="C250" s="20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6"/>
      <c r="AB250" s="15"/>
      <c r="AC250" s="17"/>
      <c r="AD250" s="15"/>
      <c r="AE250" s="15"/>
      <c r="AF250" s="22"/>
      <c r="AG250" s="17"/>
      <c r="AH250" s="17"/>
      <c r="AI250" s="15"/>
      <c r="AJ250" s="17"/>
      <c r="AK250" s="15"/>
    </row>
    <row r="251" spans="1:38">
      <c r="A251" s="15"/>
      <c r="B251" s="20"/>
      <c r="C251" s="20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6"/>
      <c r="AB251" s="15"/>
      <c r="AC251" s="17"/>
      <c r="AD251" s="15"/>
      <c r="AE251" s="15"/>
      <c r="AF251" s="22"/>
      <c r="AG251" s="17"/>
      <c r="AH251" s="17"/>
      <c r="AI251" s="15"/>
      <c r="AJ251" s="17"/>
      <c r="AK251" s="15"/>
    </row>
    <row r="252" spans="1:38">
      <c r="A252" s="15"/>
      <c r="B252" s="20"/>
      <c r="C252" s="20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6"/>
      <c r="AB252" s="15"/>
      <c r="AC252" s="17"/>
      <c r="AD252" s="15"/>
      <c r="AE252" s="15"/>
      <c r="AF252" s="22"/>
      <c r="AG252" s="17"/>
      <c r="AH252" s="17"/>
      <c r="AI252" s="15"/>
      <c r="AJ252" s="17"/>
      <c r="AK252" s="15"/>
    </row>
    <row r="253" spans="1:38">
      <c r="A253" s="15"/>
      <c r="B253" s="20"/>
      <c r="C253" s="20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6"/>
      <c r="AB253" s="15"/>
      <c r="AC253" s="17"/>
      <c r="AD253" s="15"/>
      <c r="AE253" s="15"/>
      <c r="AF253" s="22"/>
      <c r="AG253" s="17"/>
      <c r="AH253" s="17"/>
      <c r="AI253" s="15"/>
      <c r="AJ253" s="17"/>
      <c r="AK253" s="15"/>
    </row>
    <row r="254" spans="1:38">
      <c r="A254" s="15"/>
      <c r="B254" s="20"/>
      <c r="C254" s="20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6"/>
      <c r="AB254" s="15"/>
      <c r="AC254" s="17"/>
      <c r="AD254" s="15"/>
      <c r="AE254" s="15"/>
      <c r="AF254" s="24"/>
      <c r="AG254" s="17"/>
      <c r="AH254" s="17"/>
      <c r="AI254" s="15"/>
      <c r="AJ254" s="17"/>
      <c r="AK254" s="15"/>
      <c r="AL254" s="56"/>
    </row>
    <row r="255" spans="1:38">
      <c r="A255" s="15"/>
      <c r="B255" s="20"/>
      <c r="C255" s="20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6"/>
      <c r="AB255" s="15"/>
      <c r="AC255" s="17"/>
      <c r="AD255" s="15"/>
      <c r="AE255" s="15"/>
      <c r="AF255" s="22"/>
      <c r="AG255" s="17"/>
      <c r="AH255" s="17"/>
      <c r="AI255" s="15"/>
      <c r="AJ255" s="17"/>
      <c r="AK255" s="15"/>
    </row>
    <row r="256" spans="1:38">
      <c r="A256" s="15"/>
      <c r="B256" s="20"/>
      <c r="C256" s="20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6"/>
      <c r="AB256" s="15"/>
      <c r="AC256" s="17"/>
      <c r="AD256" s="15"/>
      <c r="AE256" s="15"/>
      <c r="AF256" s="22"/>
      <c r="AG256" s="17"/>
      <c r="AH256" s="17"/>
      <c r="AI256" s="15"/>
      <c r="AJ256" s="17"/>
      <c r="AK256" s="15"/>
    </row>
    <row r="257" spans="1:38">
      <c r="A257" s="15"/>
      <c r="B257" s="20"/>
      <c r="C257" s="20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6"/>
      <c r="AB257" s="15"/>
      <c r="AC257" s="17"/>
      <c r="AD257" s="15"/>
      <c r="AE257" s="15"/>
      <c r="AF257" s="22"/>
      <c r="AG257" s="17"/>
      <c r="AH257" s="17"/>
      <c r="AI257" s="15"/>
      <c r="AJ257" s="17"/>
      <c r="AK257" s="15"/>
    </row>
    <row r="258" spans="1:38">
      <c r="A258" s="15"/>
      <c r="B258" s="20"/>
      <c r="C258" s="20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6"/>
      <c r="AB258" s="15"/>
      <c r="AC258" s="17"/>
      <c r="AD258" s="15"/>
      <c r="AE258" s="15"/>
      <c r="AF258" s="22"/>
      <c r="AG258" s="17"/>
      <c r="AH258" s="17"/>
      <c r="AI258" s="15"/>
      <c r="AJ258" s="17"/>
      <c r="AK258" s="15"/>
    </row>
    <row r="259" spans="1:38">
      <c r="A259" s="15"/>
      <c r="B259" s="20"/>
      <c r="C259" s="20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6"/>
      <c r="AB259" s="15"/>
      <c r="AC259" s="17"/>
      <c r="AD259" s="15"/>
      <c r="AE259" s="15"/>
      <c r="AF259" s="22"/>
      <c r="AG259" s="17"/>
      <c r="AH259" s="17"/>
      <c r="AI259" s="15"/>
      <c r="AJ259" s="17"/>
      <c r="AK259" s="15"/>
    </row>
    <row r="260" spans="1:38">
      <c r="A260" s="15"/>
      <c r="B260" s="20"/>
      <c r="C260" s="20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6"/>
      <c r="AB260" s="15"/>
      <c r="AC260" s="17"/>
      <c r="AD260" s="15"/>
      <c r="AE260" s="15"/>
      <c r="AF260" s="22"/>
      <c r="AG260" s="17"/>
      <c r="AH260" s="17"/>
      <c r="AI260" s="15"/>
      <c r="AJ260" s="17"/>
      <c r="AK260" s="15"/>
    </row>
    <row r="261" spans="1:38">
      <c r="A261" s="15"/>
      <c r="B261" s="20"/>
      <c r="C261" s="20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6"/>
      <c r="AB261" s="15"/>
      <c r="AC261" s="17"/>
      <c r="AD261" s="15"/>
      <c r="AE261" s="15"/>
      <c r="AF261" s="22"/>
      <c r="AG261" s="17"/>
      <c r="AH261" s="17"/>
      <c r="AI261" s="15"/>
      <c r="AJ261" s="17"/>
      <c r="AK261" s="15"/>
    </row>
    <row r="262" spans="1:38">
      <c r="A262" s="15"/>
      <c r="B262" s="20"/>
      <c r="C262" s="20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6"/>
      <c r="AB262" s="15"/>
      <c r="AC262" s="17"/>
      <c r="AD262" s="15"/>
      <c r="AE262" s="15"/>
      <c r="AF262" s="22"/>
      <c r="AG262" s="17"/>
      <c r="AH262" s="17"/>
      <c r="AI262" s="15"/>
      <c r="AJ262" s="17"/>
      <c r="AK262" s="15"/>
      <c r="AL262" s="56"/>
    </row>
    <row r="263" spans="1:38">
      <c r="A263" s="15"/>
      <c r="B263" s="20"/>
      <c r="C263" s="20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6"/>
      <c r="AB263" s="15"/>
      <c r="AC263" s="17"/>
      <c r="AD263" s="15"/>
      <c r="AE263" s="15"/>
      <c r="AF263" s="22"/>
      <c r="AG263" s="17"/>
      <c r="AH263" s="17"/>
      <c r="AI263" s="15"/>
      <c r="AJ263" s="17"/>
      <c r="AK263" s="15"/>
    </row>
    <row r="264" spans="1:38">
      <c r="A264" s="15"/>
      <c r="B264" s="20"/>
      <c r="C264" s="20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6"/>
      <c r="AB264" s="15"/>
      <c r="AC264" s="17"/>
      <c r="AD264" s="15"/>
      <c r="AE264" s="15"/>
      <c r="AF264" s="22"/>
      <c r="AG264" s="17"/>
      <c r="AH264" s="17"/>
      <c r="AI264" s="15"/>
      <c r="AJ264" s="17"/>
      <c r="AK264" s="15"/>
    </row>
    <row r="265" spans="1:38">
      <c r="A265" s="15"/>
      <c r="B265" s="20"/>
      <c r="C265" s="20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6"/>
      <c r="AB265" s="15"/>
      <c r="AC265" s="17"/>
      <c r="AD265" s="15"/>
      <c r="AE265" s="15"/>
      <c r="AF265" s="22"/>
      <c r="AG265" s="17"/>
      <c r="AH265" s="17"/>
      <c r="AI265" s="15"/>
      <c r="AJ265" s="17"/>
      <c r="AK265" s="15"/>
    </row>
    <row r="266" spans="1:38">
      <c r="A266" s="15"/>
      <c r="B266" s="20"/>
      <c r="C266" s="20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6"/>
      <c r="AB266" s="15"/>
      <c r="AC266" s="17"/>
      <c r="AD266" s="15"/>
      <c r="AE266" s="15"/>
      <c r="AF266" s="22"/>
      <c r="AG266" s="17"/>
      <c r="AH266" s="17"/>
      <c r="AI266" s="15"/>
      <c r="AJ266" s="17"/>
      <c r="AK266" s="15"/>
    </row>
    <row r="267" spans="1:38">
      <c r="A267" s="15"/>
      <c r="B267" s="20"/>
      <c r="C267" s="20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6"/>
      <c r="AB267" s="15"/>
      <c r="AC267" s="17"/>
      <c r="AD267" s="15"/>
      <c r="AE267" s="15"/>
      <c r="AF267" s="22"/>
      <c r="AG267" s="17"/>
      <c r="AH267" s="17"/>
      <c r="AI267" s="15"/>
      <c r="AJ267" s="17"/>
      <c r="AK267" s="15"/>
    </row>
    <row r="268" spans="1:38">
      <c r="A268" s="15"/>
      <c r="B268" s="20"/>
      <c r="C268" s="20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6"/>
      <c r="AB268" s="15"/>
      <c r="AC268" s="17"/>
      <c r="AD268" s="15"/>
      <c r="AE268" s="15"/>
      <c r="AF268" s="22"/>
      <c r="AG268" s="17"/>
      <c r="AH268" s="17"/>
      <c r="AI268" s="15"/>
      <c r="AJ268" s="17"/>
      <c r="AK268" s="15"/>
    </row>
    <row r="269" spans="1:38">
      <c r="A269" s="15"/>
      <c r="B269" s="20"/>
      <c r="C269" s="20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6"/>
      <c r="AB269" s="15"/>
      <c r="AC269" s="17"/>
      <c r="AD269" s="15"/>
      <c r="AE269" s="15"/>
      <c r="AF269" s="22"/>
      <c r="AG269" s="17"/>
      <c r="AH269" s="17"/>
      <c r="AI269" s="15"/>
      <c r="AJ269" s="17"/>
      <c r="AK269" s="15"/>
    </row>
    <row r="270" spans="1:38">
      <c r="A270" s="15"/>
      <c r="B270" s="20"/>
      <c r="C270" s="20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6"/>
      <c r="AB270" s="15"/>
      <c r="AC270" s="17"/>
      <c r="AD270" s="15"/>
      <c r="AE270" s="15"/>
      <c r="AF270" s="22"/>
      <c r="AG270" s="17"/>
      <c r="AH270" s="17"/>
      <c r="AI270" s="15"/>
      <c r="AJ270" s="47"/>
      <c r="AK270" s="15"/>
      <c r="AL270" s="56"/>
    </row>
    <row r="271" spans="1:38">
      <c r="A271" s="15"/>
      <c r="B271" s="20"/>
      <c r="C271" s="20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6"/>
      <c r="AB271" s="15"/>
      <c r="AC271" s="17"/>
      <c r="AD271" s="15"/>
      <c r="AE271" s="15"/>
      <c r="AF271" s="22"/>
      <c r="AG271" s="17"/>
      <c r="AH271" s="17"/>
      <c r="AI271" s="15"/>
      <c r="AJ271" s="17"/>
      <c r="AK271" s="15"/>
    </row>
    <row r="272" spans="1:38">
      <c r="A272" s="15"/>
      <c r="B272" s="20"/>
      <c r="C272" s="20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6"/>
      <c r="AB272" s="15"/>
      <c r="AC272" s="17"/>
      <c r="AD272" s="15"/>
      <c r="AE272" s="15"/>
      <c r="AF272" s="22"/>
      <c r="AG272" s="17"/>
      <c r="AH272" s="17"/>
      <c r="AI272" s="15"/>
      <c r="AJ272" s="17"/>
      <c r="AK272" s="15"/>
    </row>
    <row r="273" spans="1:38">
      <c r="A273" s="15"/>
      <c r="B273" s="20"/>
      <c r="C273" s="20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6"/>
      <c r="AB273" s="15"/>
      <c r="AC273" s="17"/>
      <c r="AD273" s="15"/>
      <c r="AE273" s="15"/>
      <c r="AF273" s="22"/>
      <c r="AG273" s="17"/>
      <c r="AH273" s="17"/>
      <c r="AI273" s="15"/>
      <c r="AJ273" s="17"/>
      <c r="AK273" s="15"/>
    </row>
    <row r="274" spans="1:38">
      <c r="A274" s="15"/>
      <c r="B274" s="20"/>
      <c r="C274" s="20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6"/>
      <c r="AB274" s="15"/>
      <c r="AC274" s="17"/>
      <c r="AD274" s="15"/>
      <c r="AE274" s="15"/>
      <c r="AF274" s="22"/>
      <c r="AG274" s="17"/>
      <c r="AH274" s="17"/>
      <c r="AI274" s="15"/>
      <c r="AJ274" s="17"/>
      <c r="AK274" s="15"/>
    </row>
    <row r="275" spans="1:38">
      <c r="A275" s="15"/>
      <c r="B275" s="20"/>
      <c r="C275" s="20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6"/>
      <c r="AB275" s="15"/>
      <c r="AC275" s="17"/>
      <c r="AD275" s="15"/>
      <c r="AE275" s="15"/>
      <c r="AF275" s="22"/>
      <c r="AG275" s="17"/>
      <c r="AH275" s="17"/>
      <c r="AI275" s="15"/>
      <c r="AJ275" s="17"/>
      <c r="AK275" s="15"/>
    </row>
    <row r="276" spans="1:38">
      <c r="A276" s="15"/>
      <c r="B276" s="20"/>
      <c r="C276" s="20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6"/>
      <c r="AB276" s="15"/>
      <c r="AC276" s="17"/>
      <c r="AD276" s="15"/>
      <c r="AE276" s="15"/>
      <c r="AF276" s="22"/>
      <c r="AG276" s="17"/>
      <c r="AH276" s="17"/>
      <c r="AI276" s="15"/>
      <c r="AJ276" s="17"/>
      <c r="AK276" s="15"/>
    </row>
    <row r="277" spans="1:38">
      <c r="A277" s="15"/>
      <c r="B277" s="20"/>
      <c r="C277" s="20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6"/>
      <c r="AB277" s="15"/>
      <c r="AC277" s="17"/>
      <c r="AD277" s="15"/>
      <c r="AE277" s="15"/>
      <c r="AF277" s="22"/>
      <c r="AG277" s="17"/>
      <c r="AH277" s="17"/>
      <c r="AI277" s="15"/>
      <c r="AJ277" s="17"/>
      <c r="AK277" s="15"/>
    </row>
    <row r="278" spans="1:38">
      <c r="A278" s="15"/>
      <c r="B278" s="20"/>
      <c r="C278" s="20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6"/>
      <c r="AB278" s="15"/>
      <c r="AC278" s="17"/>
      <c r="AD278" s="15"/>
      <c r="AE278" s="15"/>
      <c r="AF278" s="22"/>
      <c r="AG278" s="17"/>
      <c r="AH278" s="17"/>
      <c r="AI278" s="15"/>
      <c r="AJ278" s="17"/>
      <c r="AK278" s="15"/>
      <c r="AL278" s="56"/>
    </row>
    <row r="279" spans="1:38">
      <c r="A279" s="15"/>
      <c r="B279" s="20"/>
      <c r="C279" s="20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6"/>
      <c r="AB279" s="15"/>
      <c r="AC279" s="17"/>
      <c r="AD279" s="15"/>
      <c r="AE279" s="15"/>
      <c r="AF279" s="22"/>
      <c r="AG279" s="17"/>
      <c r="AH279" s="17"/>
      <c r="AI279" s="15"/>
      <c r="AJ279" s="17"/>
      <c r="AK279" s="15"/>
    </row>
    <row r="280" spans="1:38">
      <c r="A280" s="15"/>
      <c r="B280" s="20"/>
      <c r="C280" s="20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6"/>
      <c r="AB280" s="15"/>
      <c r="AC280" s="17"/>
      <c r="AD280" s="15"/>
      <c r="AE280" s="15"/>
      <c r="AF280" s="22"/>
      <c r="AG280" s="17"/>
      <c r="AH280" s="17"/>
      <c r="AI280" s="15"/>
      <c r="AJ280" s="17"/>
      <c r="AK280" s="15"/>
    </row>
    <row r="281" spans="1:38">
      <c r="A281" s="15"/>
      <c r="B281" s="20"/>
      <c r="C281" s="20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6"/>
      <c r="AB281" s="15"/>
      <c r="AC281" s="17"/>
      <c r="AD281" s="15"/>
      <c r="AE281" s="15"/>
      <c r="AF281" s="22"/>
      <c r="AG281" s="17"/>
      <c r="AH281" s="17"/>
      <c r="AI281" s="15"/>
      <c r="AJ281" s="17"/>
      <c r="AK281" s="15"/>
    </row>
    <row r="282" spans="1:38">
      <c r="A282" s="15"/>
      <c r="B282" s="20"/>
      <c r="C282" s="20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6"/>
      <c r="AB282" s="15"/>
      <c r="AC282" s="17"/>
      <c r="AD282" s="15"/>
      <c r="AE282" s="15"/>
      <c r="AF282" s="22"/>
      <c r="AG282" s="17"/>
      <c r="AH282" s="17"/>
      <c r="AI282" s="15"/>
      <c r="AJ282" s="17"/>
      <c r="AK282" s="15"/>
    </row>
    <row r="283" spans="1:38">
      <c r="A283" s="15"/>
      <c r="B283" s="20"/>
      <c r="C283" s="20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6"/>
      <c r="AB283" s="15"/>
      <c r="AC283" s="17"/>
      <c r="AD283" s="15"/>
      <c r="AE283" s="15"/>
      <c r="AF283" s="22"/>
      <c r="AG283" s="17"/>
      <c r="AH283" s="17"/>
      <c r="AI283" s="15"/>
      <c r="AJ283" s="17"/>
      <c r="AK283" s="15"/>
    </row>
    <row r="284" spans="1:38">
      <c r="A284" s="15"/>
      <c r="B284" s="20"/>
      <c r="C284" s="20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6"/>
      <c r="AB284" s="15"/>
      <c r="AC284" s="17"/>
      <c r="AD284" s="15"/>
      <c r="AE284" s="15"/>
      <c r="AF284" s="22"/>
      <c r="AG284" s="17"/>
      <c r="AH284" s="17"/>
      <c r="AI284" s="15"/>
      <c r="AJ284" s="17"/>
      <c r="AK284" s="15"/>
    </row>
    <row r="285" spans="1:38">
      <c r="A285" s="15"/>
      <c r="B285" s="20"/>
      <c r="C285" s="20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6"/>
      <c r="AB285" s="15"/>
      <c r="AC285" s="17"/>
      <c r="AD285" s="15"/>
      <c r="AE285" s="15"/>
      <c r="AF285" s="22"/>
      <c r="AG285" s="17"/>
      <c r="AH285" s="17"/>
      <c r="AI285" s="15"/>
      <c r="AJ285" s="17"/>
      <c r="AK285" s="15"/>
    </row>
    <row r="286" spans="1:38">
      <c r="A286" s="15"/>
      <c r="B286" s="20"/>
      <c r="C286" s="20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6"/>
      <c r="AB286" s="15"/>
      <c r="AC286" s="17"/>
      <c r="AD286" s="15"/>
      <c r="AE286" s="15"/>
      <c r="AF286" s="22"/>
      <c r="AG286" s="17"/>
      <c r="AH286" s="17"/>
      <c r="AI286" s="15"/>
      <c r="AJ286" s="17"/>
      <c r="AK286" s="15"/>
      <c r="AL286" s="56"/>
    </row>
    <row r="287" spans="1:38">
      <c r="A287" s="15"/>
      <c r="B287" s="20"/>
      <c r="C287" s="20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6"/>
      <c r="AB287" s="15"/>
      <c r="AC287" s="17"/>
      <c r="AD287" s="15"/>
      <c r="AE287" s="15"/>
      <c r="AF287" s="22"/>
      <c r="AG287" s="17"/>
      <c r="AH287" s="17"/>
      <c r="AI287" s="15"/>
      <c r="AJ287" s="17"/>
      <c r="AK287" s="15"/>
    </row>
    <row r="288" spans="1:38">
      <c r="A288" s="15"/>
      <c r="B288" s="20"/>
      <c r="C288" s="20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6"/>
      <c r="AB288" s="15"/>
      <c r="AC288" s="17"/>
      <c r="AD288" s="15"/>
      <c r="AE288" s="15"/>
      <c r="AF288" s="22"/>
      <c r="AG288" s="17"/>
      <c r="AH288" s="17"/>
      <c r="AI288" s="15"/>
      <c r="AJ288" s="17"/>
      <c r="AK288" s="15"/>
    </row>
    <row r="289" spans="1:37">
      <c r="A289" s="15"/>
      <c r="B289" s="20"/>
      <c r="C289" s="20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6"/>
      <c r="AB289" s="15"/>
      <c r="AC289" s="17"/>
      <c r="AD289" s="15"/>
      <c r="AE289" s="15"/>
      <c r="AF289" s="22"/>
      <c r="AG289" s="17"/>
      <c r="AH289" s="17"/>
      <c r="AI289" s="15"/>
      <c r="AJ289" s="17"/>
      <c r="AK289" s="15"/>
    </row>
    <row r="290" spans="1:37">
      <c r="A290" s="15"/>
      <c r="B290" s="20"/>
      <c r="C290" s="20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6"/>
      <c r="AB290" s="15"/>
      <c r="AC290" s="17"/>
      <c r="AD290" s="15"/>
      <c r="AE290" s="15"/>
      <c r="AF290" s="22"/>
      <c r="AG290" s="17"/>
      <c r="AH290" s="17"/>
      <c r="AI290" s="15"/>
      <c r="AJ290" s="17"/>
      <c r="AK290" s="15"/>
    </row>
    <row r="291" spans="1:37">
      <c r="A291" s="15"/>
      <c r="B291" s="20"/>
      <c r="C291" s="20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6"/>
      <c r="AB291" s="15"/>
      <c r="AC291" s="17"/>
      <c r="AD291" s="15"/>
      <c r="AE291" s="15"/>
      <c r="AF291" s="22"/>
      <c r="AG291" s="17"/>
      <c r="AH291" s="17"/>
      <c r="AI291" s="15"/>
      <c r="AJ291" s="17"/>
      <c r="AK291" s="15"/>
    </row>
    <row r="292" spans="1:37">
      <c r="A292" s="15"/>
      <c r="B292" s="20"/>
      <c r="C292" s="20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6"/>
      <c r="AB292" s="15"/>
      <c r="AC292" s="17"/>
      <c r="AD292" s="15"/>
      <c r="AE292" s="15"/>
      <c r="AF292" s="22"/>
      <c r="AG292" s="17"/>
      <c r="AH292" s="17"/>
      <c r="AI292" s="15"/>
      <c r="AJ292" s="17"/>
      <c r="AK292" s="15"/>
    </row>
    <row r="293" spans="1:37" ht="13.5" thickBot="1">
      <c r="A293" s="15"/>
      <c r="B293" s="20"/>
      <c r="C293" s="20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6"/>
      <c r="AB293" s="42"/>
      <c r="AC293" s="43"/>
      <c r="AD293" s="15"/>
      <c r="AE293" s="15"/>
      <c r="AF293" s="22"/>
      <c r="AG293" s="17"/>
      <c r="AH293" s="17"/>
      <c r="AI293" s="15"/>
      <c r="AJ293" s="17"/>
      <c r="AK293" s="15"/>
    </row>
    <row r="294" spans="1:37">
      <c r="AF294" s="11"/>
      <c r="AG294" s="6"/>
      <c r="AH294" s="6"/>
      <c r="AJ294" s="19"/>
    </row>
    <row r="295" spans="1:37">
      <c r="AF295" s="11"/>
      <c r="AG295" s="6"/>
      <c r="AH295" s="6"/>
      <c r="AJ295" s="19"/>
    </row>
    <row r="296" spans="1:37">
      <c r="AF296" s="18"/>
      <c r="AG296" s="6"/>
      <c r="AH296" s="6"/>
      <c r="AJ296" s="19"/>
    </row>
    <row r="297" spans="1:37">
      <c r="AF297" s="11"/>
      <c r="AG297" s="6"/>
      <c r="AH297" s="6"/>
      <c r="AJ297" s="19"/>
    </row>
    <row r="302" spans="1:37">
      <c r="W302" s="5">
        <v>4.37981</v>
      </c>
      <c r="AE302" s="5" t="s">
        <v>160</v>
      </c>
      <c r="AF302" s="11" t="s">
        <v>5</v>
      </c>
    </row>
    <row r="310" spans="23:32">
      <c r="W310" s="5">
        <v>4.0648900000000001</v>
      </c>
      <c r="AE310" s="5" t="s">
        <v>161</v>
      </c>
      <c r="AF310" s="10" t="s">
        <v>218</v>
      </c>
    </row>
    <row r="318" spans="23:32">
      <c r="W318" s="5">
        <v>3.7800199999999999</v>
      </c>
      <c r="AE318" s="5" t="s">
        <v>162</v>
      </c>
      <c r="AF318" s="11" t="s">
        <v>5</v>
      </c>
    </row>
    <row r="326" spans="23:32">
      <c r="W326" s="5">
        <v>3.8457400000000002</v>
      </c>
      <c r="AE326" s="5" t="s">
        <v>163</v>
      </c>
      <c r="AF326" s="11" t="s">
        <v>5</v>
      </c>
    </row>
    <row r="334" spans="23:32">
      <c r="W334" s="5">
        <v>3.80647</v>
      </c>
      <c r="AE334" s="5" t="s">
        <v>164</v>
      </c>
      <c r="AF334" s="11" t="s">
        <v>5</v>
      </c>
    </row>
    <row r="342" spans="23:32">
      <c r="W342" s="5">
        <v>3.7637999999999998</v>
      </c>
      <c r="AE342" s="5" t="s">
        <v>165</v>
      </c>
      <c r="AF342" s="11" t="s">
        <v>5</v>
      </c>
    </row>
    <row r="350" spans="23:32">
      <c r="W350" s="5">
        <v>4.2992299999999997</v>
      </c>
      <c r="AE350" s="5" t="s">
        <v>166</v>
      </c>
      <c r="AF350" s="11" t="s">
        <v>5</v>
      </c>
    </row>
    <row r="358" spans="23:32">
      <c r="W358" s="5">
        <v>4.5805400000000001</v>
      </c>
      <c r="AE358" s="5" t="s">
        <v>167</v>
      </c>
      <c r="AF358" s="11" t="s">
        <v>5</v>
      </c>
    </row>
    <row r="366" spans="23:32">
      <c r="W366" s="5">
        <v>4.3682800000000004</v>
      </c>
      <c r="AE366" s="5" t="s">
        <v>168</v>
      </c>
      <c r="AF366" s="11" t="s">
        <v>5</v>
      </c>
    </row>
    <row r="374" spans="23:32">
      <c r="W374" s="5">
        <v>4.0598299999999998</v>
      </c>
      <c r="AE374" s="5" t="s">
        <v>169</v>
      </c>
      <c r="AF374" s="11" t="s">
        <v>5</v>
      </c>
    </row>
    <row r="382" spans="23:32">
      <c r="W382" s="5">
        <v>3.7830599999999999</v>
      </c>
      <c r="AE382" s="5" t="s">
        <v>170</v>
      </c>
      <c r="AF382" s="11" t="s">
        <v>5</v>
      </c>
    </row>
    <row r="390" spans="23:32">
      <c r="W390" s="5">
        <v>3.83745</v>
      </c>
      <c r="AE390" s="5" t="s">
        <v>171</v>
      </c>
      <c r="AF390" s="11" t="s">
        <v>5</v>
      </c>
    </row>
    <row r="398" spans="23:32">
      <c r="W398" s="5">
        <v>3.74796</v>
      </c>
      <c r="AE398" s="5" t="s">
        <v>172</v>
      </c>
      <c r="AF398" s="11" t="s">
        <v>5</v>
      </c>
    </row>
    <row r="406" spans="23:32">
      <c r="W406" s="5">
        <v>3.73603</v>
      </c>
      <c r="AE406" s="5" t="s">
        <v>173</v>
      </c>
      <c r="AF406" s="11" t="s">
        <v>5</v>
      </c>
    </row>
    <row r="414" spans="23:32">
      <c r="W414" s="5">
        <v>4.33439</v>
      </c>
      <c r="AE414" s="5" t="s">
        <v>174</v>
      </c>
      <c r="AF414" s="11" t="s">
        <v>5</v>
      </c>
    </row>
    <row r="422" spans="23:32">
      <c r="W422" s="5">
        <v>4.60128</v>
      </c>
      <c r="AE422" s="5" t="s">
        <v>175</v>
      </c>
      <c r="AF422" s="11" t="s">
        <v>5</v>
      </c>
    </row>
    <row r="430" spans="23:32">
      <c r="W430" s="5">
        <v>4.4014100000000003</v>
      </c>
      <c r="AE430" s="5" t="s">
        <v>176</v>
      </c>
      <c r="AF430" s="11" t="s">
        <v>5</v>
      </c>
    </row>
    <row r="438" spans="23:32">
      <c r="W438" s="5">
        <v>4.1056299999999997</v>
      </c>
      <c r="AE438" s="5" t="s">
        <v>177</v>
      </c>
      <c r="AF438" s="10" t="s">
        <v>218</v>
      </c>
    </row>
    <row r="446" spans="23:32">
      <c r="W446" s="5">
        <v>3.8370600000000001</v>
      </c>
      <c r="AE446" s="5" t="s">
        <v>178</v>
      </c>
      <c r="AF446" s="11" t="s">
        <v>5</v>
      </c>
    </row>
    <row r="454" spans="23:32">
      <c r="W454" s="5">
        <v>3.8450700000000002</v>
      </c>
      <c r="AE454" s="5" t="s">
        <v>179</v>
      </c>
      <c r="AF454" s="11" t="s">
        <v>5</v>
      </c>
    </row>
    <row r="462" spans="23:32">
      <c r="W462" s="5">
        <v>3.7547999999999999</v>
      </c>
      <c r="AE462" s="5" t="s">
        <v>180</v>
      </c>
      <c r="AF462" s="11" t="s">
        <v>5</v>
      </c>
    </row>
    <row r="470" spans="23:32">
      <c r="W470" s="5">
        <v>3.7270099999999999</v>
      </c>
      <c r="AE470" s="5" t="s">
        <v>181</v>
      </c>
      <c r="AF470" s="11" t="s">
        <v>5</v>
      </c>
    </row>
    <row r="478" spans="23:32">
      <c r="W478" s="5">
        <v>4.3196599999999998</v>
      </c>
      <c r="AE478" s="5" t="s">
        <v>182</v>
      </c>
      <c r="AF478" s="11" t="s">
        <v>5</v>
      </c>
    </row>
    <row r="486" spans="23:32">
      <c r="W486" s="5">
        <v>4.5913000000000004</v>
      </c>
      <c r="AE486" s="5" t="s">
        <v>183</v>
      </c>
      <c r="AF486" s="11" t="s">
        <v>5</v>
      </c>
    </row>
    <row r="494" spans="23:32">
      <c r="W494" s="5">
        <v>4.3851000000000004</v>
      </c>
      <c r="AE494" s="5" t="s">
        <v>184</v>
      </c>
      <c r="AF494" s="11" t="s">
        <v>5</v>
      </c>
    </row>
    <row r="502" spans="23:32">
      <c r="W502" s="5">
        <v>4.0885899999999999</v>
      </c>
      <c r="AE502" s="5" t="s">
        <v>185</v>
      </c>
      <c r="AF502" s="10" t="s">
        <v>218</v>
      </c>
    </row>
    <row r="510" spans="23:32">
      <c r="W510" s="5">
        <v>3.8210500000000001</v>
      </c>
      <c r="AE510" s="5" t="s">
        <v>186</v>
      </c>
      <c r="AF510" s="11" t="s">
        <v>5</v>
      </c>
    </row>
    <row r="518" spans="23:32">
      <c r="W518" s="5">
        <v>3.8567900000000002</v>
      </c>
      <c r="AE518" s="5" t="s">
        <v>187</v>
      </c>
      <c r="AF518" s="11" t="s">
        <v>5</v>
      </c>
    </row>
    <row r="526" spans="23:32">
      <c r="W526" s="5">
        <v>3.7665199999999999</v>
      </c>
      <c r="AE526" s="5" t="s">
        <v>188</v>
      </c>
      <c r="AF526" s="11" t="s">
        <v>5</v>
      </c>
    </row>
    <row r="534" spans="23:32">
      <c r="W534" s="5">
        <v>3.7287300000000001</v>
      </c>
      <c r="AE534" s="5" t="s">
        <v>189</v>
      </c>
      <c r="AF534" s="11" t="s">
        <v>5</v>
      </c>
    </row>
    <row r="542" spans="23:32">
      <c r="W542" s="5">
        <v>4.3180399999999999</v>
      </c>
      <c r="AE542" s="5" t="s">
        <v>190</v>
      </c>
      <c r="AF542" s="11" t="s">
        <v>5</v>
      </c>
    </row>
    <row r="550" spans="23:32">
      <c r="W550" s="5">
        <v>4.5900499999999997</v>
      </c>
      <c r="AE550" s="5" t="s">
        <v>191</v>
      </c>
      <c r="AF550" s="11" t="s">
        <v>5</v>
      </c>
    </row>
    <row r="558" spans="23:32">
      <c r="W558" s="5">
        <v>4.3807799999999997</v>
      </c>
      <c r="AE558" s="5" t="s">
        <v>192</v>
      </c>
      <c r="AF558" s="10" t="s">
        <v>218</v>
      </c>
    </row>
    <row r="566" spans="23:32">
      <c r="W566" s="5">
        <v>4.0839800000000004</v>
      </c>
      <c r="AE566" s="5" t="s">
        <v>193</v>
      </c>
      <c r="AF566" s="11" t="s">
        <v>5</v>
      </c>
    </row>
    <row r="574" spans="23:32">
      <c r="W574" s="5">
        <v>3.81704</v>
      </c>
      <c r="AE574" s="5" t="s">
        <v>194</v>
      </c>
      <c r="AF574" s="11" t="s">
        <v>5</v>
      </c>
    </row>
    <row r="582" spans="23:32">
      <c r="W582" s="5">
        <v>3.8437299999999999</v>
      </c>
      <c r="AE582" s="5" t="s">
        <v>195</v>
      </c>
      <c r="AF582" s="11" t="s">
        <v>5</v>
      </c>
    </row>
    <row r="590" spans="23:32">
      <c r="W590" s="5">
        <v>3.6910099999999999</v>
      </c>
      <c r="AE590" s="5" t="s">
        <v>196</v>
      </c>
      <c r="AF590" s="11" t="s">
        <v>5</v>
      </c>
    </row>
    <row r="598" spans="23:32">
      <c r="W598" s="5">
        <v>3.54603</v>
      </c>
      <c r="AE598" s="5" t="s">
        <v>197</v>
      </c>
      <c r="AF598" s="11" t="s">
        <v>5</v>
      </c>
    </row>
    <row r="606" spans="23:32">
      <c r="W606" s="5">
        <v>3.9665699999999999</v>
      </c>
      <c r="AE606" s="5" t="s">
        <v>198</v>
      </c>
      <c r="AF606" s="11" t="s">
        <v>5</v>
      </c>
    </row>
    <row r="614" spans="23:32">
      <c r="W614" s="5">
        <v>4.0839999999999996</v>
      </c>
      <c r="AE614" s="5" t="s">
        <v>199</v>
      </c>
      <c r="AF614" s="11" t="s">
        <v>5</v>
      </c>
    </row>
    <row r="622" spans="23:32">
      <c r="W622" s="5">
        <v>3.8266300000000002</v>
      </c>
      <c r="AE622" s="5" t="s">
        <v>200</v>
      </c>
      <c r="AF622" s="11" t="s">
        <v>5</v>
      </c>
    </row>
    <row r="630" spans="23:32">
      <c r="W630" s="5">
        <v>3.5358900000000002</v>
      </c>
      <c r="AE630" s="5" t="s">
        <v>201</v>
      </c>
      <c r="AF630" s="11" t="s">
        <v>5</v>
      </c>
    </row>
    <row r="638" spans="23:32">
      <c r="W638" s="5">
        <v>3.2840500000000001</v>
      </c>
      <c r="AE638" s="5" t="s">
        <v>202</v>
      </c>
      <c r="AF638" s="11" t="s">
        <v>5</v>
      </c>
    </row>
    <row r="646" spans="23:32">
      <c r="W646" s="5">
        <v>3.81203</v>
      </c>
      <c r="AE646" s="5" t="s">
        <v>203</v>
      </c>
      <c r="AF646" s="11" t="s">
        <v>5</v>
      </c>
    </row>
    <row r="654" spans="23:32">
      <c r="W654" s="5">
        <v>3.6106500000000001</v>
      </c>
      <c r="AE654" s="5" t="s">
        <v>204</v>
      </c>
      <c r="AF654" s="11" t="s">
        <v>5</v>
      </c>
    </row>
    <row r="662" spans="23:32">
      <c r="W662" s="5">
        <v>3.3479100000000002</v>
      </c>
      <c r="AE662" s="5" t="s">
        <v>205</v>
      </c>
      <c r="AF662" s="11" t="s">
        <v>5</v>
      </c>
    </row>
    <row r="670" spans="23:32">
      <c r="W670" s="5">
        <v>3.5778500000000002</v>
      </c>
      <c r="AE670" s="5" t="s">
        <v>206</v>
      </c>
      <c r="AF670" s="11" t="s">
        <v>5</v>
      </c>
    </row>
    <row r="678" spans="23:32">
      <c r="W678" s="5">
        <v>3.5040300000000002</v>
      </c>
      <c r="AE678" s="5" t="s">
        <v>207</v>
      </c>
      <c r="AF678" s="11" t="s">
        <v>5</v>
      </c>
    </row>
    <row r="686" spans="23:32">
      <c r="W686" s="5">
        <v>3.1820499999999998</v>
      </c>
      <c r="AE686" s="5" t="s">
        <v>208</v>
      </c>
      <c r="AF686" s="11" t="s">
        <v>5</v>
      </c>
    </row>
    <row r="694" spans="23:32">
      <c r="W694" s="5">
        <v>2.8938199999999998</v>
      </c>
      <c r="AE694" s="5" t="s">
        <v>209</v>
      </c>
      <c r="AF694" s="11" t="s">
        <v>5</v>
      </c>
    </row>
    <row r="702" spans="23:32">
      <c r="W702" s="5">
        <v>2.65455</v>
      </c>
      <c r="AE702" s="5" t="s">
        <v>210</v>
      </c>
      <c r="AF702" s="11" t="s">
        <v>5</v>
      </c>
    </row>
    <row r="710" spans="23:32">
      <c r="W710" s="5">
        <v>3.7929400000000002</v>
      </c>
      <c r="AE710" s="5" t="s">
        <v>211</v>
      </c>
      <c r="AF710" s="11" t="s">
        <v>5</v>
      </c>
    </row>
    <row r="718" spans="23:32">
      <c r="W718" s="5">
        <v>3.5464500000000001</v>
      </c>
      <c r="AE718" s="5" t="s">
        <v>212</v>
      </c>
      <c r="AF718" s="11" t="s">
        <v>5</v>
      </c>
    </row>
    <row r="726" spans="23:32">
      <c r="W726" s="5">
        <v>3.20207</v>
      </c>
      <c r="AE726" s="5" t="s">
        <v>213</v>
      </c>
      <c r="AF726" s="11" t="s">
        <v>5</v>
      </c>
    </row>
    <row r="734" spans="23:32">
      <c r="W734" s="5">
        <v>3.2898299999999998</v>
      </c>
      <c r="AE734" s="5" t="s">
        <v>214</v>
      </c>
      <c r="AF734" s="11" t="s">
        <v>5</v>
      </c>
    </row>
    <row r="742" spans="23:32">
      <c r="W742" s="5">
        <v>3.0584899999999999</v>
      </c>
      <c r="AE742" s="5" t="s">
        <v>215</v>
      </c>
      <c r="AF742" s="11" t="s">
        <v>5</v>
      </c>
    </row>
    <row r="750" spans="23:32">
      <c r="W750" s="5">
        <v>2.67319</v>
      </c>
      <c r="AE750" s="5" t="s">
        <v>216</v>
      </c>
      <c r="AF750" s="11" t="s">
        <v>5</v>
      </c>
    </row>
    <row r="758" spans="23:32">
      <c r="W758" s="5">
        <v>2.3793099999999998</v>
      </c>
      <c r="AE758" s="5" t="s">
        <v>217</v>
      </c>
      <c r="AF758" s="11" t="s">
        <v>5</v>
      </c>
    </row>
    <row r="766" spans="23:32">
      <c r="W766" s="5">
        <v>2.14574</v>
      </c>
      <c r="AE766" s="5" t="s">
        <v>226</v>
      </c>
      <c r="AF766" s="11" t="s">
        <v>5</v>
      </c>
    </row>
  </sheetData>
  <mergeCells count="13"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L297"/>
  <sheetViews>
    <sheetView topLeftCell="M1" zoomScaleNormal="100" workbookViewId="0">
      <pane ySplit="5" topLeftCell="A188" activePane="bottomLeft" state="frozen"/>
      <selection pane="bottomLeft" activeCell="M200" sqref="A200:XFD200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111" t="s">
        <v>0</v>
      </c>
      <c r="J2" s="112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113" t="s">
        <v>1</v>
      </c>
      <c r="J3" s="114"/>
      <c r="K3" s="13" t="s">
        <v>816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110" t="s">
        <v>26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26" t="s">
        <v>27</v>
      </c>
      <c r="T4" s="115" t="s">
        <v>30</v>
      </c>
      <c r="U4" s="115"/>
      <c r="V4" s="115" t="s">
        <v>515</v>
      </c>
      <c r="W4" s="115"/>
      <c r="X4" s="115"/>
      <c r="Y4" s="115"/>
      <c r="Z4" s="115"/>
      <c r="AA4" s="115"/>
      <c r="AB4" s="115"/>
      <c r="AC4" s="115"/>
      <c r="AD4" s="115"/>
      <c r="AE4" s="110" t="s">
        <v>3</v>
      </c>
      <c r="AF4" s="110" t="s">
        <v>4</v>
      </c>
      <c r="AG4" s="110" t="s">
        <v>224</v>
      </c>
      <c r="AH4" s="110" t="s">
        <v>225</v>
      </c>
      <c r="AI4" s="110" t="s">
        <v>223</v>
      </c>
      <c r="AJ4" s="110" t="s">
        <v>525</v>
      </c>
      <c r="AK4" s="110" t="s">
        <v>526</v>
      </c>
      <c r="AL4" s="110" t="s">
        <v>914</v>
      </c>
    </row>
    <row r="5" spans="1:38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0"/>
      <c r="AF5" s="110"/>
      <c r="AG5" s="110"/>
      <c r="AH5" s="110"/>
      <c r="AI5" s="110"/>
      <c r="AJ5" s="110"/>
      <c r="AK5" s="110"/>
      <c r="AL5" s="110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3.7949899999999999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12721.617624638202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1.0291446827925916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4.1746400000000001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3">W7*S7</f>
        <v>12429.104588627908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1.00548116416313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4.8144400000000003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3"/>
        <v>11792.686053340658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0.95399661471770136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5.2202200000000003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3"/>
        <v>9954.7735423285649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0.80531443105555334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4.9815100000000001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3"/>
        <v>6622.1682840731528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0.5357156203871869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4.6869500000000004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3"/>
        <v>4391.6455619293138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0.35527232558978705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4.50197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3"/>
        <v>3119.3434778352362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0.25234650566768491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4.3185000000000002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3"/>
        <v>2020.3958201687592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0.1634445930394948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3.79704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30" t="s">
        <v>219</v>
      </c>
      <c r="AG14" s="23">
        <f t="shared" si="3"/>
        <v>9813.3351505828268</v>
      </c>
      <c r="AH14" s="23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1.0297006122152579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4.1788699999999999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3"/>
        <v>9592.226620215275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1.0064999790368463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4.8026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3"/>
        <v>9069.4955462578637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0.95165048102027061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5.2161099999999996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3"/>
        <v>7668.8294116681645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0.80468038836929912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4.9825400000000002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3"/>
        <v>5106.5755035151797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0.5358263874214797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4.6877199999999997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3"/>
        <v>3386.4009858172608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0.35533069183877714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4.50108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3"/>
        <v>2404.4574218931552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0.25229661897584915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4.3105500000000001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3"/>
        <v>1554.8051899552822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0.16314370511205148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3.8038400000000001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30" t="s">
        <v>219</v>
      </c>
      <c r="AG22" s="17">
        <f t="shared" si="3"/>
        <v>8583.1128810901773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1.0315446707880052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4.1867299999999998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3"/>
        <v>8390.476938996022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1.0083930960362335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4.8018999999999998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3"/>
        <v>7917.1878769925906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0.95151177379153717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5.2301700000000002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3"/>
        <v>6713.504203256457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0.80684940057580368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4.9999000000000002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3"/>
        <v>4473.9528831488433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0.53769329588295456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4.7023599999999997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3"/>
        <v>2965.8126776277786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0.35644040857282244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4.5145099999999996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3"/>
        <v>2105.5332422070505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0.25304940355040562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4.3186099999999996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3"/>
        <v>1359.9984228081821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0.16344875626867952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3.7707999999999999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3"/>
        <v>6850.5097526290283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1.022584715605128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4.15998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3"/>
        <v>6712.2750406424184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1.0019502360192349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4.7866499999999998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3"/>
        <v>6354.1332757870341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0.94848993773699208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5.2483599999999999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3"/>
        <v>5424.0524957134421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0.80965554083443292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5.0301400000000003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3"/>
        <v>3623.9063640361328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0.54094532997713651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4.7291600000000003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3"/>
        <v>2401.47825073389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0.35847185723897146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4.53925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3"/>
        <v>1704.5211433542947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0.25443614147851684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4.3318300000000001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3"/>
        <v>1098.3294550452199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0.16394910072161045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3.56602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3"/>
        <v>5358.4755134244606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0.96705143405701643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3.9458799999999998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3"/>
        <v>5266.1164686734091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0.95038327042523729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4.5824999999999996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3"/>
        <v>5031.4736860741577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0.90803696524286626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5.17584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3"/>
        <v>4424.3471422789435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0.79846800419035469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5.0453099999999997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3"/>
        <v>3006.4420439952364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0.54257672406472723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4.7479800000000001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3"/>
        <v>1994.2133369069072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0.35989841932467742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4.5579499999999999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3"/>
        <v>1415.6501279426466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0.25548432253169695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4.3418999999999999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3"/>
        <v>910.5611739661415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0.1643302254297053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3.4832800000000002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3"/>
        <v>4650.6698823138076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0.94461358018803199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3.8262999999999998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3"/>
        <v>4537.2765986906061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0.92158187973990247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4.4325099999999997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3"/>
        <v>4324.2630751185179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0.87831596918901456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5.0134100000000004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3"/>
        <v>3807.7745480286712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0.77341020527836435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5.0176499999999997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3"/>
        <v>2656.6539990824458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0.53960214526032668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4.7486699999999997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3"/>
        <v>1772.1659045874046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0.35995072154779856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4.5639200000000004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3"/>
        <v>1259.4880464468436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0.25581895573423657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4.3458800000000002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3"/>
        <v>809.79798670752143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0.16448085863111728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3.7947500000000001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3"/>
        <v>17639.155036711119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1.0290795983723771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4.1539599999999997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3"/>
        <v>17149.285422647696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1.0005002914471848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4.6958099999999998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3"/>
        <v>15949.254215724253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0.93048970251109764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5.0381099999999996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3"/>
        <v>13322.113517276264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0.77722063212762937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4.8282600000000002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3"/>
        <v>8900.0564443529838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0.51923499125579187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4.5578200000000004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3"/>
        <v>5921.8450180297968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0.34548422983382437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4.3850100000000003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3"/>
        <v>4213.0255780189855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0.2457906096259759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4.1953399999999998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3"/>
        <v>2721.6583425236845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0.1587832902540961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3.7541500000000001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3"/>
        <v>12449.049093788224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1.0180694839527398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4.10656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3"/>
        <v>12094.609241656679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0.98908378435164335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4.6426400000000001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3"/>
        <v>11249.282507033404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0.9199538977228896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4.9895199999999997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3"/>
        <v>9412.2662304061814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0.76972473574682743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4.79514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3"/>
        <v>6305.7007185475568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0.51567323962883072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4.5303399999999998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3"/>
        <v>4199.1425192635161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0.34340123694778807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4.3597000000000001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3"/>
        <v>2988.2027695659808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0.24437192179410472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4.1729200000000004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3"/>
        <v>1931.2409104435485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0.15793474845116792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3.7400199999999999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3"/>
        <v>10479.272610152415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1.0142376387126046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4.0919299999999996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0">W71*S71</f>
        <v>10182.971304879755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0.98556008184514987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4.62378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0"/>
        <v>9466.5042030472559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0.91621672867444859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4.9765800000000002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0"/>
        <v>7932.2990759017321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0.76772850402903448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4.7967000000000004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0"/>
        <v>5329.7553656727778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0.51584100329241944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4.5366099999999996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0"/>
        <v>3552.9894595870874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0.34387650497527888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4.3674600000000003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0"/>
        <v>2529.3856466759762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0.24480688890494323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4.1822800000000004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0"/>
        <v>1635.4683888885143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0.15828900140725213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3.56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10"/>
        <v>7660.7778750760881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0.97801737180697068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3.85555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0"/>
        <v>7467.1439231198965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0.95329698807140761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4.2478100000000003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0"/>
        <v>6952.7969621070588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0.88763260369560026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4.46793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0"/>
        <v>5882.0034829145961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0.75092917209304189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4.2423000000000002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0"/>
        <v>4019.1793440859951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0.51311071578156253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3.964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0"/>
        <v>2693.1813227021626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0.34382645757140284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3.7894100000000002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0"/>
        <v>1920.784991001073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0.24521806001149549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3.6276600000000001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0"/>
        <v>1250.4877123283502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0.15964419355732035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2.9957799999999999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10"/>
        <v>4759.9127528156214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0.83686324991769945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3.1944300000000001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0"/>
        <v>4640.7296167482509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0.81590908714954269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3.4530500000000002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0"/>
        <v>4375.4183841199847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0.76926343797338392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3.6126999999999998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0"/>
        <v>3840.6457966624043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0.67524248659314701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3.47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0"/>
        <v>2788.5323653211244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0.4902653428601027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3.2255400000000001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0"/>
        <v>1916.030925093828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0.33686665075286271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3.0622699999999998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0"/>
        <v>1379.210102879531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0.24248558932773323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2.9116900000000001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0"/>
        <v>903.44890149324578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0.1588397147386747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2.51911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0"/>
        <v>3007.0097198969361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0.71439277542507773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2.6395200000000001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0"/>
        <v>2918.8122956575194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0.6934392007589143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2.73576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0"/>
        <v>2705.6631613108566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0.64280012212281856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2.7417600000000002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0"/>
        <v>2358.1999745013504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0.56025127343090497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2.62154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0"/>
        <v>1792.7594705365573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0.42591628665240922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2.4704700000000002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0"/>
        <v>1296.4759034442393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0.30801131529598452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2.3635299999999999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0"/>
        <v>961.03215895208143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0.22831799537051822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2.2573500000000002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0"/>
        <v>643.60583819193334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0.15290517951550811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3.76694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54" t="s">
        <v>219</v>
      </c>
      <c r="AG102" s="39">
        <f t="shared" si="10"/>
        <v>7251.064133670895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1.021292029847618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4.1360299999999999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30" t="s">
        <v>219</v>
      </c>
      <c r="AG103" s="17">
        <f t="shared" si="10"/>
        <v>7069.2826144031851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0.99568861311053336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4.7036499999999997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0"/>
        <v>6610.7184099787546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0.93110113208449119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5.0484999999999998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0"/>
        <v>5520.6993325858584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0.77757500466357143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4.8466500000000003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0"/>
        <v>3692.6367760140092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0.52009752485199545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4.5906500000000001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0"/>
        <v>2464.5954779234312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0.34713135506738357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4.4244899999999996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0"/>
        <v>1756.2913563866989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0.24736870772372185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4.2664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0"/>
        <v>1143.3727780803295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0.16104084640153443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3.7887200000000001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0"/>
        <v>5593.5570608754952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1.0274443523144854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4.1504599999999998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0"/>
        <v>5442.2802934355923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0.99965730041692358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4.7194599999999998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0"/>
        <v>5091.2348174897379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0.93517602531044153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5.0766099999999996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0"/>
        <v>4263.6371713634544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0.78315996142709154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4.8897199999999996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0"/>
        <v>2862.7739560298101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0.52584444943794872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4.6315499999999998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0"/>
        <v>1911.2926015612654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0.35107298767543449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4.4625500000000002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0"/>
        <v>1361.7818993313958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0.25013691758659595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4.3020500000000004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0"/>
        <v>886.42674566674953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0.16282200103868444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3.79623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0"/>
        <v>4898.0912413435872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1.0294809522970338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4.1552800000000003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0"/>
        <v>4761.7189459769488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1.0008182194928839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4.7193899999999998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0"/>
        <v>4449.3388133127519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0.93516215458756846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5.0902900000000004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0"/>
        <v>3736.1796962620938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0.7852703516820696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4.9102399999999999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0"/>
        <v>2512.3756661686125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0.52805118685900088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4.6495899999999999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0"/>
        <v>1676.8502199373877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0.35244042550891691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4.4792100000000001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0"/>
        <v>1194.550949877161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0.25107075161579284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4.3168100000000003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0"/>
        <v>777.33661264181831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0.16338063070020184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3.7535599999999998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0"/>
        <v>3987.2369561743976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1.0179094847530452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4.1168199999999997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0"/>
        <v>3884.0040389443498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0.99155495234320967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4.6888500000000004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0"/>
        <v>3639.4040945140778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0.92911055635112183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5.1034199999999998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0"/>
        <v>3083.9041511244563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0.78729589437562641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4.93947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0"/>
        <v>2080.7338870941462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0.53119460473509017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4.67659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0"/>
        <v>1388.5554900279315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0.35448703423973843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4.5040699999999996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0"/>
        <v>988.92354043718728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0.2524642158394324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4.3323900000000002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0"/>
        <v>642.28542036300541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0.16397029534291466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3.6109399999999998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0"/>
        <v>3331.6877536492439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0.97923306804051669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3.9647100000000002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7">W135*S135</f>
        <v>3248.9614404810723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0.95491856216804438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4.5472900000000003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7"/>
        <v>3065.7160561881883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0.90105999163758532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5.0523600000000002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7"/>
        <v>2651.8514060848993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0.77941895530989802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4.9520200000000001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7"/>
        <v>1811.8987061647142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0.53254424190049987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4.6923500000000002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7"/>
        <v>1210.1513187235903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0.35568164733595142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4.5193099999999999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7"/>
        <v>861.87652672263687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0.25331845537154296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4.3401500000000004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7"/>
        <v>558.88260840744738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0.16426399223812976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3.5470899999999999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7"/>
        <v>2959.1884375910672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0.96191790041258973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3.8933900000000001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7"/>
        <v>2884.8114497368692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0.93774081351711525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4.4436600000000004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7"/>
        <v>2708.7971999140577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0.88052537718955093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4.9420900000000003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7"/>
        <v>2345.4271073083846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0.76240779058647734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4.9302200000000003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7"/>
        <v>1631.0760738478793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0.53019985224265687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4.6917900000000001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7"/>
        <v>1094.0678052064839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0.35563919915486764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4.5228700000000002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7"/>
        <v>779.90807773594599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0.25351800213888637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4.3432899999999997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7"/>
        <v>505.69781479839207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0.16438283350758534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3.7439200000000001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7"/>
        <v>9607.3897401965569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1.0152952605410923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4.0813600000000001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7"/>
        <v>9301.9256335738592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0.98301424893376066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4.5453200000000002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7"/>
        <v>8522.7268338304548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0.90066962986529342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4.8203199999999997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7"/>
        <v>7036.6442587891161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0.74362254048789245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4.6899499999999996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7"/>
        <v>4772.5948251356604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0.5043610218256892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4.4666199999999998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7"/>
        <v>3203.7831626081775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0.33857124034304925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4.3136700000000001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7"/>
        <v>2287.9928702850439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0.24179182693432497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4.1641300000000001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7"/>
        <v>1491.3341524074087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0.15760206859176834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3.7321800000000001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7"/>
        <v>6649.2894768420128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1.0121115476522611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4.06907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7"/>
        <v>6438.6813250093783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0.98005414614464215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4.5334099999999999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7"/>
        <v>5901.642712478455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0.89830962544498916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4.8170700000000002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7"/>
        <v>4882.0980033414635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0.74312116853404164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4.6952100000000003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7"/>
        <v>3317.2269507424539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0.50492668648625116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4.4753499999999997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7"/>
        <v>2228.6656747471111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0.33923297716601486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4.3234700000000004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7"/>
        <v>1592.113441304793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0.24234114106914645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4.1745599999999996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7"/>
        <v>1037.994857867925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0.15799681841355873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3.7144699999999999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7"/>
        <v>5584.9305271915173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1.0073088598105915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4.0472400000000004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7"/>
        <v>5404.6676036710105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0.97479629066161111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4.51173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7"/>
        <v>4956.7758265056327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0.89401366441793728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4.8057600000000003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7"/>
        <v>4110.4926412741843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0.74137639413464074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4.6976300000000002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7"/>
        <v>2800.9620972922412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0.50518693524643332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4.4830500000000004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7"/>
        <v>1884.0818344621966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0.33981663965591563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4.3329500000000003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7"/>
        <v>1346.5841475591267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0.24287251841589236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4.1853999999999996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7"/>
        <v>878.27339169898289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0.15840708572594669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3.5032899999999998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7"/>
        <v>4092.0310004746361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0.96307507942255144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3.7663600000000002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7"/>
        <v>3961.9928149555435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0.93247009724322838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4.1108399999999996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7"/>
        <v>3659.5061535975306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0.86127870954899011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4.2902199999999997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7"/>
        <v>3077.000364194053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0.72418375368751686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4.1210500000000003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7"/>
        <v>2130.8125790659665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0.50149485514173764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3.8852000000000002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7"/>
        <v>1442.0698787142608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0.33939663771230377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3.7290000000000001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7"/>
        <v>1033.1628900453113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0.24315882071064693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3.5812599999999999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7"/>
        <v>675.05813697936082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0.1588775033255683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2.9693999999999998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7"/>
        <v>2548.4072147951729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0.83014507843100571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3.1426599999999998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7"/>
        <v>2467.7942873917386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0.80388537215119293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3.3439000000000001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7"/>
        <v>2293.4599409490929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0.74709586109478165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3.45112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7"/>
        <v>1989.7456436871425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0.64816075855018951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3.33386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7"/>
        <v>1456.6366774824594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0.47450021403716142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3.1316099999999998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7"/>
        <v>1013.1218517197905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0.33002501098463155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2.9904600000000001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7"/>
        <v>734.21701848465989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0.23917160525081779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2.8563299999999998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7"/>
        <v>483.49599137468476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0.15749909015740823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2.5618500000000002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7"/>
        <v>1655.0578907164086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0.72690608642677668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2.66547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7"/>
        <v>1595.961718678496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0.70095088124643823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2.73455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7"/>
        <v>1465.5905739701907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0.64369150735114078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2.69834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7"/>
        <v>1259.2410374364592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0.55306220980265053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2.5503200000000001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7"/>
        <v>948.05460490529799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0.41638825229991799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2.3979200000000001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7"/>
        <v>685.11146818361885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0.30090288617511024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2.2959399999999999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7"/>
        <v>508.73128622374327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0.22343621355243948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2.2006899999999998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7"/>
        <v>342.19329993248027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0.15029226098412349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4"/>
        <v>14073.1</v>
      </c>
      <c r="M198" s="49"/>
      <c r="N198" s="49"/>
      <c r="O198" s="49"/>
      <c r="P198" s="49">
        <f t="shared" si="15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6"/>
        <v>2.911085210328002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49"/>
      <c r="AE198" s="49" t="s">
        <v>817</v>
      </c>
      <c r="AF198" s="55" t="s">
        <v>219</v>
      </c>
      <c r="AG198" s="52">
        <f t="shared" si="17"/>
        <v>6456.8753593980618</v>
      </c>
      <c r="AH198" s="52">
        <v>4741.8953999865516</v>
      </c>
      <c r="AI198" s="49">
        <f t="shared" si="18"/>
        <v>32.345391225866685</v>
      </c>
      <c r="AJ198" s="52">
        <f t="shared" si="19"/>
        <v>0.30000000000000004</v>
      </c>
      <c r="AK198" s="49">
        <f t="shared" si="20"/>
        <v>1.292421804298914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1">2*C199*F199+(E199-2*F199)*H199</f>
        <v>14073.1</v>
      </c>
      <c r="M199" s="25"/>
      <c r="N199" s="25"/>
      <c r="O199" s="25"/>
      <c r="P199" s="25">
        <f t="shared" ref="P199:P262" si="22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3">L199*T199/(S199*1000)</f>
        <v>3.3616121848830991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25"/>
      <c r="AE199" s="25" t="s">
        <v>818</v>
      </c>
      <c r="AF199" s="48" t="s">
        <v>5</v>
      </c>
      <c r="AG199" s="47">
        <f t="shared" ref="AG199:AG262" si="24">W199*S199</f>
        <v>6118.5012786313591</v>
      </c>
      <c r="AH199" s="47">
        <v>4211.5414591305607</v>
      </c>
      <c r="AI199" s="25">
        <f t="shared" ref="AI199:AI262" si="25">(PI()^2*U199*P199/K199^2)/(S199*1000)</f>
        <v>13.446448739532396</v>
      </c>
      <c r="AJ199" s="47">
        <f t="shared" ref="AJ199:AJ262" si="26">(V199/AI199)^0.5</f>
        <v>0.5</v>
      </c>
      <c r="AK199" s="25">
        <f t="shared" ref="AK199:AK262" si="27">W199/V199</f>
        <v>1.2246921338855057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1"/>
        <v>14073.1</v>
      </c>
      <c r="M200" s="25"/>
      <c r="N200" s="25"/>
      <c r="O200" s="25"/>
      <c r="P200" s="25">
        <f t="shared" si="22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3"/>
        <v>4.2977460236700828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25"/>
      <c r="AE200" s="25" t="s">
        <v>819</v>
      </c>
      <c r="AF200" s="48" t="s">
        <v>5</v>
      </c>
      <c r="AG200" s="47">
        <f t="shared" si="24"/>
        <v>5405.4426800834026</v>
      </c>
      <c r="AH200" s="47">
        <v>3464.8722437168653</v>
      </c>
      <c r="AI200" s="25">
        <f t="shared" si="25"/>
        <v>7.6404373754134829</v>
      </c>
      <c r="AJ200" s="47">
        <f t="shared" si="26"/>
        <v>0.74999999999999989</v>
      </c>
      <c r="AK200" s="25">
        <f t="shared" si="27"/>
        <v>1.0819648193238509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1"/>
        <v>14073.1</v>
      </c>
      <c r="M201" s="25"/>
      <c r="N201" s="25"/>
      <c r="O201" s="25"/>
      <c r="P201" s="25">
        <f t="shared" si="22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3"/>
        <v>5.8180859796910287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25"/>
      <c r="AE201" s="25" t="s">
        <v>820</v>
      </c>
      <c r="AF201" s="48" t="s">
        <v>5</v>
      </c>
      <c r="AG201" s="47">
        <f t="shared" si="24"/>
        <v>4256.3357927025836</v>
      </c>
      <c r="AH201" s="47">
        <v>2697.5086530284602</v>
      </c>
      <c r="AI201" s="25">
        <f t="shared" si="25"/>
        <v>5.8180859796910287</v>
      </c>
      <c r="AJ201" s="47">
        <f t="shared" si="26"/>
        <v>1</v>
      </c>
      <c r="AK201" s="25">
        <f t="shared" si="27"/>
        <v>0.8519571586433019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1"/>
        <v>14073.1</v>
      </c>
      <c r="M202" s="25"/>
      <c r="N202" s="25"/>
      <c r="O202" s="25"/>
      <c r="P202" s="25">
        <f t="shared" si="22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3"/>
        <v>8.7117405537348809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25"/>
      <c r="AE202" s="25" t="s">
        <v>821</v>
      </c>
      <c r="AF202" s="48" t="s">
        <v>5</v>
      </c>
      <c r="AG202" s="47">
        <f t="shared" si="24"/>
        <v>2743.9721928663953</v>
      </c>
      <c r="AH202" s="47">
        <v>1880.4399720886074</v>
      </c>
      <c r="AI202" s="25">
        <f t="shared" si="25"/>
        <v>4.9249480206540097</v>
      </c>
      <c r="AJ202" s="47">
        <f t="shared" si="26"/>
        <v>1.3300000000000003</v>
      </c>
      <c r="AK202" s="25">
        <f t="shared" si="27"/>
        <v>0.54923926745599161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1"/>
        <v>14073.1</v>
      </c>
      <c r="M203" s="25"/>
      <c r="N203" s="25"/>
      <c r="O203" s="25"/>
      <c r="P203" s="25">
        <f t="shared" si="22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3"/>
        <v>12.625224316549293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25"/>
      <c r="AE203" s="25" t="s">
        <v>822</v>
      </c>
      <c r="AF203" s="48" t="s">
        <v>5</v>
      </c>
      <c r="AG203" s="47">
        <f t="shared" si="24"/>
        <v>1802.3802863099929</v>
      </c>
      <c r="AH203" s="47">
        <v>1325.4313219327296</v>
      </c>
      <c r="AI203" s="25">
        <f t="shared" si="25"/>
        <v>4.5269548268311128</v>
      </c>
      <c r="AJ203" s="47">
        <f t="shared" si="26"/>
        <v>1.6700000000000002</v>
      </c>
      <c r="AK203" s="25">
        <f t="shared" si="27"/>
        <v>0.36076824346237879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1"/>
        <v>14073.1</v>
      </c>
      <c r="M204" s="25"/>
      <c r="N204" s="25"/>
      <c r="O204" s="25"/>
      <c r="P204" s="25">
        <f t="shared" si="22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3"/>
        <v>17.258481055920633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25"/>
      <c r="AE204" s="25" t="s">
        <v>823</v>
      </c>
      <c r="AF204" s="48" t="s">
        <v>5</v>
      </c>
      <c r="AG204" s="47">
        <f t="shared" si="24"/>
        <v>1273.8189710303729</v>
      </c>
      <c r="AH204" s="47">
        <v>980.12365232843217</v>
      </c>
      <c r="AI204" s="25">
        <f t="shared" si="25"/>
        <v>4.3146202639801583</v>
      </c>
      <c r="AJ204" s="47">
        <f t="shared" si="26"/>
        <v>2</v>
      </c>
      <c r="AK204" s="25">
        <f t="shared" si="27"/>
        <v>0.25497029464770971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1"/>
        <v>14073.1</v>
      </c>
      <c r="M205" s="25"/>
      <c r="N205" s="25"/>
      <c r="O205" s="25"/>
      <c r="P205" s="25">
        <f t="shared" si="22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3"/>
        <v>25.786530747415384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25"/>
      <c r="AE205" s="25" t="s">
        <v>824</v>
      </c>
      <c r="AF205" s="48" t="s">
        <v>5</v>
      </c>
      <c r="AG205" s="47">
        <f t="shared" si="24"/>
        <v>823.68520223872724</v>
      </c>
      <c r="AH205" s="47">
        <v>661.79549313716848</v>
      </c>
      <c r="AI205" s="25">
        <f t="shared" si="25"/>
        <v>4.1258449195864602</v>
      </c>
      <c r="AJ205" s="47">
        <f t="shared" si="26"/>
        <v>2.5000000000000004</v>
      </c>
      <c r="AK205" s="25">
        <f t="shared" si="27"/>
        <v>0.16487056912167708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4"/>
        <v>5300.5895816664706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1.3789470131340424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4"/>
        <v>5323.6830051210081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1.3849547612920619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4"/>
        <v>5286.9809541714512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1.3754067321996317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4"/>
        <v>4818.0417470003977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1.2534123183505459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4"/>
        <v>3602.1042064920703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0.93708648066620981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4"/>
        <v>2571.6384421681901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0.66901107774007651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4"/>
        <v>1899.2571028541388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0.49409124566307971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4"/>
        <v>1272.6757156276435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0.33108625931404845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1"/>
        <v>9336</v>
      </c>
      <c r="M214" s="25"/>
      <c r="N214" s="25"/>
      <c r="O214" s="25"/>
      <c r="P214" s="25">
        <f t="shared" si="22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3"/>
        <v>2.7424616053867705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25"/>
      <c r="AE214" s="25" t="s">
        <v>833</v>
      </c>
      <c r="AF214" s="48" t="s">
        <v>5</v>
      </c>
      <c r="AG214" s="47">
        <f t="shared" si="24"/>
        <v>4581.3235916672311</v>
      </c>
      <c r="AH214" s="47">
        <v>3145.7415533375333</v>
      </c>
      <c r="AI214" s="25">
        <f t="shared" si="25"/>
        <v>30.47179561540856</v>
      </c>
      <c r="AJ214" s="47">
        <f t="shared" si="26"/>
        <v>0.30000000000000004</v>
      </c>
      <c r="AK214" s="25">
        <f t="shared" si="27"/>
        <v>1.3822982945518276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1"/>
        <v>9336</v>
      </c>
      <c r="M215" s="25"/>
      <c r="N215" s="25"/>
      <c r="O215" s="25"/>
      <c r="P215" s="25">
        <f t="shared" si="22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3"/>
        <v>2.9799611850721228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25"/>
      <c r="AE215" s="25" t="s">
        <v>834</v>
      </c>
      <c r="AF215" s="48" t="s">
        <v>5</v>
      </c>
      <c r="AG215" s="47">
        <f t="shared" si="24"/>
        <v>4599.0682733232661</v>
      </c>
      <c r="AH215" s="47">
        <v>2793.9083117751534</v>
      </c>
      <c r="AI215" s="25">
        <f t="shared" si="25"/>
        <v>11.91984474028849</v>
      </c>
      <c r="AJ215" s="47">
        <f t="shared" si="26"/>
        <v>0.5</v>
      </c>
      <c r="AK215" s="25">
        <f t="shared" si="27"/>
        <v>1.3876523025584035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1"/>
        <v>9336</v>
      </c>
      <c r="M216" s="25"/>
      <c r="N216" s="25"/>
      <c r="O216" s="25"/>
      <c r="P216" s="25">
        <f t="shared" si="22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3"/>
        <v>3.3736951056817723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25"/>
      <c r="AE216" s="25" t="s">
        <v>835</v>
      </c>
      <c r="AF216" s="48" t="s">
        <v>5</v>
      </c>
      <c r="AG216" s="47">
        <f t="shared" si="24"/>
        <v>4574.2376307835948</v>
      </c>
      <c r="AH216" s="47">
        <v>2298.5729702297758</v>
      </c>
      <c r="AI216" s="25">
        <f t="shared" si="25"/>
        <v>5.9976801878787063</v>
      </c>
      <c r="AJ216" s="47">
        <f t="shared" si="26"/>
        <v>0.75</v>
      </c>
      <c r="AK216" s="25">
        <f t="shared" si="27"/>
        <v>1.3801602854265769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1"/>
        <v>9336</v>
      </c>
      <c r="M217" s="25"/>
      <c r="N217" s="25"/>
      <c r="O217" s="25"/>
      <c r="P217" s="25">
        <f t="shared" si="22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3"/>
        <v>3.9498428565284915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25"/>
      <c r="AE217" s="25" t="s">
        <v>836</v>
      </c>
      <c r="AF217" s="48" t="s">
        <v>5</v>
      </c>
      <c r="AG217" s="47">
        <f t="shared" si="24"/>
        <v>4187.7048413358025</v>
      </c>
      <c r="AH217" s="47">
        <v>1789.5091191474298</v>
      </c>
      <c r="AI217" s="25">
        <f t="shared" si="25"/>
        <v>3.9498428565284911</v>
      </c>
      <c r="AJ217" s="47">
        <f t="shared" si="26"/>
        <v>1</v>
      </c>
      <c r="AK217" s="25">
        <f t="shared" si="27"/>
        <v>1.2635338116682364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1"/>
        <v>9336</v>
      </c>
      <c r="M218" s="25"/>
      <c r="N218" s="25"/>
      <c r="O218" s="25"/>
      <c r="P218" s="25">
        <f t="shared" si="22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3"/>
        <v>5.1008998639310743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25"/>
      <c r="AE218" s="25" t="s">
        <v>837</v>
      </c>
      <c r="AF218" s="48" t="s">
        <v>5</v>
      </c>
      <c r="AG218" s="47">
        <f t="shared" si="24"/>
        <v>3146.6071052864095</v>
      </c>
      <c r="AH218" s="47">
        <v>1247.4712451001726</v>
      </c>
      <c r="AI218" s="25">
        <f t="shared" si="25"/>
        <v>2.8836564327723861</v>
      </c>
      <c r="AJ218" s="47">
        <f t="shared" si="26"/>
        <v>1.33</v>
      </c>
      <c r="AK218" s="25">
        <f t="shared" si="27"/>
        <v>0.94940895316219809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1"/>
        <v>9336</v>
      </c>
      <c r="M219" s="25"/>
      <c r="N219" s="25"/>
      <c r="O219" s="25"/>
      <c r="P219" s="25">
        <f t="shared" si="22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3"/>
        <v>6.7849385352452751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25"/>
      <c r="AE219" s="25" t="s">
        <v>838</v>
      </c>
      <c r="AF219" s="48" t="s">
        <v>5</v>
      </c>
      <c r="AG219" s="47">
        <f t="shared" si="24"/>
        <v>2251.0393133057137</v>
      </c>
      <c r="AH219" s="47">
        <v>879.28223501317882</v>
      </c>
      <c r="AI219" s="25">
        <f t="shared" si="25"/>
        <v>2.4328367941644649</v>
      </c>
      <c r="AJ219" s="47">
        <f t="shared" si="26"/>
        <v>1.67</v>
      </c>
      <c r="AK219" s="25">
        <f t="shared" si="27"/>
        <v>0.6791940672802883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1"/>
        <v>9336</v>
      </c>
      <c r="M220" s="25"/>
      <c r="N220" s="25"/>
      <c r="O220" s="25"/>
      <c r="P220" s="25">
        <f t="shared" si="22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3"/>
        <v>8.8640698726531895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25"/>
      <c r="AE220" s="25" t="s">
        <v>839</v>
      </c>
      <c r="AF220" s="48" t="s">
        <v>5</v>
      </c>
      <c r="AG220" s="47">
        <f t="shared" si="24"/>
        <v>1664.3843456509296</v>
      </c>
      <c r="AH220" s="47">
        <v>650.20744669889643</v>
      </c>
      <c r="AI220" s="25">
        <f t="shared" si="25"/>
        <v>2.2160174681632974</v>
      </c>
      <c r="AJ220" s="47">
        <f t="shared" si="26"/>
        <v>2</v>
      </c>
      <c r="AK220" s="25">
        <f t="shared" si="27"/>
        <v>0.50218579771501803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1"/>
        <v>9336</v>
      </c>
      <c r="M221" s="25"/>
      <c r="N221" s="25"/>
      <c r="O221" s="25"/>
      <c r="P221" s="25">
        <f t="shared" si="22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3"/>
        <v>12.768069670068993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25"/>
      <c r="AE221" s="25" t="s">
        <v>840</v>
      </c>
      <c r="AF221" s="48" t="s">
        <v>5</v>
      </c>
      <c r="AG221" s="47">
        <f t="shared" si="24"/>
        <v>1116.0039805079639</v>
      </c>
      <c r="AH221" s="47">
        <v>439.03068435018616</v>
      </c>
      <c r="AI221" s="25">
        <f t="shared" si="25"/>
        <v>2.0428911472110389</v>
      </c>
      <c r="AJ221" s="47">
        <f t="shared" si="26"/>
        <v>2.5</v>
      </c>
      <c r="AK221" s="25">
        <f t="shared" si="27"/>
        <v>0.33672591950829855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4"/>
        <v>3835.1127096712303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1.3578770966754341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4"/>
        <v>3846.8089223152851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1.3620183098468637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4"/>
        <v>3810.1417969436166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1.3490357840354166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4"/>
        <v>3481.8287856857414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1.2327918161845135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4"/>
        <v>2598.1133051940228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0.91989957499661346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4"/>
        <v>1847.3686254459835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0.65408756808738577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4"/>
        <v>1361.0195439183008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0.4818886449292219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4"/>
        <v>909.60333782575003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0.32205821132151191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1"/>
        <v>7023.4</v>
      </c>
      <c r="M230" s="25"/>
      <c r="N230" s="25"/>
      <c r="O230" s="25"/>
      <c r="P230" s="25">
        <f t="shared" si="22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3"/>
        <v>2.750718486878426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25"/>
      <c r="AE230" s="25" t="s">
        <v>849</v>
      </c>
      <c r="AF230" s="48" t="s">
        <v>5</v>
      </c>
      <c r="AG230" s="47">
        <f t="shared" si="24"/>
        <v>3280.6975336981645</v>
      </c>
      <c r="AH230" s="47">
        <v>2366.5168408002178</v>
      </c>
      <c r="AI230" s="25">
        <f t="shared" si="25"/>
        <v>30.563538743093631</v>
      </c>
      <c r="AJ230" s="47">
        <f t="shared" si="26"/>
        <v>0.3</v>
      </c>
      <c r="AK230" s="25">
        <f t="shared" si="27"/>
        <v>1.3158016777308872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1"/>
        <v>7023.4</v>
      </c>
      <c r="M231" s="25"/>
      <c r="N231" s="25"/>
      <c r="O231" s="25"/>
      <c r="P231" s="25">
        <f t="shared" si="22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3"/>
        <v>2.9968232543470044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25"/>
      <c r="AE231" s="25" t="s">
        <v>850</v>
      </c>
      <c r="AF231" s="48" t="s">
        <v>5</v>
      </c>
      <c r="AG231" s="47">
        <f t="shared" si="24"/>
        <v>3291.0681510908971</v>
      </c>
      <c r="AH231" s="47">
        <v>2101.8354366882622</v>
      </c>
      <c r="AI231" s="25">
        <f t="shared" si="25"/>
        <v>11.987293017388019</v>
      </c>
      <c r="AJ231" s="47">
        <f t="shared" si="26"/>
        <v>0.5</v>
      </c>
      <c r="AK231" s="25">
        <f t="shared" si="27"/>
        <v>1.3199610601866907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1"/>
        <v>7023.4</v>
      </c>
      <c r="M232" s="25"/>
      <c r="N232" s="25"/>
      <c r="O232" s="25"/>
      <c r="P232" s="25">
        <f t="shared" si="22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3"/>
        <v>3.4100563321537787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25"/>
      <c r="AE232" s="25" t="s">
        <v>851</v>
      </c>
      <c r="AF232" s="48" t="s">
        <v>5</v>
      </c>
      <c r="AG232" s="47">
        <f t="shared" si="24"/>
        <v>3276.853193460996</v>
      </c>
      <c r="AH232" s="47">
        <v>1729.1985217557631</v>
      </c>
      <c r="AI232" s="25">
        <f t="shared" si="25"/>
        <v>6.0623223682733851</v>
      </c>
      <c r="AJ232" s="47">
        <f t="shared" si="26"/>
        <v>0.74999999999999989</v>
      </c>
      <c r="AK232" s="25">
        <f t="shared" si="27"/>
        <v>1.3142598137577908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1"/>
        <v>7023.4</v>
      </c>
      <c r="M233" s="25"/>
      <c r="N233" s="25"/>
      <c r="O233" s="25"/>
      <c r="P233" s="25">
        <f t="shared" si="22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3"/>
        <v>4.0214773091146503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25"/>
      <c r="AE233" s="25" t="s">
        <v>852</v>
      </c>
      <c r="AF233" s="48" t="s">
        <v>5</v>
      </c>
      <c r="AG233" s="47">
        <f t="shared" si="24"/>
        <v>3046.4334869110971</v>
      </c>
      <c r="AH233" s="47">
        <v>1346.2337561503921</v>
      </c>
      <c r="AI233" s="25">
        <f t="shared" si="25"/>
        <v>4.0214773091146512</v>
      </c>
      <c r="AJ233" s="47">
        <f t="shared" si="26"/>
        <v>0.99999999999999989</v>
      </c>
      <c r="AK233" s="25">
        <f t="shared" si="27"/>
        <v>1.2218445169050971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1"/>
        <v>7023.4</v>
      </c>
      <c r="M234" s="25"/>
      <c r="N234" s="25"/>
      <c r="O234" s="25"/>
      <c r="P234" s="25">
        <f t="shared" si="22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3"/>
        <v>5.2456858867034244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25"/>
      <c r="AE234" s="25" t="s">
        <v>853</v>
      </c>
      <c r="AF234" s="48" t="s">
        <v>5</v>
      </c>
      <c r="AG234" s="47">
        <f t="shared" si="24"/>
        <v>2296.151945308231</v>
      </c>
      <c r="AH234" s="47">
        <v>938.46289019243318</v>
      </c>
      <c r="AI234" s="25">
        <f t="shared" si="25"/>
        <v>2.9655073134170533</v>
      </c>
      <c r="AJ234" s="47">
        <f t="shared" si="26"/>
        <v>1.3299999999999998</v>
      </c>
      <c r="AK234" s="25">
        <f t="shared" si="27"/>
        <v>0.92092628196537007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1"/>
        <v>7023.4</v>
      </c>
      <c r="M235" s="25"/>
      <c r="N235" s="25"/>
      <c r="O235" s="25"/>
      <c r="P235" s="25">
        <f t="shared" si="22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3"/>
        <v>7.028131810257892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25"/>
      <c r="AE235" s="25" t="s">
        <v>854</v>
      </c>
      <c r="AF235" s="48" t="s">
        <v>5</v>
      </c>
      <c r="AG235" s="47">
        <f t="shared" si="24"/>
        <v>1630.8220813376329</v>
      </c>
      <c r="AH235" s="47">
        <v>661.47716895796475</v>
      </c>
      <c r="AI235" s="25">
        <f t="shared" si="25"/>
        <v>2.5200372226533383</v>
      </c>
      <c r="AJ235" s="47">
        <f t="shared" si="26"/>
        <v>1.6699999999999995</v>
      </c>
      <c r="AK235" s="25">
        <f t="shared" si="27"/>
        <v>0.65407993533793984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1"/>
        <v>7023.4</v>
      </c>
      <c r="M236" s="25"/>
      <c r="N236" s="25"/>
      <c r="O236" s="25"/>
      <c r="P236" s="25">
        <f t="shared" si="22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3"/>
        <v>9.2195938478619475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25"/>
      <c r="AE236" s="25" t="s">
        <v>855</v>
      </c>
      <c r="AF236" s="48" t="s">
        <v>5</v>
      </c>
      <c r="AG236" s="47">
        <f t="shared" si="24"/>
        <v>1199.8662573509546</v>
      </c>
      <c r="AH236" s="47">
        <v>489.14599198211556</v>
      </c>
      <c r="AI236" s="25">
        <f t="shared" si="25"/>
        <v>2.3048984619654873</v>
      </c>
      <c r="AJ236" s="47">
        <f t="shared" si="26"/>
        <v>1.9999999999999998</v>
      </c>
      <c r="AK236" s="25">
        <f t="shared" si="27"/>
        <v>0.48123486492074763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1"/>
        <v>7023.4</v>
      </c>
      <c r="M237" s="25"/>
      <c r="N237" s="25"/>
      <c r="O237" s="25"/>
      <c r="P237" s="25">
        <f t="shared" si="22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3"/>
        <v>13.324513504603559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25"/>
      <c r="AE237" s="25" t="s">
        <v>856</v>
      </c>
      <c r="AF237" s="48" t="s">
        <v>5</v>
      </c>
      <c r="AG237" s="47">
        <f t="shared" si="24"/>
        <v>799.3843452760949</v>
      </c>
      <c r="AH237" s="47">
        <v>330.2793603754389</v>
      </c>
      <c r="AI237" s="25">
        <f t="shared" si="25"/>
        <v>2.1319221607365697</v>
      </c>
      <c r="AJ237" s="47">
        <f t="shared" si="26"/>
        <v>2.5</v>
      </c>
      <c r="AK237" s="25">
        <f t="shared" si="27"/>
        <v>0.32061208077308367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4"/>
        <v>2979.1258226799123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1.2997725876580448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4"/>
        <v>2978.2332862005755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1.2993831799866753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4"/>
        <v>2957.6860248510825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1.2904185478619763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4"/>
        <v>2753.1868046503319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1.2011969115716112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4"/>
        <v>2099.9096666941164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0.9161764839028792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4"/>
        <v>1494.8570466486394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0.65219608950706776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4"/>
        <v>1099.7331317643423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0.47980617922367119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1"/>
        <v>6456.4400000000005</v>
      </c>
      <c r="M245" s="15"/>
      <c r="N245" s="15"/>
      <c r="O245" s="15"/>
      <c r="P245" s="15">
        <f t="shared" si="22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3"/>
        <v>13.527268455591814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/>
      <c r="AE245" s="15" t="s">
        <v>864</v>
      </c>
      <c r="AF245" s="22" t="s">
        <v>5</v>
      </c>
      <c r="AG245" s="17">
        <f t="shared" si="24"/>
        <v>732.05610683688917</v>
      </c>
      <c r="AH245" s="17">
        <v>303.61774546550089</v>
      </c>
      <c r="AI245" s="15">
        <f t="shared" si="25"/>
        <v>2.1643629528946904</v>
      </c>
      <c r="AJ245" s="17">
        <f t="shared" si="26"/>
        <v>2.5</v>
      </c>
      <c r="AK245" s="15">
        <f t="shared" si="27"/>
        <v>0.31939116268621287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1"/>
        <v>18131.148799999999</v>
      </c>
      <c r="M246" s="25"/>
      <c r="N246" s="25"/>
      <c r="O246" s="25"/>
      <c r="P246" s="25">
        <f t="shared" si="22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3"/>
        <v>2.911085210328002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25"/>
      <c r="AE246" s="25" t="s">
        <v>865</v>
      </c>
      <c r="AF246" s="48" t="s">
        <v>5</v>
      </c>
      <c r="AG246" s="47">
        <f t="shared" si="24"/>
        <v>8234.8161809479716</v>
      </c>
      <c r="AH246" s="47">
        <v>6109.2446647285724</v>
      </c>
      <c r="AI246" s="25">
        <f t="shared" si="25"/>
        <v>32.345391225866685</v>
      </c>
      <c r="AJ246" s="47">
        <f t="shared" si="26"/>
        <v>0.30000000000000004</v>
      </c>
      <c r="AK246" s="25">
        <f t="shared" si="27"/>
        <v>1.2793819936244188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1"/>
        <v>18131.148799999999</v>
      </c>
      <c r="M247" s="25"/>
      <c r="N247" s="25"/>
      <c r="O247" s="25"/>
      <c r="P247" s="25">
        <f t="shared" si="22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3"/>
        <v>3.3616121848830995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25"/>
      <c r="AE247" s="25" t="s">
        <v>866</v>
      </c>
      <c r="AF247" s="48" t="s">
        <v>5</v>
      </c>
      <c r="AG247" s="47">
        <f t="shared" si="24"/>
        <v>7733.7788069091985</v>
      </c>
      <c r="AH247" s="47">
        <v>5425.9605113916132</v>
      </c>
      <c r="AI247" s="25">
        <f t="shared" si="25"/>
        <v>13.4464487395324</v>
      </c>
      <c r="AJ247" s="47">
        <f t="shared" si="26"/>
        <v>0.5</v>
      </c>
      <c r="AK247" s="25">
        <f t="shared" si="27"/>
        <v>1.2015395524098686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1"/>
        <v>18131.148799999999</v>
      </c>
      <c r="M248" s="25"/>
      <c r="N248" s="25"/>
      <c r="O248" s="25"/>
      <c r="P248" s="25">
        <f t="shared" si="22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3"/>
        <v>4.2977460236700828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25"/>
      <c r="AE248" s="25" t="s">
        <v>867</v>
      </c>
      <c r="AF248" s="48" t="s">
        <v>5</v>
      </c>
      <c r="AG248" s="47">
        <f t="shared" si="24"/>
        <v>6651.4179330484931</v>
      </c>
      <c r="AH248" s="47">
        <v>4463.9854917410057</v>
      </c>
      <c r="AI248" s="25">
        <f t="shared" si="25"/>
        <v>7.6404373754134793</v>
      </c>
      <c r="AJ248" s="47">
        <f t="shared" si="26"/>
        <v>0.75000000000000011</v>
      </c>
      <c r="AK248" s="25">
        <f t="shared" si="27"/>
        <v>1.0333812132079887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1"/>
        <v>18131.148799999999</v>
      </c>
      <c r="M249" s="25"/>
      <c r="N249" s="25"/>
      <c r="O249" s="25"/>
      <c r="P249" s="25">
        <f t="shared" si="22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3"/>
        <v>5.8180859796910287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25"/>
      <c r="AE249" s="25" t="s">
        <v>868</v>
      </c>
      <c r="AF249" s="48" t="s">
        <v>5</v>
      </c>
      <c r="AG249" s="47">
        <f t="shared" si="24"/>
        <v>5175.6218348627008</v>
      </c>
      <c r="AH249" s="47">
        <v>3475.34877016056</v>
      </c>
      <c r="AI249" s="25">
        <f t="shared" si="25"/>
        <v>5.8180859796910296</v>
      </c>
      <c r="AJ249" s="47">
        <f t="shared" si="26"/>
        <v>1</v>
      </c>
      <c r="AK249" s="25">
        <f t="shared" si="27"/>
        <v>0.80409777654204462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1"/>
        <v>18131.148799999999</v>
      </c>
      <c r="M250" s="25"/>
      <c r="N250" s="25"/>
      <c r="O250" s="25"/>
      <c r="P250" s="25">
        <f t="shared" si="22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3"/>
        <v>8.7117405537348791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25"/>
      <c r="AE250" s="25" t="s">
        <v>869</v>
      </c>
      <c r="AF250" s="48" t="s">
        <v>5</v>
      </c>
      <c r="AG250" s="47">
        <f t="shared" si="24"/>
        <v>3386.0981845153287</v>
      </c>
      <c r="AH250" s="47">
        <v>2422.6742468543816</v>
      </c>
      <c r="AI250" s="25">
        <f t="shared" si="25"/>
        <v>4.9249480206540097</v>
      </c>
      <c r="AJ250" s="47">
        <f t="shared" si="26"/>
        <v>1.33</v>
      </c>
      <c r="AK250" s="25">
        <f t="shared" si="27"/>
        <v>0.5260728291587129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1"/>
        <v>18131.148799999999</v>
      </c>
      <c r="M251" s="25"/>
      <c r="N251" s="25"/>
      <c r="O251" s="25"/>
      <c r="P251" s="25">
        <f t="shared" si="22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3"/>
        <v>12.625224316549295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25"/>
      <c r="AE251" s="25" t="s">
        <v>870</v>
      </c>
      <c r="AF251" s="48" t="s">
        <v>5</v>
      </c>
      <c r="AG251" s="47">
        <f t="shared" si="24"/>
        <v>2241.4117772246004</v>
      </c>
      <c r="AH251" s="47">
        <v>1707.6260754306461</v>
      </c>
      <c r="AI251" s="25">
        <f t="shared" si="25"/>
        <v>4.5269548268311155</v>
      </c>
      <c r="AJ251" s="47">
        <f t="shared" si="26"/>
        <v>1.6699999999999997</v>
      </c>
      <c r="AK251" s="25">
        <f t="shared" si="27"/>
        <v>0.34823143650897476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1"/>
        <v>18131.148799999999</v>
      </c>
      <c r="M252" s="25"/>
      <c r="N252" s="25"/>
      <c r="O252" s="25"/>
      <c r="P252" s="25">
        <f t="shared" si="22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3"/>
        <v>17.258481055920633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25"/>
      <c r="AE252" s="25" t="s">
        <v>871</v>
      </c>
      <c r="AF252" s="48" t="s">
        <v>5</v>
      </c>
      <c r="AG252" s="47">
        <f t="shared" si="24"/>
        <v>1589.2461819428411</v>
      </c>
      <c r="AH252" s="47">
        <v>1262.7472115430339</v>
      </c>
      <c r="AI252" s="25">
        <f t="shared" si="25"/>
        <v>4.3146202639801592</v>
      </c>
      <c r="AJ252" s="47">
        <f t="shared" si="26"/>
        <v>1.9999999999999998</v>
      </c>
      <c r="AK252" s="25">
        <f t="shared" si="27"/>
        <v>0.24690933032824117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1"/>
        <v>18131.148799999999</v>
      </c>
      <c r="M253" s="25"/>
      <c r="N253" s="25"/>
      <c r="O253" s="25"/>
      <c r="P253" s="25">
        <f t="shared" si="22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3"/>
        <v>25.786530747415377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25"/>
      <c r="AE253" s="25" t="s">
        <v>872</v>
      </c>
      <c r="AF253" s="48" t="s">
        <v>5</v>
      </c>
      <c r="AG253" s="47">
        <f t="shared" si="24"/>
        <v>1029.8405355865559</v>
      </c>
      <c r="AH253" s="47">
        <v>852.62753488850217</v>
      </c>
      <c r="AI253" s="25">
        <f t="shared" si="25"/>
        <v>4.1258449195864602</v>
      </c>
      <c r="AJ253" s="47">
        <f t="shared" si="26"/>
        <v>2.5</v>
      </c>
      <c r="AK253" s="25">
        <f t="shared" si="27"/>
        <v>0.15999864582068826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4"/>
        <v>5854.6871129466717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1.2793064204329445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4"/>
        <v>5499.1173437449479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1.2016109467250962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4"/>
        <v>4735.0783640846403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1.0346609537905427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4"/>
        <v>3690.8187175909288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0.80648000328265701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4"/>
        <v>2418.1963982405714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0.52839957429936235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4"/>
        <v>1601.4042395415415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0.34992249557174443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4"/>
        <v>1135.7128277711245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0.24816436545733617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4"/>
        <v>736.08830584701718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0.16084249721788257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4"/>
        <v>4897.0110383750616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1.2784575624089582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1">W263*S263</f>
        <v>4642.8412595829022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1.2121017234520437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1"/>
        <v>4067.7999285202891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1.0619762831306643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1"/>
        <v>3227.3498064683076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0.84256084666445952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1"/>
        <v>2144.8502064385279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0.55995380552902363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1"/>
        <v>1429.7712929506092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0.37326889967445914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1"/>
        <v>1017.3227258226513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0.26559138258957921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1"/>
        <v>661.10013416599429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0.17259272225666553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1"/>
        <v>3593.8768634013213</v>
      </c>
      <c r="AH270" s="17">
        <v>2804.879544008154</v>
      </c>
      <c r="AI270" s="15">
        <f t="shared" si="32"/>
        <v>31.607590439765573</v>
      </c>
      <c r="AJ270" s="17">
        <f t="shared" si="33"/>
        <v>0.3</v>
      </c>
      <c r="AK270" s="15">
        <f t="shared" si="34"/>
        <v>1.2323692404346125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1"/>
        <v>3444.3292772224304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1.1810881720527409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1"/>
        <v>3123.5176169956776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1.0710792771842519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1"/>
        <v>2572.5644512766398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0.88215301171682126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1"/>
        <v>1769.5587973403617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0.60679592369751367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1"/>
        <v>1197.5617813927256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0.41065355297446393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1"/>
        <v>858.1276224138104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0.29425885371854349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1"/>
        <v>560.74258143912732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0.19228313474086708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1"/>
        <v>2264.7712971545643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1.0709958246539557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1"/>
        <v>2190.9598426060284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1.0360908610788533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1"/>
        <v>2010.1985758030596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0.95061001705351211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1"/>
        <v>1714.4992806666112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0.81077571641479274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1"/>
        <v>1245.1344746421221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0.58881610922473626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1"/>
        <v>866.37031136780229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0.40970096505763809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1"/>
        <v>628.58641412997258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0.29725448473018951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1"/>
        <v>414.49125127654861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0.19601025500036656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1"/>
        <v>1477.7737370664759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0.95205424078282674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1"/>
        <v>1419.0928381678996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0.91424913080689763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1"/>
        <v>1292.1321046817582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0.83245480621135792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1"/>
        <v>1097.3967619670705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0.70699675792458172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1"/>
        <v>817.41620513446719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0.52661956635372731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1"/>
        <v>588.65313449147925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0.37923918864279171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1"/>
        <v>436.58637685825113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0.28127033329271411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28"/>
        <v>4372.38</v>
      </c>
      <c r="M293" s="42"/>
      <c r="N293" s="42"/>
      <c r="O293" s="42"/>
      <c r="P293" s="42">
        <f t="shared" si="29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0"/>
        <v>12.815632725397306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42"/>
      <c r="AE293" s="42" t="s">
        <v>912</v>
      </c>
      <c r="AF293" s="44" t="s">
        <v>5</v>
      </c>
      <c r="AG293" s="43">
        <f t="shared" si="31"/>
        <v>293.71309860397912</v>
      </c>
      <c r="AH293" s="43">
        <v>370.25188473625445</v>
      </c>
      <c r="AI293" s="42">
        <f t="shared" si="32"/>
        <v>2.0505012360635688</v>
      </c>
      <c r="AJ293" s="43">
        <f t="shared" si="33"/>
        <v>2.5</v>
      </c>
      <c r="AK293" s="42">
        <f t="shared" si="34"/>
        <v>0.18922436776720442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08C7-8124-431F-96F9-4CDA62C16E18}">
  <sheetPr codeName="Sheet6"/>
  <dimension ref="A1:AQ297"/>
  <sheetViews>
    <sheetView topLeftCell="AG1" zoomScaleNormal="100" workbookViewId="0">
      <pane ySplit="5" topLeftCell="A6" activePane="bottomLeft" state="frozen"/>
      <selection pane="bottomLeft" activeCell="AQ4" sqref="AQ4:AQ5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3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104"/>
    <col min="36" max="36" width="13.5703125" style="5" bestFit="1" customWidth="1"/>
    <col min="37" max="16384" width="9.140625" style="5"/>
  </cols>
  <sheetData>
    <row r="1" spans="1:43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99"/>
    </row>
    <row r="2" spans="1:43" s="1" customFormat="1" ht="14.65" customHeight="1">
      <c r="I2" s="111" t="s">
        <v>0</v>
      </c>
      <c r="J2" s="112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99"/>
    </row>
    <row r="3" spans="1:43" s="1" customFormat="1" ht="15.4" customHeight="1">
      <c r="I3" s="113" t="s">
        <v>1</v>
      </c>
      <c r="J3" s="114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99"/>
    </row>
    <row r="4" spans="1:43" ht="29.25" customHeight="1">
      <c r="A4" s="25"/>
      <c r="B4" s="110" t="s">
        <v>26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26" t="s">
        <v>27</v>
      </c>
      <c r="T4" s="115" t="s">
        <v>30</v>
      </c>
      <c r="U4" s="115"/>
      <c r="V4" s="115" t="s">
        <v>515</v>
      </c>
      <c r="W4" s="115"/>
      <c r="X4" s="115"/>
      <c r="Y4" s="115"/>
      <c r="Z4" s="115"/>
      <c r="AA4" s="115"/>
      <c r="AB4" s="115"/>
      <c r="AC4" s="115"/>
      <c r="AD4" s="115"/>
      <c r="AE4" s="110" t="s">
        <v>3</v>
      </c>
      <c r="AF4" s="110" t="s">
        <v>4</v>
      </c>
      <c r="AG4" s="110" t="s">
        <v>224</v>
      </c>
      <c r="AH4" s="110" t="s">
        <v>225</v>
      </c>
      <c r="AI4" s="116" t="s">
        <v>223</v>
      </c>
      <c r="AJ4" s="110" t="s">
        <v>517</v>
      </c>
      <c r="AK4" s="110" t="s">
        <v>516</v>
      </c>
      <c r="AL4" s="110" t="s">
        <v>914</v>
      </c>
      <c r="AP4" s="109" t="s">
        <v>964</v>
      </c>
      <c r="AQ4" s="109" t="s">
        <v>965</v>
      </c>
    </row>
    <row r="5" spans="1:43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0"/>
      <c r="AF5" s="110"/>
      <c r="AG5" s="110"/>
      <c r="AH5" s="110"/>
      <c r="AI5" s="116"/>
      <c r="AJ5" s="110"/>
      <c r="AK5" s="110"/>
      <c r="AL5" s="110"/>
      <c r="AP5" s="109"/>
      <c r="AQ5" s="109"/>
    </row>
    <row r="6" spans="1:43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3.8453499999999998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100">
        <f>(PI()^2*U6*P6/K6^2)/(S6*1000)</f>
        <v>40.97242716265734</v>
      </c>
      <c r="AJ6" s="17">
        <f>(V6/AI6)^0.5</f>
        <v>0.30000000000000004</v>
      </c>
      <c r="AK6" s="15">
        <f>W6/V6</f>
        <v>1.0428015636342893</v>
      </c>
      <c r="AL6" s="56">
        <v>26.521000000000001</v>
      </c>
      <c r="AM6" s="5">
        <v>3.8453499999999998</v>
      </c>
      <c r="AN6" s="11" t="s">
        <v>5</v>
      </c>
      <c r="AP6">
        <f>AI6</f>
        <v>40.97242716265734</v>
      </c>
      <c r="AQ6" s="73">
        <f t="shared" ref="AQ6:AQ37" si="0">AI6/AP6</f>
        <v>1</v>
      </c>
    </row>
    <row r="7" spans="1:43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3">L7*T7/(S7*1000)</f>
        <v>4.1518828485211712</v>
      </c>
      <c r="W7" s="15">
        <v>4.2300300000000002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4">W7*S7</f>
        <v>12594.016557843002</v>
      </c>
      <c r="AH7" s="17">
        <v>10420.507171923251</v>
      </c>
      <c r="AI7" s="100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1.0188220993534689</v>
      </c>
      <c r="AL7" s="5">
        <v>26.521000000000001</v>
      </c>
      <c r="AM7" s="5">
        <v>4.2300300000000002</v>
      </c>
      <c r="AN7" s="18" t="s">
        <v>219</v>
      </c>
      <c r="AP7">
        <v>17.158000000000001</v>
      </c>
      <c r="AQ7">
        <f t="shared" si="0"/>
        <v>0.96791767071247703</v>
      </c>
    </row>
    <row r="8" spans="1:43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3"/>
        <v>5.0466007171573128</v>
      </c>
      <c r="W8" s="15">
        <v>4.8628999999999998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4"/>
        <v>11911.385957409435</v>
      </c>
      <c r="AH8" s="17">
        <v>8573.0430095072952</v>
      </c>
      <c r="AI8" s="100">
        <f t="shared" si="5"/>
        <v>8.9717346082796663</v>
      </c>
      <c r="AJ8" s="17">
        <f t="shared" si="6"/>
        <v>0.75000000000000011</v>
      </c>
      <c r="AK8" s="15">
        <f t="shared" si="7"/>
        <v>0.96359911800971854</v>
      </c>
      <c r="AL8" s="5">
        <v>26.521000000000001</v>
      </c>
      <c r="AM8" s="5">
        <v>4.8628999999999998</v>
      </c>
      <c r="AN8" s="11" t="s">
        <v>5</v>
      </c>
      <c r="AP8">
        <v>9.4640000000000004</v>
      </c>
      <c r="AQ8">
        <f t="shared" si="0"/>
        <v>0.94798548270072547</v>
      </c>
    </row>
    <row r="9" spans="1:43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3"/>
        <v>6.4822134047165632</v>
      </c>
      <c r="W9" s="15">
        <v>5.2577199999999999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4"/>
        <v>10026.284706194707</v>
      </c>
      <c r="AH9" s="17">
        <v>6674.3752941734201</v>
      </c>
      <c r="AI9" s="100">
        <f t="shared" si="5"/>
        <v>6.4822134047165623</v>
      </c>
      <c r="AJ9" s="17">
        <f t="shared" si="6"/>
        <v>1</v>
      </c>
      <c r="AK9" s="15">
        <f t="shared" si="7"/>
        <v>0.81109949206152299</v>
      </c>
      <c r="AL9" s="5">
        <v>26.521000000000001</v>
      </c>
      <c r="AM9" s="5">
        <v>5.2577199999999999</v>
      </c>
      <c r="AN9" s="11" t="s">
        <v>5</v>
      </c>
      <c r="AP9">
        <v>6.8571999999999997</v>
      </c>
      <c r="AQ9">
        <f t="shared" si="0"/>
        <v>0.9453149105635773</v>
      </c>
    </row>
    <row r="10" spans="1:43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3"/>
        <v>9.2987954997459816</v>
      </c>
      <c r="W10" s="15">
        <v>5.0118900000000002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4"/>
        <v>6662.5539246660937</v>
      </c>
      <c r="AH10" s="17">
        <v>4652.7235706153424</v>
      </c>
      <c r="AI10" s="100">
        <f t="shared" si="5"/>
        <v>5.2568237321193827</v>
      </c>
      <c r="AJ10" s="17">
        <f t="shared" si="6"/>
        <v>1.3300000000000003</v>
      </c>
      <c r="AK10" s="15">
        <f t="shared" si="7"/>
        <v>0.53898271019476784</v>
      </c>
      <c r="AL10" s="5">
        <v>26.521000000000001</v>
      </c>
      <c r="AM10" s="5">
        <v>5.0118900000000002</v>
      </c>
      <c r="AN10" s="11" t="s">
        <v>5</v>
      </c>
      <c r="AP10">
        <v>5.5839999999999996</v>
      </c>
      <c r="AQ10">
        <f t="shared" si="0"/>
        <v>0.94140826148269752</v>
      </c>
    </row>
    <row r="11" spans="1:43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3"/>
        <v>13.192555857592346</v>
      </c>
      <c r="W11" s="15">
        <v>4.7134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4"/>
        <v>4416.4290618840887</v>
      </c>
      <c r="AH11" s="17">
        <v>3279.480145244263</v>
      </c>
      <c r="AI11" s="100">
        <f t="shared" si="5"/>
        <v>4.730379668540408</v>
      </c>
      <c r="AJ11" s="17">
        <f t="shared" si="6"/>
        <v>1.6700000000000002</v>
      </c>
      <c r="AK11" s="15">
        <f t="shared" si="7"/>
        <v>0.35727724414275858</v>
      </c>
      <c r="AL11" s="5">
        <v>26.521000000000001</v>
      </c>
      <c r="AM11" s="5">
        <v>4.7134</v>
      </c>
      <c r="AN11" s="11" t="s">
        <v>5</v>
      </c>
      <c r="AP11">
        <v>5.0347</v>
      </c>
      <c r="AQ11">
        <f t="shared" si="0"/>
        <v>0.93955541909953089</v>
      </c>
    </row>
    <row r="12" spans="1:43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3"/>
        <v>17.840429325891456</v>
      </c>
      <c r="W12" s="15">
        <v>4.5266500000000001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4"/>
        <v>3136.4438576762777</v>
      </c>
      <c r="AH12" s="17">
        <v>2425.0943858851406</v>
      </c>
      <c r="AI12" s="100">
        <f t="shared" si="5"/>
        <v>4.4601073314728632</v>
      </c>
      <c r="AJ12" s="17">
        <f t="shared" si="6"/>
        <v>2</v>
      </c>
      <c r="AK12" s="15">
        <f t="shared" si="7"/>
        <v>0.2537298804480318</v>
      </c>
      <c r="AL12" s="5">
        <v>26.521000000000001</v>
      </c>
      <c r="AM12" s="5">
        <v>4.5266500000000001</v>
      </c>
      <c r="AN12" s="11" t="s">
        <v>5</v>
      </c>
      <c r="AP12">
        <v>4.7522000000000002</v>
      </c>
      <c r="AQ12">
        <f t="shared" si="0"/>
        <v>0.93853527449872964</v>
      </c>
    </row>
    <row r="13" spans="1:43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3"/>
        <v>26.421797868568689</v>
      </c>
      <c r="W13" s="15">
        <v>4.3396800000000004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4"/>
        <v>2030.3048125205421</v>
      </c>
      <c r="AH13" s="17">
        <v>1637.4633253654408</v>
      </c>
      <c r="AI13" s="100">
        <f t="shared" si="5"/>
        <v>4.2274876589709898</v>
      </c>
      <c r="AJ13" s="17">
        <f t="shared" si="6"/>
        <v>2.5</v>
      </c>
      <c r="AK13" s="15">
        <f t="shared" si="7"/>
        <v>0.16424620389524947</v>
      </c>
      <c r="AL13" s="5">
        <v>26.521000000000001</v>
      </c>
      <c r="AM13" s="5">
        <v>4.3396800000000004</v>
      </c>
      <c r="AN13" s="11" t="s">
        <v>5</v>
      </c>
      <c r="AP13">
        <v>4.5082000000000004</v>
      </c>
      <c r="AQ13">
        <f t="shared" si="0"/>
        <v>0.93773294418415098</v>
      </c>
    </row>
    <row r="14" spans="1:43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3"/>
        <v>3.6875184446391613</v>
      </c>
      <c r="W14" s="15">
        <v>3.8658100000000002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22" t="s">
        <v>5</v>
      </c>
      <c r="AG14" s="17">
        <f t="shared" si="4"/>
        <v>9991.0691376637078</v>
      </c>
      <c r="AH14" s="17">
        <v>9045.6442457914309</v>
      </c>
      <c r="AI14" s="100">
        <f t="shared" si="5"/>
        <v>40.972427162657333</v>
      </c>
      <c r="AJ14" s="17">
        <f t="shared" si="6"/>
        <v>0.30000000000000004</v>
      </c>
      <c r="AK14" s="15">
        <f t="shared" si="7"/>
        <v>1.0483500104575845</v>
      </c>
      <c r="AL14" s="56">
        <v>15.672000000000001</v>
      </c>
      <c r="AM14" s="5">
        <v>3.8658100000000002</v>
      </c>
      <c r="AN14" s="11" t="s">
        <v>5</v>
      </c>
      <c r="AP14">
        <f>AI14</f>
        <v>40.972427162657333</v>
      </c>
      <c r="AQ14" s="73">
        <f t="shared" si="0"/>
        <v>1</v>
      </c>
    </row>
    <row r="15" spans="1:43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3"/>
        <v>4.1518828485211703</v>
      </c>
      <c r="W15" s="15">
        <v>4.2468500000000002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4"/>
        <v>9748.2686999263551</v>
      </c>
      <c r="AH15" s="17">
        <v>8033.9405558807684</v>
      </c>
      <c r="AI15" s="100">
        <f t="shared" si="5"/>
        <v>16.607531394084678</v>
      </c>
      <c r="AJ15" s="17">
        <f t="shared" si="6"/>
        <v>0.5</v>
      </c>
      <c r="AK15" s="15">
        <f t="shared" si="7"/>
        <v>1.0228732733903259</v>
      </c>
      <c r="AL15" s="5">
        <v>15.672000000000001</v>
      </c>
      <c r="AM15" s="5">
        <v>4.2468500000000002</v>
      </c>
      <c r="AN15" s="18" t="s">
        <v>219</v>
      </c>
      <c r="AP15">
        <v>17.068000000000001</v>
      </c>
      <c r="AQ15">
        <f t="shared" si="0"/>
        <v>0.97302152531548369</v>
      </c>
    </row>
    <row r="16" spans="1:43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3"/>
        <v>5.0466007171573137</v>
      </c>
      <c r="W16" s="15">
        <v>4.8747400000000001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4"/>
        <v>9205.7287134396083</v>
      </c>
      <c r="AH16" s="17">
        <v>6609.5936392584281</v>
      </c>
      <c r="AI16" s="100">
        <f t="shared" si="5"/>
        <v>8.9717346082796663</v>
      </c>
      <c r="AJ16" s="17">
        <f t="shared" si="6"/>
        <v>0.75000000000000011</v>
      </c>
      <c r="AK16" s="15">
        <f t="shared" si="7"/>
        <v>0.96594525170714896</v>
      </c>
      <c r="AL16" s="5">
        <v>15.672000000000001</v>
      </c>
      <c r="AM16" s="5">
        <v>4.8747400000000001</v>
      </c>
      <c r="AN16" s="11" t="s">
        <v>5</v>
      </c>
      <c r="AP16">
        <v>9.4428000000000001</v>
      </c>
      <c r="AQ16">
        <f t="shared" si="0"/>
        <v>0.95011380186805461</v>
      </c>
    </row>
    <row r="17" spans="1:43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3"/>
        <v>6.4822134047165614</v>
      </c>
      <c r="W17" s="15">
        <v>5.2652200000000002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4"/>
        <v>7741.0319174448887</v>
      </c>
      <c r="AH17" s="17">
        <v>5145.7701123708239</v>
      </c>
      <c r="AI17" s="100">
        <f t="shared" si="5"/>
        <v>6.4822134047165596</v>
      </c>
      <c r="AJ17" s="17">
        <f t="shared" si="6"/>
        <v>1</v>
      </c>
      <c r="AK17" s="15">
        <f t="shared" si="7"/>
        <v>0.81225650426271723</v>
      </c>
      <c r="AL17" s="5">
        <v>15.672000000000001</v>
      </c>
      <c r="AM17" s="5">
        <v>5.2652200000000002</v>
      </c>
      <c r="AN17" s="11" t="s">
        <v>5</v>
      </c>
      <c r="AP17">
        <v>6.8487</v>
      </c>
      <c r="AQ17">
        <f t="shared" si="0"/>
        <v>0.94648815172464262</v>
      </c>
    </row>
    <row r="18" spans="1:43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3"/>
        <v>9.2987954997459781</v>
      </c>
      <c r="W18" s="15">
        <v>5.0188199999999998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4"/>
        <v>5143.7586589474549</v>
      </c>
      <c r="AH18" s="17">
        <v>3587.129107303329</v>
      </c>
      <c r="AI18" s="100">
        <f t="shared" si="5"/>
        <v>5.2568237321193827</v>
      </c>
      <c r="AJ18" s="17">
        <f t="shared" si="6"/>
        <v>1.33</v>
      </c>
      <c r="AK18" s="15">
        <f t="shared" si="7"/>
        <v>0.53972796800801814</v>
      </c>
      <c r="AL18" s="5">
        <v>15.672000000000001</v>
      </c>
      <c r="AM18" s="5">
        <v>5.0188199999999998</v>
      </c>
      <c r="AN18" s="11" t="s">
        <v>5</v>
      </c>
      <c r="AP18">
        <v>5.5804</v>
      </c>
      <c r="AQ18">
        <f t="shared" si="0"/>
        <v>0.94201557811615344</v>
      </c>
    </row>
    <row r="19" spans="1:43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3"/>
        <v>13.192555857592344</v>
      </c>
      <c r="W19" s="15">
        <v>4.7192600000000002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4"/>
        <v>3409.1854283805278</v>
      </c>
      <c r="AH19" s="17">
        <v>2528.3940701151973</v>
      </c>
      <c r="AI19" s="100">
        <f t="shared" si="5"/>
        <v>4.7303796685404089</v>
      </c>
      <c r="AJ19" s="17">
        <f t="shared" si="6"/>
        <v>1.67</v>
      </c>
      <c r="AK19" s="15">
        <f t="shared" si="7"/>
        <v>0.35772143403767026</v>
      </c>
      <c r="AL19" s="5">
        <v>15.672000000000001</v>
      </c>
      <c r="AM19" s="5">
        <v>4.7192600000000002</v>
      </c>
      <c r="AN19" s="11" t="s">
        <v>5</v>
      </c>
      <c r="AP19">
        <v>5.0331999999999999</v>
      </c>
      <c r="AQ19">
        <f t="shared" si="0"/>
        <v>0.93983542647627927</v>
      </c>
    </row>
    <row r="20" spans="1:43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3"/>
        <v>17.840429325891449</v>
      </c>
      <c r="W20" s="15">
        <v>4.5305299999999997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4"/>
        <v>2420.1894842148099</v>
      </c>
      <c r="AH20" s="17">
        <v>1869.6848260031022</v>
      </c>
      <c r="AI20" s="100">
        <f t="shared" si="5"/>
        <v>4.4601073314728614</v>
      </c>
      <c r="AJ20" s="17">
        <f t="shared" si="6"/>
        <v>2</v>
      </c>
      <c r="AK20" s="15">
        <f t="shared" si="7"/>
        <v>0.25394736400345108</v>
      </c>
      <c r="AL20" s="5">
        <v>15.672000000000001</v>
      </c>
      <c r="AM20" s="5">
        <v>4.5305299999999997</v>
      </c>
      <c r="AN20" s="11" t="s">
        <v>5</v>
      </c>
      <c r="AP20">
        <v>4.7511999999999999</v>
      </c>
      <c r="AQ20">
        <f t="shared" si="0"/>
        <v>0.93873281096835781</v>
      </c>
    </row>
    <row r="21" spans="1:43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3"/>
        <v>26.421797868568685</v>
      </c>
      <c r="W21" s="15">
        <v>4.33629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4"/>
        <v>1564.0895470766354</v>
      </c>
      <c r="AH21" s="17">
        <v>1262.4417220177211</v>
      </c>
      <c r="AI21" s="100">
        <f t="shared" si="5"/>
        <v>4.2274876589709898</v>
      </c>
      <c r="AJ21" s="17">
        <f t="shared" si="6"/>
        <v>2.5</v>
      </c>
      <c r="AK21" s="15">
        <f t="shared" si="7"/>
        <v>0.16411790074128307</v>
      </c>
      <c r="AL21" s="5">
        <v>15.672000000000001</v>
      </c>
      <c r="AM21" s="5">
        <v>4.33629</v>
      </c>
      <c r="AN21" s="11" t="s">
        <v>5</v>
      </c>
      <c r="AP21">
        <v>4.508</v>
      </c>
      <c r="AQ21">
        <f t="shared" si="0"/>
        <v>0.93777454724289921</v>
      </c>
    </row>
    <row r="22" spans="1:43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3"/>
        <v>3.6875184446391613</v>
      </c>
      <c r="W22" s="15">
        <v>3.88734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22" t="s">
        <v>5</v>
      </c>
      <c r="AG22" s="17">
        <f t="shared" si="4"/>
        <v>8771.5250975795752</v>
      </c>
      <c r="AH22" s="17">
        <v>7897.5180564418115</v>
      </c>
      <c r="AI22" s="100">
        <f t="shared" si="5"/>
        <v>40.972427162657333</v>
      </c>
      <c r="AJ22" s="17">
        <f t="shared" si="6"/>
        <v>0.30000000000000004</v>
      </c>
      <c r="AK22" s="15">
        <f t="shared" si="7"/>
        <v>1.0541886253210029</v>
      </c>
      <c r="AL22" s="56">
        <v>10.936</v>
      </c>
      <c r="AM22" s="5">
        <v>3.88734</v>
      </c>
      <c r="AN22" s="11" t="s">
        <v>5</v>
      </c>
      <c r="AP22">
        <f>AI22</f>
        <v>40.972427162657333</v>
      </c>
      <c r="AQ22" s="73">
        <f t="shared" si="0"/>
        <v>1</v>
      </c>
    </row>
    <row r="23" spans="1:43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3"/>
        <v>4.1518828485211712</v>
      </c>
      <c r="W23" s="15">
        <v>4.2637299999999998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4"/>
        <v>8544.7899050345986</v>
      </c>
      <c r="AH23" s="17">
        <v>7014.2257290262514</v>
      </c>
      <c r="AI23" s="100">
        <f t="shared" si="5"/>
        <v>16.607531394084681</v>
      </c>
      <c r="AJ23" s="17">
        <f t="shared" si="6"/>
        <v>0.5</v>
      </c>
      <c r="AK23" s="15">
        <f t="shared" si="7"/>
        <v>1.026938898701987</v>
      </c>
      <c r="AL23" s="5">
        <v>10.936</v>
      </c>
      <c r="AM23" s="5">
        <v>4.2637299999999998</v>
      </c>
      <c r="AN23" s="18" t="s">
        <v>219</v>
      </c>
      <c r="AP23">
        <v>17.03</v>
      </c>
      <c r="AQ23">
        <f t="shared" si="0"/>
        <v>0.97519268315235941</v>
      </c>
    </row>
    <row r="24" spans="1:43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3"/>
        <v>5.0466007171573146</v>
      </c>
      <c r="W24" s="15">
        <v>4.8664199999999997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4"/>
        <v>8023.565969377597</v>
      </c>
      <c r="AH24" s="17">
        <v>5770.6652719702761</v>
      </c>
      <c r="AI24" s="100">
        <f t="shared" si="5"/>
        <v>8.9717346082796681</v>
      </c>
      <c r="AJ24" s="17">
        <f t="shared" si="6"/>
        <v>0.75000000000000011</v>
      </c>
      <c r="AK24" s="15">
        <f t="shared" si="7"/>
        <v>0.96429661721706239</v>
      </c>
      <c r="AL24" s="5">
        <v>10.936</v>
      </c>
      <c r="AM24" s="5">
        <v>4.8664199999999997</v>
      </c>
      <c r="AN24" s="11" t="s">
        <v>5</v>
      </c>
      <c r="AP24">
        <v>9.4004999999999992</v>
      </c>
      <c r="AQ24">
        <f t="shared" si="0"/>
        <v>0.9543890865677005</v>
      </c>
    </row>
    <row r="25" spans="1:43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3"/>
        <v>6.4822134047165649</v>
      </c>
      <c r="W25" s="15">
        <v>5.2820999999999998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4"/>
        <v>6780.1621270476735</v>
      </c>
      <c r="AH25" s="17">
        <v>4492.6388074188026</v>
      </c>
      <c r="AI25" s="100">
        <f t="shared" si="5"/>
        <v>6.4822134047165632</v>
      </c>
      <c r="AJ25" s="17">
        <f t="shared" si="6"/>
        <v>1</v>
      </c>
      <c r="AK25" s="15">
        <f t="shared" si="7"/>
        <v>0.81486055305687055</v>
      </c>
      <c r="AL25" s="5">
        <v>10.936</v>
      </c>
      <c r="AM25" s="5">
        <v>5.2820999999999998</v>
      </c>
      <c r="AN25" s="11" t="s">
        <v>5</v>
      </c>
      <c r="AP25">
        <v>6.8559999999999999</v>
      </c>
      <c r="AQ25">
        <f t="shared" si="0"/>
        <v>0.945480368249207</v>
      </c>
    </row>
    <row r="26" spans="1:43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3"/>
        <v>9.2987954997459781</v>
      </c>
      <c r="W26" s="15">
        <v>5.0391300000000001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4"/>
        <v>4509.0562195367565</v>
      </c>
      <c r="AH26" s="17">
        <v>3131.8296547972859</v>
      </c>
      <c r="AI26" s="100">
        <f t="shared" si="5"/>
        <v>5.2568237321193818</v>
      </c>
      <c r="AJ26" s="17">
        <f t="shared" si="6"/>
        <v>1.3300000000000003</v>
      </c>
      <c r="AK26" s="15">
        <f t="shared" si="7"/>
        <v>0.54191212185897175</v>
      </c>
      <c r="AL26" s="5">
        <v>10.936</v>
      </c>
      <c r="AM26" s="5">
        <v>5.0391300000000001</v>
      </c>
      <c r="AN26" s="11" t="s">
        <v>5</v>
      </c>
      <c r="AP26">
        <v>5.5891000000000002</v>
      </c>
      <c r="AQ26">
        <f t="shared" si="0"/>
        <v>0.94054923549755443</v>
      </c>
    </row>
    <row r="27" spans="1:43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3"/>
        <v>13.192555857592351</v>
      </c>
      <c r="W27" s="15">
        <v>4.7365300000000001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4"/>
        <v>2987.3639453304941</v>
      </c>
      <c r="AH27" s="17">
        <v>2207.4754743782323</v>
      </c>
      <c r="AI27" s="100">
        <f t="shared" si="5"/>
        <v>4.7303796685404089</v>
      </c>
      <c r="AJ27" s="17">
        <f t="shared" si="6"/>
        <v>1.6700000000000004</v>
      </c>
      <c r="AK27" s="15">
        <f t="shared" si="7"/>
        <v>0.35903050562216227</v>
      </c>
      <c r="AL27" s="5">
        <v>10.936</v>
      </c>
      <c r="AM27" s="5">
        <v>4.7365300000000001</v>
      </c>
      <c r="AN27" s="11" t="s">
        <v>5</v>
      </c>
      <c r="AP27">
        <v>5.0420999999999996</v>
      </c>
      <c r="AQ27">
        <f t="shared" si="0"/>
        <v>0.93817648768180106</v>
      </c>
    </row>
    <row r="28" spans="1:43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3"/>
        <v>17.840429325891463</v>
      </c>
      <c r="W28" s="15">
        <v>4.5463800000000001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4"/>
        <v>2120.3971686196933</v>
      </c>
      <c r="AH28" s="17">
        <v>1632.3734685989571</v>
      </c>
      <c r="AI28" s="100">
        <f t="shared" si="5"/>
        <v>4.460107331472865</v>
      </c>
      <c r="AJ28" s="17">
        <f t="shared" si="6"/>
        <v>2</v>
      </c>
      <c r="AK28" s="15">
        <f t="shared" si="7"/>
        <v>0.25483579553783092</v>
      </c>
      <c r="AL28" s="5">
        <v>10.936</v>
      </c>
      <c r="AM28" s="5">
        <v>4.5463800000000001</v>
      </c>
      <c r="AN28" s="11" t="s">
        <v>5</v>
      </c>
      <c r="AP28">
        <v>4.7602000000000002</v>
      </c>
      <c r="AQ28">
        <f t="shared" si="0"/>
        <v>0.93695797056276309</v>
      </c>
    </row>
    <row r="29" spans="1:43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3"/>
        <v>26.421797868568689</v>
      </c>
      <c r="W29" s="15">
        <v>4.3464999999999998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4"/>
        <v>1368.7814238228882</v>
      </c>
      <c r="AH29" s="17">
        <v>1102.2052187691497</v>
      </c>
      <c r="AI29" s="100">
        <f t="shared" si="5"/>
        <v>4.2274876589709889</v>
      </c>
      <c r="AJ29" s="17">
        <f t="shared" si="6"/>
        <v>2.5000000000000004</v>
      </c>
      <c r="AK29" s="15">
        <f t="shared" si="7"/>
        <v>0.16450432410470395</v>
      </c>
      <c r="AL29" s="5">
        <v>10.936</v>
      </c>
      <c r="AM29" s="5">
        <v>4.3464999999999998</v>
      </c>
      <c r="AN29" s="11" t="s">
        <v>5</v>
      </c>
      <c r="AP29">
        <v>4.5171000000000001</v>
      </c>
      <c r="AQ29">
        <f t="shared" si="0"/>
        <v>0.93588533771025406</v>
      </c>
    </row>
    <row r="30" spans="1:43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3"/>
        <v>3.6875184446391609</v>
      </c>
      <c r="W30" s="15">
        <v>3.92014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22" t="s">
        <v>5</v>
      </c>
      <c r="AG30" s="17">
        <f t="shared" si="4"/>
        <v>7121.8195877986527</v>
      </c>
      <c r="AH30" s="17">
        <v>6358.5403983774268</v>
      </c>
      <c r="AI30" s="100">
        <f t="shared" si="5"/>
        <v>40.972427162657347</v>
      </c>
      <c r="AJ30" s="17">
        <f t="shared" si="6"/>
        <v>0.3</v>
      </c>
      <c r="AK30" s="15">
        <f t="shared" si="7"/>
        <v>1.0630834960836655</v>
      </c>
      <c r="AL30" s="56">
        <v>6.1308999999999996</v>
      </c>
      <c r="AM30" s="5">
        <v>3.92014</v>
      </c>
      <c r="AN30" s="11" t="s">
        <v>5</v>
      </c>
      <c r="AP30">
        <f>AI30</f>
        <v>40.972427162657347</v>
      </c>
      <c r="AQ30" s="73">
        <f t="shared" si="0"/>
        <v>1</v>
      </c>
    </row>
    <row r="31" spans="1:43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3"/>
        <v>4.1518828485211703</v>
      </c>
      <c r="W31" s="15">
        <v>4.2915900000000002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22" t="s">
        <v>5</v>
      </c>
      <c r="AG31" s="17">
        <f t="shared" si="4"/>
        <v>6924.6324361344523</v>
      </c>
      <c r="AH31" s="17">
        <v>5647.3739398382841</v>
      </c>
      <c r="AI31" s="100">
        <f t="shared" si="5"/>
        <v>16.607531394084681</v>
      </c>
      <c r="AJ31" s="17">
        <f t="shared" si="6"/>
        <v>0.5</v>
      </c>
      <c r="AK31" s="15">
        <f t="shared" si="7"/>
        <v>1.0336491073028689</v>
      </c>
      <c r="AL31" s="5">
        <v>6.1308999999999996</v>
      </c>
      <c r="AM31" s="5">
        <v>4.2915900000000002</v>
      </c>
      <c r="AN31" s="11" t="s">
        <v>5</v>
      </c>
      <c r="AP31">
        <v>12.726000000000001</v>
      </c>
      <c r="AQ31">
        <f t="shared" si="0"/>
        <v>1.3050079674748294</v>
      </c>
    </row>
    <row r="32" spans="1:43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3"/>
        <v>5.0466007171573137</v>
      </c>
      <c r="W32" s="15">
        <v>4.8886799999999999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4"/>
        <v>6489.5750185776187</v>
      </c>
      <c r="AH32" s="17">
        <v>4646.1442690095619</v>
      </c>
      <c r="AI32" s="100">
        <f t="shared" si="5"/>
        <v>8.9717346082796681</v>
      </c>
      <c r="AJ32" s="17">
        <f t="shared" si="6"/>
        <v>0.75</v>
      </c>
      <c r="AK32" s="15">
        <f t="shared" si="7"/>
        <v>0.96870750709077924</v>
      </c>
      <c r="AL32" s="5">
        <v>6.1308999999999996</v>
      </c>
      <c r="AM32" s="5">
        <v>4.8886799999999999</v>
      </c>
      <c r="AN32" s="11" t="s">
        <v>5</v>
      </c>
      <c r="AP32">
        <v>9.3948</v>
      </c>
      <c r="AQ32">
        <f t="shared" si="0"/>
        <v>0.9549681321879836</v>
      </c>
    </row>
    <row r="33" spans="1:43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3"/>
        <v>6.4822134047165632</v>
      </c>
      <c r="W33" s="15">
        <v>5.3164699999999998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4"/>
        <v>5494.4425252622996</v>
      </c>
      <c r="AH33" s="17">
        <v>3617.1649305682245</v>
      </c>
      <c r="AI33" s="100">
        <f t="shared" si="5"/>
        <v>6.4822134047165632</v>
      </c>
      <c r="AJ33" s="17">
        <f t="shared" si="6"/>
        <v>1</v>
      </c>
      <c r="AK33" s="15">
        <f t="shared" si="7"/>
        <v>0.82016275430420882</v>
      </c>
      <c r="AL33" s="5">
        <v>6.1308999999999996</v>
      </c>
      <c r="AM33" s="5">
        <v>5.3164699999999998</v>
      </c>
      <c r="AN33" s="11" t="s">
        <v>5</v>
      </c>
      <c r="AP33">
        <v>6.867</v>
      </c>
      <c r="AQ33">
        <f t="shared" si="0"/>
        <v>0.94396583729671812</v>
      </c>
    </row>
    <row r="34" spans="1:43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3"/>
        <v>9.2987954997459781</v>
      </c>
      <c r="W34" s="15">
        <v>5.0751299999999997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4"/>
        <v>3656.3188907884664</v>
      </c>
      <c r="AH34" s="17">
        <v>2521.5346439913133</v>
      </c>
      <c r="AI34" s="100">
        <f t="shared" si="5"/>
        <v>5.2568237321193827</v>
      </c>
      <c r="AJ34" s="17">
        <f t="shared" si="6"/>
        <v>1.33</v>
      </c>
      <c r="AK34" s="15">
        <f t="shared" si="7"/>
        <v>0.5457835910187121</v>
      </c>
      <c r="AL34" s="5">
        <v>6.1308999999999996</v>
      </c>
      <c r="AM34" s="5">
        <v>5.0751299999999997</v>
      </c>
      <c r="AN34" s="11" t="s">
        <v>5</v>
      </c>
      <c r="AP34">
        <v>5.6050000000000004</v>
      </c>
      <c r="AQ34">
        <f t="shared" si="0"/>
        <v>0.93788112972691928</v>
      </c>
    </row>
    <row r="35" spans="1:43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3"/>
        <v>13.192555857592346</v>
      </c>
      <c r="W35" s="15">
        <v>4.7675900000000002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4"/>
        <v>2420.9930925188378</v>
      </c>
      <c r="AH35" s="17">
        <v>1777.3079949861317</v>
      </c>
      <c r="AI35" s="100">
        <f t="shared" si="5"/>
        <v>4.7303796685404089</v>
      </c>
      <c r="AJ35" s="17">
        <f t="shared" si="6"/>
        <v>1.67</v>
      </c>
      <c r="AK35" s="15">
        <f t="shared" si="7"/>
        <v>0.36138486366584088</v>
      </c>
      <c r="AL35" s="5">
        <v>6.1308999999999996</v>
      </c>
      <c r="AM35" s="5">
        <v>4.7675900000000002</v>
      </c>
      <c r="AN35" s="11" t="s">
        <v>5</v>
      </c>
      <c r="AP35">
        <v>5.0594000000000001</v>
      </c>
      <c r="AQ35">
        <f t="shared" si="0"/>
        <v>0.93496850783500196</v>
      </c>
    </row>
    <row r="36" spans="1:43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3"/>
        <v>17.84042932589146</v>
      </c>
      <c r="W36" s="15">
        <v>4.5751900000000001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4"/>
        <v>1718.0168728012636</v>
      </c>
      <c r="AH36" s="17">
        <v>1314.2752661210623</v>
      </c>
      <c r="AI36" s="100">
        <f t="shared" si="5"/>
        <v>4.460107331472865</v>
      </c>
      <c r="AJ36" s="17">
        <f t="shared" si="6"/>
        <v>2</v>
      </c>
      <c r="AK36" s="15">
        <f t="shared" si="7"/>
        <v>0.25645066698928137</v>
      </c>
      <c r="AL36" s="5">
        <v>6.1308999999999996</v>
      </c>
      <c r="AM36" s="5">
        <v>4.5751900000000001</v>
      </c>
      <c r="AN36" s="11" t="s">
        <v>5</v>
      </c>
      <c r="AP36">
        <v>4.7782</v>
      </c>
      <c r="AQ36">
        <f t="shared" si="0"/>
        <v>0.93342834780311934</v>
      </c>
    </row>
    <row r="37" spans="1:43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3"/>
        <v>26.421797868568689</v>
      </c>
      <c r="W37" s="15">
        <v>4.3629300000000004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4"/>
        <v>1106.2148166711163</v>
      </c>
      <c r="AH37" s="17">
        <v>887.42011867000087</v>
      </c>
      <c r="AI37" s="100">
        <f t="shared" si="5"/>
        <v>4.2274876589709898</v>
      </c>
      <c r="AJ37" s="17">
        <f t="shared" si="6"/>
        <v>2.5</v>
      </c>
      <c r="AK37" s="15">
        <f t="shared" si="7"/>
        <v>0.16512615915475351</v>
      </c>
      <c r="AL37" s="5">
        <v>6.1308999999999996</v>
      </c>
      <c r="AM37" s="5">
        <v>4.3629300000000004</v>
      </c>
      <c r="AN37" s="11" t="s">
        <v>5</v>
      </c>
      <c r="AP37">
        <v>4.5353000000000003</v>
      </c>
      <c r="AQ37">
        <f t="shared" si="0"/>
        <v>0.93212966263995534</v>
      </c>
    </row>
    <row r="38" spans="1:43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3"/>
        <v>3.6875184446391618</v>
      </c>
      <c r="W38" s="15">
        <v>3.96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4"/>
        <v>5950.4890699325479</v>
      </c>
      <c r="AH38" s="17">
        <v>5259.2706426171508</v>
      </c>
      <c r="AI38" s="100">
        <f t="shared" si="5"/>
        <v>40.97242716265734</v>
      </c>
      <c r="AJ38" s="17">
        <f t="shared" si="6"/>
        <v>0.30000000000000004</v>
      </c>
      <c r="AK38" s="15">
        <f t="shared" si="7"/>
        <v>1.0738929335409741</v>
      </c>
      <c r="AL38" s="56">
        <v>3.2757000000000001</v>
      </c>
      <c r="AM38" s="5">
        <v>3.96</v>
      </c>
      <c r="AN38" s="11" t="s">
        <v>5</v>
      </c>
      <c r="AP38">
        <f>AI38</f>
        <v>40.97242716265734</v>
      </c>
      <c r="AQ38" s="73">
        <f t="shared" ref="AQ38:AQ69" si="8">AI38/AP38</f>
        <v>1</v>
      </c>
    </row>
    <row r="39" spans="1:43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3"/>
        <v>4.1518828485211703</v>
      </c>
      <c r="W39" s="15">
        <v>4.33317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22" t="s">
        <v>5</v>
      </c>
      <c r="AG39" s="17">
        <f t="shared" si="4"/>
        <v>5782.9883064263377</v>
      </c>
      <c r="AH39" s="17">
        <v>4671.0512332754497</v>
      </c>
      <c r="AI39" s="100">
        <f t="shared" si="5"/>
        <v>16.607531394084678</v>
      </c>
      <c r="AJ39" s="17">
        <f t="shared" si="6"/>
        <v>0.5</v>
      </c>
      <c r="AK39" s="15">
        <f t="shared" si="7"/>
        <v>1.0436638407423757</v>
      </c>
      <c r="AL39" s="5">
        <v>3.2757000000000001</v>
      </c>
      <c r="AM39" s="5">
        <v>4.33317</v>
      </c>
      <c r="AN39" s="11" t="s">
        <v>5</v>
      </c>
      <c r="AP39">
        <f>AI39</f>
        <v>16.607531394084678</v>
      </c>
      <c r="AQ39" s="73">
        <f t="shared" si="8"/>
        <v>1</v>
      </c>
    </row>
    <row r="40" spans="1:43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3"/>
        <v>5.0466007171573137</v>
      </c>
      <c r="W40" s="15">
        <v>4.9124299999999996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4"/>
        <v>5393.728811714408</v>
      </c>
      <c r="AH40" s="17">
        <v>3842.9149811804809</v>
      </c>
      <c r="AI40" s="100">
        <f t="shared" si="5"/>
        <v>8.9717346082796681</v>
      </c>
      <c r="AJ40" s="17">
        <f t="shared" si="6"/>
        <v>0.75</v>
      </c>
      <c r="AK40" s="15">
        <f t="shared" si="7"/>
        <v>0.97341364520851359</v>
      </c>
      <c r="AL40" s="5">
        <v>3.2757000000000001</v>
      </c>
      <c r="AM40" s="5">
        <v>4.9124299999999996</v>
      </c>
      <c r="AN40" s="11" t="s">
        <v>5</v>
      </c>
      <c r="AP40">
        <v>9.3552</v>
      </c>
      <c r="AQ40">
        <f t="shared" si="8"/>
        <v>0.95901045496404869</v>
      </c>
    </row>
    <row r="41" spans="1:43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3"/>
        <v>6.4822134047165658</v>
      </c>
      <c r="W41" s="15">
        <v>5.3442299999999996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4"/>
        <v>4568.2881866868747</v>
      </c>
      <c r="AH41" s="17">
        <v>2991.8264471035236</v>
      </c>
      <c r="AI41" s="100">
        <f t="shared" si="5"/>
        <v>6.482213404716564</v>
      </c>
      <c r="AJ41" s="17">
        <f t="shared" si="6"/>
        <v>1</v>
      </c>
      <c r="AK41" s="15">
        <f t="shared" si="7"/>
        <v>0.82444524213156101</v>
      </c>
      <c r="AL41" s="5">
        <v>3.2757000000000001</v>
      </c>
      <c r="AM41" s="5">
        <v>5.3442299999999996</v>
      </c>
      <c r="AN41" s="11" t="s">
        <v>5</v>
      </c>
      <c r="AP41">
        <v>6.8621999999999996</v>
      </c>
      <c r="AQ41">
        <f t="shared" si="8"/>
        <v>0.94462612641959787</v>
      </c>
    </row>
    <row r="42" spans="1:43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3"/>
        <v>9.2987954997459763</v>
      </c>
      <c r="W42" s="15">
        <v>5.10358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4"/>
        <v>3041.1644649968407</v>
      </c>
      <c r="AH42" s="17">
        <v>2085.6096362727617</v>
      </c>
      <c r="AI42" s="100">
        <f t="shared" si="5"/>
        <v>5.2568237321193818</v>
      </c>
      <c r="AJ42" s="17">
        <f t="shared" si="6"/>
        <v>1.33</v>
      </c>
      <c r="AK42" s="15">
        <f t="shared" si="7"/>
        <v>0.5488431270630072</v>
      </c>
      <c r="AL42" s="5">
        <v>3.2757000000000001</v>
      </c>
      <c r="AM42" s="5">
        <v>5.10358</v>
      </c>
      <c r="AN42" s="11" t="s">
        <v>5</v>
      </c>
      <c r="AP42">
        <v>5.6125999999999996</v>
      </c>
      <c r="AQ42">
        <f t="shared" si="8"/>
        <v>0.9366111485086025</v>
      </c>
    </row>
    <row r="43" spans="1:43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3"/>
        <v>13.192555857592348</v>
      </c>
      <c r="W43" s="15">
        <v>4.79244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4"/>
        <v>2012.8871150102018</v>
      </c>
      <c r="AH43" s="17">
        <v>1470.0455097060592</v>
      </c>
      <c r="AI43" s="100">
        <f t="shared" si="5"/>
        <v>4.7303796685404098</v>
      </c>
      <c r="AJ43" s="17">
        <f t="shared" si="6"/>
        <v>1.67</v>
      </c>
      <c r="AK43" s="15">
        <f t="shared" si="7"/>
        <v>0.36326850170143032</v>
      </c>
      <c r="AL43" s="5">
        <v>3.2757000000000001</v>
      </c>
      <c r="AM43" s="5">
        <v>4.79244</v>
      </c>
      <c r="AN43" s="11" t="s">
        <v>5</v>
      </c>
      <c r="AP43">
        <v>5.0709999999999997</v>
      </c>
      <c r="AQ43">
        <f t="shared" si="8"/>
        <v>0.93282975124046741</v>
      </c>
    </row>
    <row r="44" spans="1:43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3"/>
        <v>17.840429325891467</v>
      </c>
      <c r="W44" s="15">
        <v>4.5982700000000003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4"/>
        <v>1428.1730852279718</v>
      </c>
      <c r="AH44" s="17">
        <v>1087.0622643511365</v>
      </c>
      <c r="AI44" s="100">
        <f t="shared" si="5"/>
        <v>4.4601073314728659</v>
      </c>
      <c r="AJ44" s="17">
        <f t="shared" si="6"/>
        <v>2</v>
      </c>
      <c r="AK44" s="15">
        <f t="shared" si="7"/>
        <v>0.25774435782924915</v>
      </c>
      <c r="AL44" s="5">
        <v>3.2757000000000001</v>
      </c>
      <c r="AM44" s="5">
        <v>4.5982700000000003</v>
      </c>
      <c r="AN44" s="11" t="s">
        <v>5</v>
      </c>
      <c r="AP44">
        <v>4.7915999999999999</v>
      </c>
      <c r="AQ44">
        <f t="shared" si="8"/>
        <v>0.93081795881811213</v>
      </c>
    </row>
    <row r="45" spans="1:43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3"/>
        <v>26.421797868568689</v>
      </c>
      <c r="W45" s="15">
        <v>4.37554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4"/>
        <v>917.61598358686535</v>
      </c>
      <c r="AH45" s="17">
        <v>734.00219002775179</v>
      </c>
      <c r="AI45" s="100">
        <f t="shared" si="5"/>
        <v>4.2274876589709898</v>
      </c>
      <c r="AJ45" s="17">
        <f t="shared" si="6"/>
        <v>2.5</v>
      </c>
      <c r="AK45" s="15">
        <f t="shared" si="7"/>
        <v>0.16560341660947805</v>
      </c>
      <c r="AL45" s="5">
        <v>3.2757000000000001</v>
      </c>
      <c r="AM45" s="5">
        <v>4.37554</v>
      </c>
      <c r="AN45" s="11" t="s">
        <v>5</v>
      </c>
      <c r="AP45">
        <v>4.5498000000000003</v>
      </c>
      <c r="AQ45">
        <f t="shared" si="8"/>
        <v>0.92915900896105097</v>
      </c>
    </row>
    <row r="46" spans="1:43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3"/>
        <v>3.68751844463916</v>
      </c>
      <c r="W46" s="15">
        <v>3.99153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4"/>
        <v>5329.2552867848781</v>
      </c>
      <c r="AH46" s="17">
        <v>4672.9934395450055</v>
      </c>
      <c r="AI46" s="100">
        <f t="shared" si="5"/>
        <v>40.972427162657333</v>
      </c>
      <c r="AJ46" s="17">
        <f t="shared" si="6"/>
        <v>0.3</v>
      </c>
      <c r="AK46" s="15">
        <f t="shared" si="7"/>
        <v>1.0824433992466684</v>
      </c>
      <c r="AL46" s="56">
        <v>1.7927999999999999</v>
      </c>
      <c r="AM46" s="5">
        <v>3.99153</v>
      </c>
      <c r="AN46" s="11" t="s">
        <v>5</v>
      </c>
      <c r="AP46">
        <f>AI46</f>
        <v>40.972427162657333</v>
      </c>
      <c r="AQ46" s="73">
        <f t="shared" si="8"/>
        <v>1</v>
      </c>
    </row>
    <row r="47" spans="1:43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3"/>
        <v>4.1518828485211694</v>
      </c>
      <c r="W47" s="15">
        <v>4.3690899999999999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22" t="s">
        <v>5</v>
      </c>
      <c r="AG47" s="17">
        <f t="shared" si="4"/>
        <v>5180.9240818997832</v>
      </c>
      <c r="AH47" s="17">
        <v>4150.3457897752714</v>
      </c>
      <c r="AI47" s="100">
        <f t="shared" si="5"/>
        <v>16.607531394084678</v>
      </c>
      <c r="AJ47" s="17">
        <f t="shared" si="6"/>
        <v>0.5</v>
      </c>
      <c r="AK47" s="15">
        <f t="shared" si="7"/>
        <v>1.05231533725866</v>
      </c>
      <c r="AL47" s="5">
        <v>1.7927999999999999</v>
      </c>
      <c r="AM47" s="5">
        <v>4.3690899999999999</v>
      </c>
      <c r="AN47" s="11" t="s">
        <v>5</v>
      </c>
      <c r="AP47">
        <f>AI47</f>
        <v>16.607531394084678</v>
      </c>
      <c r="AQ47" s="73">
        <f t="shared" si="8"/>
        <v>1</v>
      </c>
    </row>
    <row r="48" spans="1:43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3"/>
        <v>5.0466007171573111</v>
      </c>
      <c r="W48" s="15">
        <v>4.9447700000000001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4"/>
        <v>4824.0131045285398</v>
      </c>
      <c r="AH48" s="17">
        <v>3414.5260276716385</v>
      </c>
      <c r="AI48" s="100">
        <f t="shared" si="5"/>
        <v>8.9717346082796645</v>
      </c>
      <c r="AJ48" s="17">
        <f t="shared" si="6"/>
        <v>0.75</v>
      </c>
      <c r="AK48" s="15">
        <f t="shared" si="7"/>
        <v>0.97982191917598926</v>
      </c>
      <c r="AL48" s="5">
        <v>1.7927999999999999</v>
      </c>
      <c r="AM48" s="5">
        <v>4.9447700000000001</v>
      </c>
      <c r="AN48" s="11" t="s">
        <v>5</v>
      </c>
      <c r="AP48">
        <v>9.2911999999999999</v>
      </c>
      <c r="AQ48">
        <f t="shared" si="8"/>
        <v>0.96561634754172387</v>
      </c>
    </row>
    <row r="49" spans="1:43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3"/>
        <v>6.4822134047165605</v>
      </c>
      <c r="W49" s="15">
        <v>5.3654999999999999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4"/>
        <v>4075.1931993289663</v>
      </c>
      <c r="AH49" s="17">
        <v>2658.3125892556859</v>
      </c>
      <c r="AI49" s="100">
        <f t="shared" si="5"/>
        <v>6.4822134047165605</v>
      </c>
      <c r="AJ49" s="17">
        <f t="shared" si="6"/>
        <v>1</v>
      </c>
      <c r="AK49" s="15">
        <f t="shared" si="7"/>
        <v>0.82772652873414776</v>
      </c>
      <c r="AL49" s="5">
        <v>1.7927999999999999</v>
      </c>
      <c r="AM49" s="5">
        <v>5.3654999999999999</v>
      </c>
      <c r="AN49" s="11" t="s">
        <v>5</v>
      </c>
      <c r="AP49">
        <v>6.8414000000000001</v>
      </c>
      <c r="AQ49">
        <f t="shared" si="8"/>
        <v>0.94749808587665685</v>
      </c>
    </row>
    <row r="50" spans="1:43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3"/>
        <v>9.2987954997459745</v>
      </c>
      <c r="W50" s="15">
        <v>5.1167699999999998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4"/>
        <v>2709.1342526651092</v>
      </c>
      <c r="AH50" s="17">
        <v>1853.1162988228673</v>
      </c>
      <c r="AI50" s="100">
        <f t="shared" si="5"/>
        <v>5.25682373211938</v>
      </c>
      <c r="AJ50" s="17">
        <f t="shared" si="6"/>
        <v>1.3300000000000003</v>
      </c>
      <c r="AK50" s="15">
        <f t="shared" si="7"/>
        <v>0.5502615903468121</v>
      </c>
      <c r="AL50" s="5">
        <v>1.7927999999999999</v>
      </c>
      <c r="AM50" s="5">
        <v>5.1167699999999998</v>
      </c>
      <c r="AN50" s="11" t="s">
        <v>5</v>
      </c>
      <c r="AP50">
        <v>5.6083999999999996</v>
      </c>
      <c r="AQ50">
        <f t="shared" si="8"/>
        <v>0.9373125547606056</v>
      </c>
    </row>
    <row r="51" spans="1:43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3"/>
        <v>13.192555857592341</v>
      </c>
      <c r="W51" s="15">
        <v>4.8037599999999996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4"/>
        <v>1792.7250547670801</v>
      </c>
      <c r="AH51" s="17">
        <v>1306.1721842233544</v>
      </c>
      <c r="AI51" s="100">
        <f t="shared" si="5"/>
        <v>4.7303796685404071</v>
      </c>
      <c r="AJ51" s="17">
        <f t="shared" si="6"/>
        <v>1.67</v>
      </c>
      <c r="AK51" s="15">
        <f t="shared" si="7"/>
        <v>0.36412656136190824</v>
      </c>
      <c r="AL51" s="5">
        <v>1.7927999999999999</v>
      </c>
      <c r="AM51" s="5">
        <v>4.8037599999999996</v>
      </c>
      <c r="AN51" s="11" t="s">
        <v>5</v>
      </c>
      <c r="AP51">
        <v>5.0728999999999997</v>
      </c>
      <c r="AQ51">
        <f t="shared" si="8"/>
        <v>0.93248036991472483</v>
      </c>
    </row>
    <row r="52" spans="1:43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3"/>
        <v>17.840429325891449</v>
      </c>
      <c r="W52" s="15">
        <v>4.6095100000000002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4"/>
        <v>1272.0693493701006</v>
      </c>
      <c r="AH52" s="17">
        <v>965.88199674051077</v>
      </c>
      <c r="AI52" s="100">
        <f t="shared" si="5"/>
        <v>4.4601073314728623</v>
      </c>
      <c r="AJ52" s="17">
        <f t="shared" si="6"/>
        <v>2</v>
      </c>
      <c r="AK52" s="15">
        <f t="shared" si="7"/>
        <v>0.25837438751041225</v>
      </c>
      <c r="AL52" s="5">
        <v>1.7927999999999999</v>
      </c>
      <c r="AM52" s="5">
        <v>4.6095100000000002</v>
      </c>
      <c r="AN52" s="11" t="s">
        <v>5</v>
      </c>
      <c r="AP52">
        <v>4.7961999999999998</v>
      </c>
      <c r="AQ52">
        <f t="shared" si="8"/>
        <v>0.92992521818791174</v>
      </c>
    </row>
    <row r="53" spans="1:43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1"/>
        <v>7135.2999999999993</v>
      </c>
      <c r="M53" s="15"/>
      <c r="N53" s="15"/>
      <c r="O53" s="15"/>
      <c r="P53" s="15">
        <f t="shared" si="2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3"/>
        <v>26.421797868568678</v>
      </c>
      <c r="W53" s="15">
        <v>4.3811400000000003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4"/>
        <v>816.36822725979323</v>
      </c>
      <c r="AH53" s="17">
        <v>652.17929475188566</v>
      </c>
      <c r="AI53" s="100">
        <f t="shared" si="5"/>
        <v>4.2274876589709889</v>
      </c>
      <c r="AJ53" s="17">
        <f t="shared" si="6"/>
        <v>2.5</v>
      </c>
      <c r="AK53" s="15">
        <f t="shared" si="7"/>
        <v>0.16581536282251996</v>
      </c>
      <c r="AL53" s="5">
        <v>1.7927999999999999</v>
      </c>
      <c r="AM53" s="5">
        <v>4.3811400000000003</v>
      </c>
      <c r="AN53" s="11" t="s">
        <v>5</v>
      </c>
      <c r="AP53">
        <v>4.5563000000000002</v>
      </c>
      <c r="AQ53">
        <f t="shared" si="8"/>
        <v>0.92783347430392837</v>
      </c>
    </row>
    <row r="54" spans="1:43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3"/>
        <v>3.6875184446391605</v>
      </c>
      <c r="W54" s="15">
        <v>3.8731599999999999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4"/>
        <v>18003.628624280394</v>
      </c>
      <c r="AH54" s="17">
        <v>16269.067166081799</v>
      </c>
      <c r="AI54" s="100">
        <f t="shared" si="5"/>
        <v>40.972427162657333</v>
      </c>
      <c r="AJ54" s="17">
        <f t="shared" si="6"/>
        <v>0.30000000000000004</v>
      </c>
      <c r="AK54" s="15">
        <f t="shared" si="7"/>
        <v>1.0503432208266568</v>
      </c>
      <c r="AL54" s="56">
        <v>29.24</v>
      </c>
      <c r="AM54" s="5">
        <v>3.8731599999999999</v>
      </c>
      <c r="AN54" s="11" t="s">
        <v>5</v>
      </c>
      <c r="AP54">
        <f>AI54</f>
        <v>40.972427162657333</v>
      </c>
      <c r="AQ54" s="73">
        <f t="shared" si="8"/>
        <v>1</v>
      </c>
    </row>
    <row r="55" spans="1:43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3"/>
        <v>4.1518828485211712</v>
      </c>
      <c r="W55" s="15">
        <v>4.23508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4"/>
        <v>17484.18273352339</v>
      </c>
      <c r="AH55" s="17">
        <v>14449.464843009309</v>
      </c>
      <c r="AI55" s="100">
        <f t="shared" si="5"/>
        <v>16.607531394084681</v>
      </c>
      <c r="AJ55" s="17">
        <f t="shared" si="6"/>
        <v>0.5</v>
      </c>
      <c r="AK55" s="15">
        <f t="shared" si="7"/>
        <v>1.0200384149828461</v>
      </c>
      <c r="AL55" s="5">
        <v>29.24</v>
      </c>
      <c r="AM55" s="5">
        <v>4.23508</v>
      </c>
      <c r="AN55" s="11" t="s">
        <v>5</v>
      </c>
      <c r="AP55">
        <v>14.923</v>
      </c>
      <c r="AQ55">
        <f t="shared" si="8"/>
        <v>1.1128815515703734</v>
      </c>
    </row>
    <row r="56" spans="1:43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3"/>
        <v>5.0466007171573128</v>
      </c>
      <c r="W56" s="15">
        <v>4.7822100000000001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4"/>
        <v>16242.710629897438</v>
      </c>
      <c r="AH56" s="17">
        <v>11887.701963034044</v>
      </c>
      <c r="AI56" s="100">
        <f t="shared" si="5"/>
        <v>8.9717346082796663</v>
      </c>
      <c r="AJ56" s="17">
        <f t="shared" si="6"/>
        <v>0.75000000000000011</v>
      </c>
      <c r="AK56" s="15">
        <f t="shared" si="7"/>
        <v>0.94761013760045576</v>
      </c>
      <c r="AL56" s="5">
        <v>29.24</v>
      </c>
      <c r="AM56" s="5">
        <v>4.7822100000000001</v>
      </c>
      <c r="AN56" s="11" t="s">
        <v>5</v>
      </c>
      <c r="AP56">
        <v>8.7571999999999992</v>
      </c>
      <c r="AQ56">
        <f t="shared" si="8"/>
        <v>1.0244980825240564</v>
      </c>
    </row>
    <row r="57" spans="1:43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3"/>
        <v>6.4822134047165632</v>
      </c>
      <c r="W57" s="15">
        <v>5.1124400000000003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4"/>
        <v>13518.661964558905</v>
      </c>
      <c r="AH57" s="17">
        <v>9254.938322201564</v>
      </c>
      <c r="AI57" s="100">
        <f t="shared" si="5"/>
        <v>6.4822134047165623</v>
      </c>
      <c r="AJ57" s="17">
        <f t="shared" si="6"/>
        <v>1</v>
      </c>
      <c r="AK57" s="15">
        <f t="shared" si="7"/>
        <v>0.7886873943829289</v>
      </c>
      <c r="AL57" s="5">
        <v>29.24</v>
      </c>
      <c r="AM57" s="5">
        <v>5.1124400000000003</v>
      </c>
      <c r="AN57" s="11" t="s">
        <v>5</v>
      </c>
      <c r="AP57">
        <v>6.5262000000000002</v>
      </c>
      <c r="AQ57">
        <f t="shared" si="8"/>
        <v>0.99325999888396954</v>
      </c>
    </row>
    <row r="58" spans="1:43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3"/>
        <v>9.2987954997459799</v>
      </c>
      <c r="W58" s="15">
        <v>4.87059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4"/>
        <v>8978.0844273715993</v>
      </c>
      <c r="AH58" s="17">
        <v>6451.6404574806329</v>
      </c>
      <c r="AI58" s="100">
        <f t="shared" si="5"/>
        <v>5.2568237321193845</v>
      </c>
      <c r="AJ58" s="17">
        <f t="shared" si="6"/>
        <v>1.33</v>
      </c>
      <c r="AK58" s="15">
        <f t="shared" si="7"/>
        <v>0.52378719374278659</v>
      </c>
      <c r="AL58" s="5">
        <v>29.24</v>
      </c>
      <c r="AM58" s="5">
        <v>4.87059</v>
      </c>
      <c r="AN58" s="11" t="s">
        <v>5</v>
      </c>
      <c r="AP58">
        <v>5.3661000000000003</v>
      </c>
      <c r="AQ58">
        <f t="shared" si="8"/>
        <v>0.97963581225086827</v>
      </c>
    </row>
    <row r="59" spans="1:43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3"/>
        <v>13.192555857592348</v>
      </c>
      <c r="W59" s="15">
        <v>4.5947699999999996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4"/>
        <v>5969.8530950087461</v>
      </c>
      <c r="AH59" s="17">
        <v>4547.4497814973574</v>
      </c>
      <c r="AI59" s="100">
        <f t="shared" si="5"/>
        <v>4.730379668540408</v>
      </c>
      <c r="AJ59" s="17">
        <f t="shared" si="6"/>
        <v>1.6700000000000002</v>
      </c>
      <c r="AK59" s="15">
        <f t="shared" si="7"/>
        <v>0.34828505178211533</v>
      </c>
      <c r="AL59" s="5">
        <v>29.24</v>
      </c>
      <c r="AM59" s="5">
        <v>4.5947699999999996</v>
      </c>
      <c r="AN59" s="11" t="s">
        <v>5</v>
      </c>
      <c r="AP59">
        <v>4.8705999999999996</v>
      </c>
      <c r="AQ59">
        <f t="shared" si="8"/>
        <v>0.97121087105087844</v>
      </c>
    </row>
    <row r="60" spans="1:43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3"/>
        <v>17.84042932589146</v>
      </c>
      <c r="W60" s="15">
        <v>4.4196400000000002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4"/>
        <v>4246.2973552251478</v>
      </c>
      <c r="AH60" s="17">
        <v>3362.7265440823276</v>
      </c>
      <c r="AI60" s="100">
        <f t="shared" si="5"/>
        <v>4.4601073314728641</v>
      </c>
      <c r="AJ60" s="17">
        <f t="shared" si="6"/>
        <v>2</v>
      </c>
      <c r="AK60" s="15">
        <f t="shared" si="7"/>
        <v>0.24773170641055509</v>
      </c>
      <c r="AL60" s="5">
        <v>29.24</v>
      </c>
      <c r="AM60" s="5">
        <v>4.4196400000000002</v>
      </c>
      <c r="AN60" s="11" t="s">
        <v>5</v>
      </c>
      <c r="AP60">
        <v>4.6132999999999997</v>
      </c>
      <c r="AQ60">
        <f t="shared" si="8"/>
        <v>0.96679325677342998</v>
      </c>
    </row>
    <row r="61" spans="1:43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3"/>
        <v>26.421797868568689</v>
      </c>
      <c r="W61" s="15">
        <v>4.2252999999999998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4"/>
        <v>2741.0944034727399</v>
      </c>
      <c r="AH61" s="17">
        <v>2270.5678678802901</v>
      </c>
      <c r="AI61" s="100">
        <f t="shared" si="5"/>
        <v>4.2274876589709889</v>
      </c>
      <c r="AJ61" s="17">
        <f t="shared" si="6"/>
        <v>2.5000000000000004</v>
      </c>
      <c r="AK61" s="15">
        <f t="shared" si="7"/>
        <v>0.15991720249386993</v>
      </c>
      <c r="AL61" s="5">
        <v>29.24</v>
      </c>
      <c r="AM61" s="5">
        <v>4.2252999999999998</v>
      </c>
      <c r="AN61" s="11" t="s">
        <v>5</v>
      </c>
      <c r="AP61">
        <v>4.3894000000000002</v>
      </c>
      <c r="AQ61">
        <f t="shared" si="8"/>
        <v>0.96311287624071373</v>
      </c>
    </row>
    <row r="62" spans="1:43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3"/>
        <v>3.6875184446391609</v>
      </c>
      <c r="W62" s="15">
        <v>3.8583099999999999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22" t="s">
        <v>5</v>
      </c>
      <c r="AG62" s="17">
        <f t="shared" si="4"/>
        <v>12794.451635937306</v>
      </c>
      <c r="AH62" s="17">
        <v>11606.268217375113</v>
      </c>
      <c r="AI62" s="100">
        <f t="shared" si="5"/>
        <v>40.972427162657333</v>
      </c>
      <c r="AJ62" s="17">
        <f t="shared" si="6"/>
        <v>0.30000000000000004</v>
      </c>
      <c r="AK62" s="15">
        <f t="shared" si="7"/>
        <v>1.0463161223258781</v>
      </c>
      <c r="AL62" s="56">
        <v>14.43</v>
      </c>
      <c r="AM62" s="5">
        <v>3.8583099999999999</v>
      </c>
      <c r="AN62" s="11" t="s">
        <v>5</v>
      </c>
      <c r="AP62">
        <f>AI62</f>
        <v>40.972427162657333</v>
      </c>
      <c r="AQ62" s="73">
        <f t="shared" si="8"/>
        <v>1</v>
      </c>
    </row>
    <row r="63" spans="1:43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3"/>
        <v>4.1518828485211703</v>
      </c>
      <c r="W63" s="15">
        <v>4.2154400000000001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4"/>
        <v>12415.281788564937</v>
      </c>
      <c r="AH63" s="17">
        <v>10308.173348446966</v>
      </c>
      <c r="AI63" s="100">
        <f t="shared" si="5"/>
        <v>16.607531394084681</v>
      </c>
      <c r="AJ63" s="17">
        <f t="shared" si="6"/>
        <v>0.5</v>
      </c>
      <c r="AK63" s="15">
        <f t="shared" si="7"/>
        <v>1.015308031030179</v>
      </c>
      <c r="AL63" s="5">
        <v>14.43</v>
      </c>
      <c r="AM63" s="5">
        <v>4.2154400000000001</v>
      </c>
      <c r="AN63" s="11" t="s">
        <v>5</v>
      </c>
      <c r="AP63">
        <v>14.925000000000001</v>
      </c>
      <c r="AQ63">
        <f t="shared" si="8"/>
        <v>1.1127324217142165</v>
      </c>
    </row>
    <row r="64" spans="1:43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3"/>
        <v>5.0466007171573128</v>
      </c>
      <c r="W64" s="15">
        <v>4.75725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4"/>
        <v>11526.986629715993</v>
      </c>
      <c r="AH64" s="17">
        <v>8480.6249837628839</v>
      </c>
      <c r="AI64" s="100">
        <f t="shared" si="5"/>
        <v>8.9717346082796681</v>
      </c>
      <c r="AJ64" s="17">
        <f t="shared" si="6"/>
        <v>0.75</v>
      </c>
      <c r="AK64" s="15">
        <f t="shared" si="7"/>
        <v>0.94266423413019673</v>
      </c>
      <c r="AL64" s="5">
        <v>14.43</v>
      </c>
      <c r="AM64" s="5">
        <v>4.75725</v>
      </c>
      <c r="AN64" s="11" t="s">
        <v>5</v>
      </c>
      <c r="AP64">
        <v>8.7510999999999992</v>
      </c>
      <c r="AQ64">
        <f t="shared" si="8"/>
        <v>1.0252122142678828</v>
      </c>
    </row>
    <row r="65" spans="1:43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3"/>
        <v>6.482213404716564</v>
      </c>
      <c r="W65" s="15">
        <v>5.0888600000000004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4"/>
        <v>9599.6619172314786</v>
      </c>
      <c r="AH65" s="17">
        <v>6602.4250441769227</v>
      </c>
      <c r="AI65" s="100">
        <f t="shared" si="5"/>
        <v>6.4822134047165632</v>
      </c>
      <c r="AJ65" s="17">
        <f t="shared" si="6"/>
        <v>1</v>
      </c>
      <c r="AK65" s="15">
        <f t="shared" si="7"/>
        <v>0.78504974802237504</v>
      </c>
      <c r="AL65" s="5">
        <v>14.43</v>
      </c>
      <c r="AM65" s="5">
        <v>5.0888600000000004</v>
      </c>
      <c r="AN65" s="11" t="s">
        <v>5</v>
      </c>
      <c r="AP65">
        <v>6.5186000000000002</v>
      </c>
      <c r="AQ65">
        <f t="shared" si="8"/>
        <v>0.99441803527085004</v>
      </c>
    </row>
    <row r="66" spans="1:43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3"/>
        <v>9.2987954997459763</v>
      </c>
      <c r="W66" s="15">
        <v>4.8519800000000002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4"/>
        <v>6380.4464045634495</v>
      </c>
      <c r="AH66" s="17">
        <v>4602.566872899738</v>
      </c>
      <c r="AI66" s="100">
        <f t="shared" si="5"/>
        <v>5.2568237321193818</v>
      </c>
      <c r="AJ66" s="17">
        <f t="shared" si="6"/>
        <v>1.33</v>
      </c>
      <c r="AK66" s="15">
        <f t="shared" si="7"/>
        <v>0.52178585926882104</v>
      </c>
      <c r="AL66" s="5">
        <v>14.43</v>
      </c>
      <c r="AM66" s="5">
        <v>4.8519800000000002</v>
      </c>
      <c r="AN66" s="11" t="s">
        <v>5</v>
      </c>
      <c r="AP66">
        <v>5.3555999999999999</v>
      </c>
      <c r="AQ66">
        <f t="shared" si="8"/>
        <v>0.98155645158700833</v>
      </c>
    </row>
    <row r="67" spans="1:43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3"/>
        <v>13.19255585759235</v>
      </c>
      <c r="W67" s="15">
        <v>4.5794300000000003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4"/>
        <v>4244.6437192331987</v>
      </c>
      <c r="AH67" s="17">
        <v>3244.127111303414</v>
      </c>
      <c r="AI67" s="100">
        <f t="shared" si="5"/>
        <v>4.7303796685404098</v>
      </c>
      <c r="AJ67" s="17">
        <f t="shared" si="6"/>
        <v>1.67</v>
      </c>
      <c r="AK67" s="15">
        <f t="shared" si="7"/>
        <v>0.3471222748217152</v>
      </c>
      <c r="AL67" s="5">
        <v>14.43</v>
      </c>
      <c r="AM67" s="5">
        <v>4.5794300000000003</v>
      </c>
      <c r="AN67" s="11" t="s">
        <v>5</v>
      </c>
      <c r="AP67">
        <v>4.8601000000000001</v>
      </c>
      <c r="AQ67">
        <f t="shared" si="8"/>
        <v>0.9733091229687475</v>
      </c>
    </row>
    <row r="68" spans="1:43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3"/>
        <v>17.84042932589146</v>
      </c>
      <c r="W68" s="15">
        <v>4.4054599999999997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4"/>
        <v>3019.5673494075609</v>
      </c>
      <c r="AH68" s="17">
        <v>2398.9516924285917</v>
      </c>
      <c r="AI68" s="100">
        <f t="shared" si="5"/>
        <v>4.4601073314728641</v>
      </c>
      <c r="AJ68" s="17">
        <f t="shared" si="6"/>
        <v>2</v>
      </c>
      <c r="AK68" s="15">
        <f t="shared" si="7"/>
        <v>0.24693688248894569</v>
      </c>
      <c r="AL68" s="5">
        <v>14.43</v>
      </c>
      <c r="AM68" s="5">
        <v>4.4054599999999997</v>
      </c>
      <c r="AN68" s="11" t="s">
        <v>5</v>
      </c>
      <c r="AP68">
        <v>4.6029</v>
      </c>
      <c r="AQ68">
        <f t="shared" si="8"/>
        <v>0.96897767309149974</v>
      </c>
    </row>
    <row r="69" spans="1:43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3"/>
        <v>26.421797868568689</v>
      </c>
      <c r="W69" s="15">
        <v>4.2121399999999998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4"/>
        <v>1949.3920536496476</v>
      </c>
      <c r="AH69" s="17">
        <v>1619.8113518956557</v>
      </c>
      <c r="AI69" s="100">
        <f t="shared" si="5"/>
        <v>4.2274876589709907</v>
      </c>
      <c r="AJ69" s="17">
        <f t="shared" si="6"/>
        <v>2.5</v>
      </c>
      <c r="AK69" s="15">
        <f t="shared" si="7"/>
        <v>0.1594191288932216</v>
      </c>
      <c r="AL69" s="5">
        <v>14.43</v>
      </c>
      <c r="AM69" s="5">
        <v>4.2121399999999998</v>
      </c>
      <c r="AN69" s="11" t="s">
        <v>5</v>
      </c>
      <c r="AP69">
        <v>4.3789999999999996</v>
      </c>
      <c r="AQ69">
        <f t="shared" si="8"/>
        <v>0.96540024182941109</v>
      </c>
    </row>
    <row r="70" spans="1:43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3"/>
        <v>3.6875184446391613</v>
      </c>
      <c r="W70" s="15">
        <v>3.86612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22" t="s">
        <v>5</v>
      </c>
      <c r="AG70" s="17">
        <f t="shared" si="4"/>
        <v>10832.59592824703</v>
      </c>
      <c r="AH70" s="17">
        <v>9806.7534760598755</v>
      </c>
      <c r="AI70" s="100">
        <f t="shared" si="5"/>
        <v>40.972427162657347</v>
      </c>
      <c r="AJ70" s="17">
        <f t="shared" si="6"/>
        <v>0.3</v>
      </c>
      <c r="AK70" s="15">
        <f t="shared" si="7"/>
        <v>1.0484340778336949</v>
      </c>
      <c r="AL70" s="56">
        <v>10.167</v>
      </c>
      <c r="AM70" s="5">
        <v>3.86612</v>
      </c>
      <c r="AN70" s="11" t="s">
        <v>5</v>
      </c>
      <c r="AP70">
        <f>AI70</f>
        <v>40.972427162657347</v>
      </c>
      <c r="AQ70" s="73">
        <f t="shared" ref="AQ70:AQ101" si="9">AI70/AP70</f>
        <v>1</v>
      </c>
    </row>
    <row r="71" spans="1:43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0">2*C71*F71+(E71-2*F71)*H71</f>
        <v>14974.155000000001</v>
      </c>
      <c r="M71" s="15"/>
      <c r="N71" s="15"/>
      <c r="O71" s="15"/>
      <c r="P71" s="15">
        <f t="shared" ref="P71:P134" si="11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2">L71*T71/(S71*1000)</f>
        <v>4.1518828485211712</v>
      </c>
      <c r="W71" s="15">
        <v>4.2242100000000002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3">W71*S71</f>
        <v>10512.156663429267</v>
      </c>
      <c r="AH71" s="17">
        <v>8709.9240620145374</v>
      </c>
      <c r="AI71" s="100">
        <f t="shared" ref="AI71:AI134" si="14">(PI()^2*U71*P71/K71^2)/(S71*1000)</f>
        <v>16.607531394084681</v>
      </c>
      <c r="AJ71" s="17">
        <f t="shared" ref="AJ71:AJ134" si="15">(V71/AI71)^0.5</f>
        <v>0.5</v>
      </c>
      <c r="AK71" s="15">
        <f t="shared" ref="AK71:AK134" si="16">W71/V71</f>
        <v>1.0174203256974341</v>
      </c>
      <c r="AL71" s="5">
        <v>10.167</v>
      </c>
      <c r="AM71" s="5">
        <v>4.2242100000000002</v>
      </c>
      <c r="AN71" s="11" t="s">
        <v>5</v>
      </c>
      <c r="AP71">
        <f>AI71</f>
        <v>16.607531394084681</v>
      </c>
      <c r="AQ71" s="73">
        <f t="shared" si="9"/>
        <v>1</v>
      </c>
    </row>
    <row r="72" spans="1:43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0"/>
        <v>14974.155000000001</v>
      </c>
      <c r="M72" s="15"/>
      <c r="N72" s="15"/>
      <c r="O72" s="15"/>
      <c r="P72" s="15">
        <f t="shared" si="11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2"/>
        <v>5.0466007171573137</v>
      </c>
      <c r="W72" s="15">
        <v>4.7656099999999997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3"/>
        <v>9756.8801056892898</v>
      </c>
      <c r="AH72" s="17">
        <v>7165.7312222176215</v>
      </c>
      <c r="AI72" s="100">
        <f t="shared" si="14"/>
        <v>8.9717346082796663</v>
      </c>
      <c r="AJ72" s="17">
        <f t="shared" si="15"/>
        <v>0.75000000000000011</v>
      </c>
      <c r="AK72" s="15">
        <f t="shared" si="16"/>
        <v>0.94432079474763908</v>
      </c>
      <c r="AL72" s="5">
        <v>10.167</v>
      </c>
      <c r="AM72" s="5">
        <v>4.7656099999999997</v>
      </c>
      <c r="AN72" s="11" t="s">
        <v>5</v>
      </c>
      <c r="AP72">
        <v>8.7955000000000005</v>
      </c>
      <c r="AQ72">
        <f t="shared" si="9"/>
        <v>1.0200369061769843</v>
      </c>
    </row>
    <row r="73" spans="1:43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0"/>
        <v>14974.155000000001</v>
      </c>
      <c r="M73" s="15"/>
      <c r="N73" s="15"/>
      <c r="O73" s="15"/>
      <c r="P73" s="15">
        <f t="shared" si="11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2"/>
        <v>6.4822134047165623</v>
      </c>
      <c r="W73" s="15">
        <v>5.0976100000000004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3"/>
        <v>8125.2119110528574</v>
      </c>
      <c r="AH73" s="17">
        <v>5578.7401720973157</v>
      </c>
      <c r="AI73" s="100">
        <f t="shared" si="14"/>
        <v>6.4822134047165614</v>
      </c>
      <c r="AJ73" s="17">
        <f t="shared" si="15"/>
        <v>1</v>
      </c>
      <c r="AK73" s="15">
        <f t="shared" si="16"/>
        <v>0.78639959559043482</v>
      </c>
      <c r="AL73" s="5">
        <v>10.167</v>
      </c>
      <c r="AM73" s="5">
        <v>5.0976100000000004</v>
      </c>
      <c r="AN73" s="11" t="s">
        <v>5</v>
      </c>
      <c r="AP73">
        <v>6.5507999999999997</v>
      </c>
      <c r="AQ73">
        <f t="shared" si="9"/>
        <v>0.98953004285225643</v>
      </c>
    </row>
    <row r="74" spans="1:43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0"/>
        <v>14974.155000000001</v>
      </c>
      <c r="M74" s="15"/>
      <c r="N74" s="15"/>
      <c r="O74" s="15"/>
      <c r="P74" s="15">
        <f t="shared" si="11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2"/>
        <v>9.2987954997459781</v>
      </c>
      <c r="W74" s="15">
        <v>4.8652600000000001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3"/>
        <v>5405.9344112396311</v>
      </c>
      <c r="AH74" s="17">
        <v>3888.9536097430987</v>
      </c>
      <c r="AI74" s="100">
        <f t="shared" si="14"/>
        <v>5.2568237321193818</v>
      </c>
      <c r="AJ74" s="17">
        <f t="shared" si="15"/>
        <v>1.3300000000000003</v>
      </c>
      <c r="AK74" s="15">
        <f t="shared" si="16"/>
        <v>0.52321400122552519</v>
      </c>
      <c r="AL74" s="5">
        <v>10.167</v>
      </c>
      <c r="AM74" s="5">
        <v>4.8652600000000001</v>
      </c>
      <c r="AN74" s="11" t="s">
        <v>5</v>
      </c>
      <c r="AP74">
        <v>5.3807</v>
      </c>
      <c r="AQ74">
        <f t="shared" si="9"/>
        <v>0.97697766686850818</v>
      </c>
    </row>
    <row r="75" spans="1:43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0"/>
        <v>14974.155000000001</v>
      </c>
      <c r="M75" s="15"/>
      <c r="N75" s="15"/>
      <c r="O75" s="15"/>
      <c r="P75" s="15">
        <f t="shared" si="11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12"/>
        <v>13.192555857592348</v>
      </c>
      <c r="W75" s="15">
        <v>4.5947399999999998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3"/>
        <v>3598.5158057543354</v>
      </c>
      <c r="AH75" s="17">
        <v>2741.1355855043321</v>
      </c>
      <c r="AI75" s="100">
        <f t="shared" si="14"/>
        <v>4.7303796685404098</v>
      </c>
      <c r="AJ75" s="17">
        <f t="shared" si="15"/>
        <v>1.67</v>
      </c>
      <c r="AK75" s="15">
        <f t="shared" si="16"/>
        <v>0.3482827777724144</v>
      </c>
      <c r="AL75" s="5">
        <v>10.167</v>
      </c>
      <c r="AM75" s="5">
        <v>4.5947399999999998</v>
      </c>
      <c r="AN75" s="11" t="s">
        <v>5</v>
      </c>
      <c r="AP75">
        <v>4.8826000000000001</v>
      </c>
      <c r="AQ75">
        <f t="shared" si="9"/>
        <v>0.96882391933404532</v>
      </c>
    </row>
    <row r="76" spans="1:43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0"/>
        <v>14974.155000000001</v>
      </c>
      <c r="M76" s="15"/>
      <c r="N76" s="15"/>
      <c r="O76" s="15"/>
      <c r="P76" s="15">
        <f t="shared" si="11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2"/>
        <v>17.840429325891453</v>
      </c>
      <c r="W76" s="15">
        <v>4.4212800000000003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3"/>
        <v>2560.5551446230897</v>
      </c>
      <c r="AH76" s="17">
        <v>2027.001910347414</v>
      </c>
      <c r="AI76" s="100">
        <f t="shared" si="14"/>
        <v>4.4601073314728623</v>
      </c>
      <c r="AJ76" s="17">
        <f t="shared" si="15"/>
        <v>2</v>
      </c>
      <c r="AK76" s="15">
        <f t="shared" si="16"/>
        <v>0.24782363244944372</v>
      </c>
      <c r="AL76" s="5">
        <v>10.167</v>
      </c>
      <c r="AM76" s="5">
        <v>4.4212800000000003</v>
      </c>
      <c r="AN76" s="11" t="s">
        <v>5</v>
      </c>
      <c r="AP76">
        <v>4.6241000000000003</v>
      </c>
      <c r="AQ76">
        <f t="shared" si="9"/>
        <v>0.96453522447024542</v>
      </c>
    </row>
    <row r="77" spans="1:43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0"/>
        <v>14974.155000000001</v>
      </c>
      <c r="M77" s="15"/>
      <c r="N77" s="15"/>
      <c r="O77" s="15"/>
      <c r="P77" s="15">
        <f t="shared" si="11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2"/>
        <v>26.421797868568689</v>
      </c>
      <c r="W77" s="15">
        <v>4.2278200000000004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3"/>
        <v>1653.2766729895268</v>
      </c>
      <c r="AH77" s="17">
        <v>1368.6647859803263</v>
      </c>
      <c r="AI77" s="100">
        <f t="shared" si="14"/>
        <v>4.2274876589709898</v>
      </c>
      <c r="AJ77" s="17">
        <f t="shared" si="15"/>
        <v>2.5</v>
      </c>
      <c r="AK77" s="15">
        <f t="shared" si="16"/>
        <v>0.16001257828973878</v>
      </c>
      <c r="AL77" s="5">
        <v>10.167</v>
      </c>
      <c r="AM77" s="5">
        <v>4.2278200000000004</v>
      </c>
      <c r="AN77" s="11" t="s">
        <v>5</v>
      </c>
      <c r="AP77">
        <v>4.3993000000000002</v>
      </c>
      <c r="AQ77">
        <f t="shared" si="9"/>
        <v>0.960945527463685</v>
      </c>
    </row>
    <row r="78" spans="1:43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0"/>
        <v>11352.126200000002</v>
      </c>
      <c r="M78" s="15"/>
      <c r="N78" s="15"/>
      <c r="O78" s="15"/>
      <c r="P78" s="15">
        <f t="shared" si="11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2"/>
        <v>3.6400171434814044</v>
      </c>
      <c r="W78" s="15">
        <v>3.7833899999999998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22" t="s">
        <v>5</v>
      </c>
      <c r="AG78" s="17">
        <f t="shared" si="13"/>
        <v>8141.4916867371121</v>
      </c>
      <c r="AH78" s="17">
        <v>7531.6636412264916</v>
      </c>
      <c r="AI78" s="100">
        <f t="shared" si="14"/>
        <v>40.444634927571173</v>
      </c>
      <c r="AJ78" s="17">
        <f t="shared" si="15"/>
        <v>0.29999999999999993</v>
      </c>
      <c r="AK78" s="15">
        <f t="shared" si="16"/>
        <v>1.0393879618878581</v>
      </c>
      <c r="AL78" s="56">
        <v>5.66</v>
      </c>
      <c r="AM78" s="5">
        <v>3.7833899999999998</v>
      </c>
      <c r="AN78" s="11" t="s">
        <v>5</v>
      </c>
      <c r="AP78">
        <f>AI78</f>
        <v>40.444634927571173</v>
      </c>
      <c r="AQ78" s="73">
        <f t="shared" si="9"/>
        <v>1</v>
      </c>
    </row>
    <row r="79" spans="1:43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0"/>
        <v>11352.126200000002</v>
      </c>
      <c r="M79" s="15"/>
      <c r="N79" s="15"/>
      <c r="O79" s="15"/>
      <c r="P79" s="15">
        <f t="shared" si="11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2"/>
        <v>4.0444374085352681</v>
      </c>
      <c r="W79" s="15">
        <v>4.0873400000000002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3"/>
        <v>7916.0576422883578</v>
      </c>
      <c r="AH79" s="17">
        <v>6778.5409943898112</v>
      </c>
      <c r="AI79" s="100">
        <f t="shared" si="14"/>
        <v>16.177749634141076</v>
      </c>
      <c r="AJ79" s="17">
        <f t="shared" si="15"/>
        <v>0.49999999999999994</v>
      </c>
      <c r="AK79" s="15">
        <f t="shared" si="16"/>
        <v>1.0106078020577576</v>
      </c>
      <c r="AL79" s="5">
        <v>5.66</v>
      </c>
      <c r="AM79" s="5">
        <v>4.0873400000000002</v>
      </c>
      <c r="AN79" s="11" t="s">
        <v>5</v>
      </c>
      <c r="AP79">
        <f>AI79</f>
        <v>16.177749634141076</v>
      </c>
      <c r="AQ79" s="73">
        <f t="shared" si="9"/>
        <v>1</v>
      </c>
    </row>
    <row r="80" spans="1:43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0"/>
        <v>11352.126200000002</v>
      </c>
      <c r="M80" s="15"/>
      <c r="N80" s="15"/>
      <c r="O80" s="15"/>
      <c r="P80" s="15">
        <f t="shared" si="11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2"/>
        <v>4.7855497672286047</v>
      </c>
      <c r="W80" s="15">
        <v>4.48935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3"/>
        <v>7348.1485852322303</v>
      </c>
      <c r="AH80" s="17">
        <v>5728.7848014329038</v>
      </c>
      <c r="AI80" s="100">
        <f t="shared" si="14"/>
        <v>8.5076440306286312</v>
      </c>
      <c r="AJ80" s="17">
        <f t="shared" si="15"/>
        <v>0.75</v>
      </c>
      <c r="AK80" s="15">
        <f t="shared" si="16"/>
        <v>0.93810538357432249</v>
      </c>
      <c r="AL80" s="5">
        <v>5.66</v>
      </c>
      <c r="AM80" s="5">
        <v>4.48935</v>
      </c>
      <c r="AN80" s="11" t="s">
        <v>5</v>
      </c>
      <c r="AP80">
        <v>8.6864000000000008</v>
      </c>
      <c r="AQ80">
        <f t="shared" si="9"/>
        <v>0.97942116764466647</v>
      </c>
    </row>
    <row r="81" spans="1:43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0"/>
        <v>11352.126200000002</v>
      </c>
      <c r="M81" s="15"/>
      <c r="N81" s="15"/>
      <c r="O81" s="15"/>
      <c r="P81" s="15">
        <f t="shared" si="11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2"/>
        <v>5.9498687306909055</v>
      </c>
      <c r="W81" s="15">
        <v>4.6253200000000003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3"/>
        <v>6089.2064892678582</v>
      </c>
      <c r="AH81" s="17">
        <v>4607.7293489828817</v>
      </c>
      <c r="AI81" s="100">
        <f t="shared" si="14"/>
        <v>5.9498687306909064</v>
      </c>
      <c r="AJ81" s="17">
        <f t="shared" si="15"/>
        <v>1</v>
      </c>
      <c r="AK81" s="15">
        <f t="shared" si="16"/>
        <v>0.77738185653432101</v>
      </c>
      <c r="AL81" s="5">
        <v>5.66</v>
      </c>
      <c r="AM81" s="5">
        <v>4.6253200000000003</v>
      </c>
      <c r="AN81" s="11" t="s">
        <v>5</v>
      </c>
      <c r="AP81">
        <v>6.3487</v>
      </c>
      <c r="AQ81">
        <f t="shared" si="9"/>
        <v>0.93717906511426063</v>
      </c>
    </row>
    <row r="82" spans="1:43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0"/>
        <v>11352.126200000002</v>
      </c>
      <c r="M82" s="15"/>
      <c r="N82" s="15"/>
      <c r="O82" s="15"/>
      <c r="P82" s="15">
        <f t="shared" si="11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2"/>
        <v>8.2678062833636066</v>
      </c>
      <c r="W82" s="15">
        <v>4.3383399999999996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3"/>
        <v>4110.16819075078</v>
      </c>
      <c r="AH82" s="17">
        <v>3315.9200679586502</v>
      </c>
      <c r="AI82" s="100">
        <f t="shared" si="14"/>
        <v>4.6739817306595102</v>
      </c>
      <c r="AJ82" s="17">
        <f t="shared" si="15"/>
        <v>1.3299999999999998</v>
      </c>
      <c r="AK82" s="15">
        <f t="shared" si="16"/>
        <v>0.52472685635239935</v>
      </c>
      <c r="AL82" s="5">
        <v>5.66</v>
      </c>
      <c r="AM82" s="5">
        <v>4.3383399999999996</v>
      </c>
      <c r="AN82" s="11" t="s">
        <v>5</v>
      </c>
      <c r="AP82">
        <v>5.1721000000000004</v>
      </c>
      <c r="AQ82">
        <f t="shared" si="9"/>
        <v>0.90369129186587849</v>
      </c>
    </row>
    <row r="83" spans="1:43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0"/>
        <v>11352.126200000002</v>
      </c>
      <c r="M83" s="15"/>
      <c r="N83" s="15"/>
      <c r="O83" s="15"/>
      <c r="P83" s="15">
        <f t="shared" si="11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2"/>
        <v>11.529072044075583</v>
      </c>
      <c r="W83" s="15">
        <v>4.0382600000000002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3"/>
        <v>2743.6343108514725</v>
      </c>
      <c r="AH83" s="17">
        <v>2377.9350730215865</v>
      </c>
      <c r="AI83" s="100">
        <f t="shared" si="14"/>
        <v>4.1339137452313057</v>
      </c>
      <c r="AJ83" s="17">
        <f t="shared" si="15"/>
        <v>1.6699999999999995</v>
      </c>
      <c r="AK83" s="15">
        <f t="shared" si="16"/>
        <v>0.35026756572964007</v>
      </c>
      <c r="AL83" s="5">
        <v>5.66</v>
      </c>
      <c r="AM83" s="5">
        <v>4.0382600000000002</v>
      </c>
      <c r="AN83" s="11" t="s">
        <v>5</v>
      </c>
      <c r="AP83">
        <v>4.6615000000000002</v>
      </c>
      <c r="AQ83">
        <f t="shared" si="9"/>
        <v>0.8868204966708797</v>
      </c>
    </row>
    <row r="84" spans="1:43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0"/>
        <v>11352.126200000002</v>
      </c>
      <c r="M84" s="15"/>
      <c r="N84" s="15"/>
      <c r="O84" s="15"/>
      <c r="P84" s="15">
        <f t="shared" si="11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2"/>
        <v>15.453225589593025</v>
      </c>
      <c r="W84" s="15">
        <v>3.8552900000000001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3"/>
        <v>1954.1783992644043</v>
      </c>
      <c r="AH84" s="17">
        <v>1774.0881742814197</v>
      </c>
      <c r="AI84" s="100">
        <f t="shared" si="14"/>
        <v>3.8633063973982571</v>
      </c>
      <c r="AJ84" s="17">
        <f t="shared" si="15"/>
        <v>1.9999999999999998</v>
      </c>
      <c r="AK84" s="15">
        <f t="shared" si="16"/>
        <v>0.24948124763003171</v>
      </c>
      <c r="AL84" s="5">
        <v>5.66</v>
      </c>
      <c r="AM84" s="5">
        <v>3.8552900000000001</v>
      </c>
      <c r="AN84" s="11" t="s">
        <v>5</v>
      </c>
      <c r="AP84">
        <v>4.3993000000000002</v>
      </c>
      <c r="AQ84">
        <f t="shared" si="9"/>
        <v>0.87816388911832721</v>
      </c>
    </row>
    <row r="85" spans="1:43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0"/>
        <v>11352.126200000002</v>
      </c>
      <c r="M85" s="15"/>
      <c r="N85" s="15"/>
      <c r="O85" s="15"/>
      <c r="P85" s="15">
        <f t="shared" si="11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2"/>
        <v>22.723407091517466</v>
      </c>
      <c r="W85" s="15">
        <v>3.6834799999999999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3"/>
        <v>1269.7293788853506</v>
      </c>
      <c r="AH85" s="17">
        <v>1206.4821381136119</v>
      </c>
      <c r="AI85" s="100">
        <f t="shared" si="14"/>
        <v>3.6357451346427956</v>
      </c>
      <c r="AJ85" s="17">
        <f t="shared" si="15"/>
        <v>2.4999999999999996</v>
      </c>
      <c r="AK85" s="15">
        <f t="shared" si="16"/>
        <v>0.16210069137805591</v>
      </c>
      <c r="AL85" s="5">
        <v>5.66</v>
      </c>
      <c r="AM85" s="5">
        <v>3.6834799999999999</v>
      </c>
      <c r="AN85" s="11" t="s">
        <v>5</v>
      </c>
      <c r="AP85">
        <v>4.1734999999999998</v>
      </c>
      <c r="AQ85">
        <f t="shared" si="9"/>
        <v>0.87115014607470842</v>
      </c>
    </row>
    <row r="86" spans="1:43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0"/>
        <v>8243.1917999999987</v>
      </c>
      <c r="M86" s="15"/>
      <c r="N86" s="15"/>
      <c r="O86" s="15"/>
      <c r="P86" s="15">
        <f t="shared" si="11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2"/>
        <v>3.579772442265349</v>
      </c>
      <c r="W86" s="15">
        <v>3.5486499999999999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22" t="s">
        <v>5</v>
      </c>
      <c r="AG86" s="17">
        <f t="shared" si="13"/>
        <v>5638.352746289499</v>
      </c>
      <c r="AH86" s="17">
        <v>5561.0540943776496</v>
      </c>
      <c r="AI86" s="100">
        <f t="shared" si="14"/>
        <v>39.775249358503878</v>
      </c>
      <c r="AJ86" s="17">
        <f t="shared" si="15"/>
        <v>0.3</v>
      </c>
      <c r="AK86" s="15">
        <f t="shared" si="16"/>
        <v>0.99130602775251986</v>
      </c>
      <c r="AL86" s="56">
        <v>2.8845000000000001</v>
      </c>
      <c r="AM86" s="5">
        <v>3.5486499999999999</v>
      </c>
      <c r="AN86" s="11" t="s">
        <v>5</v>
      </c>
      <c r="AP86">
        <f>AI86</f>
        <v>39.775249358503878</v>
      </c>
      <c r="AQ86" s="73">
        <f t="shared" si="9"/>
        <v>1</v>
      </c>
    </row>
    <row r="87" spans="1:43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0"/>
        <v>8243.1917999999987</v>
      </c>
      <c r="M87" s="15"/>
      <c r="N87" s="15"/>
      <c r="O87" s="15"/>
      <c r="P87" s="15">
        <f t="shared" si="11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2"/>
        <v>3.9151788481239378</v>
      </c>
      <c r="W87" s="15">
        <v>3.7946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3"/>
        <v>5512.6306113181099</v>
      </c>
      <c r="AH87" s="17">
        <v>5084.6484845868827</v>
      </c>
      <c r="AI87" s="100">
        <f t="shared" si="14"/>
        <v>15.660715392495755</v>
      </c>
      <c r="AJ87" s="17">
        <f t="shared" si="15"/>
        <v>0.49999999999999994</v>
      </c>
      <c r="AK87" s="15">
        <f t="shared" si="16"/>
        <v>0.9692022120057896</v>
      </c>
      <c r="AL87" s="5">
        <v>2.8845000000000001</v>
      </c>
      <c r="AM87" s="5">
        <v>3.7946</v>
      </c>
      <c r="AN87" s="18" t="s">
        <v>219</v>
      </c>
      <c r="AP87">
        <f>AI87</f>
        <v>15.660715392495755</v>
      </c>
      <c r="AQ87" s="73">
        <f t="shared" si="9"/>
        <v>1</v>
      </c>
    </row>
    <row r="88" spans="1:43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0"/>
        <v>8243.1917999999987</v>
      </c>
      <c r="M88" s="15"/>
      <c r="N88" s="15"/>
      <c r="O88" s="15"/>
      <c r="P88" s="15">
        <f t="shared" si="11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2"/>
        <v>4.4887743646013156</v>
      </c>
      <c r="W88" s="15">
        <v>4.0769599999999997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3"/>
        <v>5165.985356517227</v>
      </c>
      <c r="AH88" s="17">
        <v>4434.9095276407661</v>
      </c>
      <c r="AI88" s="100">
        <f t="shared" si="14"/>
        <v>7.9800433148467818</v>
      </c>
      <c r="AJ88" s="17">
        <f t="shared" si="15"/>
        <v>0.75000000000000011</v>
      </c>
      <c r="AK88" s="15">
        <f t="shared" si="16"/>
        <v>0.90825683557433778</v>
      </c>
      <c r="AL88" s="5">
        <v>2.8845000000000001</v>
      </c>
      <c r="AM88" s="5">
        <v>4.0769599999999997</v>
      </c>
      <c r="AN88" s="11" t="s">
        <v>5</v>
      </c>
      <c r="AP88">
        <v>7.2363</v>
      </c>
      <c r="AQ88">
        <f t="shared" si="9"/>
        <v>1.1027795026252065</v>
      </c>
    </row>
    <row r="89" spans="1:43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0"/>
        <v>8243.1917999999987</v>
      </c>
      <c r="M89" s="15"/>
      <c r="N89" s="15"/>
      <c r="O89" s="15"/>
      <c r="P89" s="15">
        <f t="shared" si="11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2"/>
        <v>5.3502261361358254</v>
      </c>
      <c r="W89" s="15">
        <v>4.0382100000000003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3"/>
        <v>4293.0036434080021</v>
      </c>
      <c r="AH89" s="17">
        <v>3720.8349124805318</v>
      </c>
      <c r="AI89" s="100">
        <f t="shared" si="14"/>
        <v>5.3502261361358263</v>
      </c>
      <c r="AJ89" s="17">
        <f t="shared" si="15"/>
        <v>1</v>
      </c>
      <c r="AK89" s="15">
        <f t="shared" si="16"/>
        <v>0.75477370437216285</v>
      </c>
      <c r="AL89" s="5">
        <v>2.8845000000000001</v>
      </c>
      <c r="AM89" s="5">
        <v>4.0382100000000003</v>
      </c>
      <c r="AN89" s="11" t="s">
        <v>5</v>
      </c>
      <c r="AP89">
        <v>5.7969999999999997</v>
      </c>
      <c r="AQ89">
        <f t="shared" si="9"/>
        <v>0.92293015976122594</v>
      </c>
    </row>
    <row r="90" spans="1:43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0"/>
        <v>8243.1917999999987</v>
      </c>
      <c r="M90" s="15"/>
      <c r="N90" s="15"/>
      <c r="O90" s="15"/>
      <c r="P90" s="15">
        <f t="shared" si="11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2"/>
        <v>7.0777999108743144</v>
      </c>
      <c r="W90" s="15">
        <v>3.7008399999999999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3"/>
        <v>2974.0380746037549</v>
      </c>
      <c r="AH90" s="17">
        <v>2812.640714300846</v>
      </c>
      <c r="AI90" s="100">
        <f t="shared" si="14"/>
        <v>4.0012436603959021</v>
      </c>
      <c r="AJ90" s="17">
        <f t="shared" si="15"/>
        <v>1.3300000000000003</v>
      </c>
      <c r="AK90" s="15">
        <f t="shared" si="16"/>
        <v>0.52287999754189696</v>
      </c>
      <c r="AL90" s="5">
        <v>2.8845000000000001</v>
      </c>
      <c r="AM90" s="5">
        <v>3.7008399999999999</v>
      </c>
      <c r="AN90" s="11" t="s">
        <v>5</v>
      </c>
      <c r="AP90">
        <v>4.5182000000000002</v>
      </c>
      <c r="AQ90">
        <f t="shared" si="9"/>
        <v>0.88558356433887431</v>
      </c>
    </row>
    <row r="91" spans="1:43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0"/>
        <v>8243.1917999999987</v>
      </c>
      <c r="M91" s="15"/>
      <c r="N91" s="15"/>
      <c r="O91" s="15"/>
      <c r="P91" s="15">
        <f t="shared" si="11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2"/>
        <v>9.5751241412328767</v>
      </c>
      <c r="W91" s="15">
        <v>3.3700999999999999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3"/>
        <v>2001.9022615310025</v>
      </c>
      <c r="AH91" s="17">
        <v>2079.0652845193049</v>
      </c>
      <c r="AI91" s="100">
        <f t="shared" si="14"/>
        <v>3.4332977665864242</v>
      </c>
      <c r="AJ91" s="17">
        <f t="shared" si="15"/>
        <v>1.67</v>
      </c>
      <c r="AK91" s="15">
        <f t="shared" si="16"/>
        <v>0.35196410514277382</v>
      </c>
      <c r="AL91" s="5">
        <v>2.8845000000000001</v>
      </c>
      <c r="AM91" s="5">
        <v>3.3700999999999999</v>
      </c>
      <c r="AN91" s="11" t="s">
        <v>5</v>
      </c>
      <c r="AP91">
        <v>3.9701</v>
      </c>
      <c r="AQ91">
        <f t="shared" si="9"/>
        <v>0.86478873745911289</v>
      </c>
    </row>
    <row r="92" spans="1:43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0"/>
        <v>8243.1917999999987</v>
      </c>
      <c r="M92" s="15"/>
      <c r="N92" s="15"/>
      <c r="O92" s="15"/>
      <c r="P92" s="15">
        <f t="shared" si="11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2"/>
        <v>12.628667990084828</v>
      </c>
      <c r="W92" s="15">
        <v>3.17516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3"/>
        <v>1430.0544204981834</v>
      </c>
      <c r="AH92" s="17">
        <v>1576.3585053174145</v>
      </c>
      <c r="AI92" s="100">
        <f t="shared" si="14"/>
        <v>3.157166997521208</v>
      </c>
      <c r="AJ92" s="17">
        <f t="shared" si="15"/>
        <v>1.9999999999999996</v>
      </c>
      <c r="AK92" s="15">
        <f t="shared" si="16"/>
        <v>0.25142477436994304</v>
      </c>
      <c r="AL92" s="5">
        <v>2.8845000000000001</v>
      </c>
      <c r="AM92" s="5">
        <v>3.17516</v>
      </c>
      <c r="AN92" s="11" t="s">
        <v>5</v>
      </c>
      <c r="AP92">
        <v>3.6976</v>
      </c>
      <c r="AQ92">
        <f t="shared" si="9"/>
        <v>0.85384222131144738</v>
      </c>
    </row>
    <row r="93" spans="1:43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0"/>
        <v>8243.1917999999987</v>
      </c>
      <c r="M93" s="15"/>
      <c r="N93" s="15"/>
      <c r="O93" s="15"/>
      <c r="P93" s="15">
        <f t="shared" si="11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2"/>
        <v>18.330994895013209</v>
      </c>
      <c r="W93" s="15">
        <v>3.0044900000000001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3"/>
        <v>932.24319554878502</v>
      </c>
      <c r="AH93" s="17">
        <v>1085.9916939050379</v>
      </c>
      <c r="AI93" s="100">
        <f t="shared" si="14"/>
        <v>2.9329591832021134</v>
      </c>
      <c r="AJ93" s="17">
        <f t="shared" si="15"/>
        <v>2.5</v>
      </c>
      <c r="AK93" s="15">
        <f t="shared" si="16"/>
        <v>0.16390217864374323</v>
      </c>
      <c r="AL93" s="5">
        <v>2.8845000000000001</v>
      </c>
      <c r="AM93" s="5">
        <v>3.0044900000000001</v>
      </c>
      <c r="AN93" s="11" t="s">
        <v>5</v>
      </c>
      <c r="AP93">
        <v>3.4706999999999999</v>
      </c>
      <c r="AQ93">
        <f t="shared" si="9"/>
        <v>0.84506272025877016</v>
      </c>
    </row>
    <row r="94" spans="1:43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0"/>
        <v>6100.2647999999999</v>
      </c>
      <c r="M94" s="15"/>
      <c r="N94" s="15"/>
      <c r="O94" s="15"/>
      <c r="P94" s="15">
        <f t="shared" si="11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2"/>
        <v>3.5262254695970014</v>
      </c>
      <c r="W94" s="15">
        <v>3.4047999999999998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3"/>
        <v>4064.2396299903885</v>
      </c>
      <c r="AH94" s="17">
        <v>4177.8779091184097</v>
      </c>
      <c r="AI94" s="100">
        <f t="shared" si="14"/>
        <v>39.180282995522248</v>
      </c>
      <c r="AJ94" s="17">
        <f t="shared" si="15"/>
        <v>0.3</v>
      </c>
      <c r="AK94" s="15">
        <f t="shared" si="16"/>
        <v>0.96556502962050272</v>
      </c>
      <c r="AL94" s="56">
        <v>1.5359</v>
      </c>
      <c r="AM94" s="5">
        <v>3.4047999999999998</v>
      </c>
      <c r="AN94" s="11" t="s">
        <v>5</v>
      </c>
      <c r="AP94">
        <f>AI94</f>
        <v>39.180282995522248</v>
      </c>
      <c r="AQ94" s="73">
        <f t="shared" si="9"/>
        <v>1</v>
      </c>
    </row>
    <row r="95" spans="1:43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0"/>
        <v>6100.2647999999999</v>
      </c>
      <c r="M95" s="15"/>
      <c r="N95" s="15"/>
      <c r="O95" s="15"/>
      <c r="P95" s="15">
        <f t="shared" si="11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2"/>
        <v>3.8064187849652202</v>
      </c>
      <c r="W95" s="15">
        <v>3.5858500000000002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3"/>
        <v>3965.2751524457158</v>
      </c>
      <c r="AH95" s="17">
        <v>3870.3412115844235</v>
      </c>
      <c r="AI95" s="100">
        <f t="shared" si="14"/>
        <v>15.225675139860888</v>
      </c>
      <c r="AJ95" s="17">
        <f t="shared" si="15"/>
        <v>0.49999999999999989</v>
      </c>
      <c r="AK95" s="15">
        <f t="shared" si="16"/>
        <v>0.94205346352418351</v>
      </c>
      <c r="AL95" s="5">
        <v>1.5359</v>
      </c>
      <c r="AM95" s="5">
        <v>3.5858500000000002</v>
      </c>
      <c r="AN95" s="11" t="s">
        <v>5</v>
      </c>
      <c r="AP95">
        <f t="shared" ref="AP95:AP96" si="17">AI95</f>
        <v>15.225675139860888</v>
      </c>
      <c r="AQ95" s="73">
        <f t="shared" si="9"/>
        <v>1</v>
      </c>
    </row>
    <row r="96" spans="1:43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0"/>
        <v>6100.2647999999999</v>
      </c>
      <c r="M96" s="15"/>
      <c r="N96" s="15"/>
      <c r="O96" s="15"/>
      <c r="P96" s="15">
        <f t="shared" si="11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2"/>
        <v>4.2560041696402848</v>
      </c>
      <c r="W96" s="15">
        <v>3.7646999999999999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3"/>
        <v>3723.2835129495943</v>
      </c>
      <c r="AH96" s="17">
        <v>3461.4955495321219</v>
      </c>
      <c r="AI96" s="100">
        <f t="shared" si="14"/>
        <v>7.5662296349160654</v>
      </c>
      <c r="AJ96" s="17">
        <f t="shared" si="15"/>
        <v>0.74999999999999989</v>
      </c>
      <c r="AK96" s="15">
        <f t="shared" si="16"/>
        <v>0.88456210331161178</v>
      </c>
      <c r="AL96" s="5">
        <v>1.5359</v>
      </c>
      <c r="AM96" s="5">
        <v>3.7646999999999999</v>
      </c>
      <c r="AN96" s="11" t="s">
        <v>5</v>
      </c>
      <c r="AP96">
        <f t="shared" si="17"/>
        <v>7.5662296349160654</v>
      </c>
      <c r="AQ96" s="73">
        <f t="shared" si="9"/>
        <v>1</v>
      </c>
    </row>
    <row r="97" spans="1:43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0"/>
        <v>6100.2647999999999</v>
      </c>
      <c r="M97" s="15"/>
      <c r="N97" s="15"/>
      <c r="O97" s="15"/>
      <c r="P97" s="15">
        <f t="shared" si="11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2"/>
        <v>4.8938041375788819</v>
      </c>
      <c r="W97" s="15">
        <v>3.5597300000000001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3"/>
        <v>3061.7396107725299</v>
      </c>
      <c r="AH97" s="17">
        <v>3010.3655720248034</v>
      </c>
      <c r="AI97" s="100">
        <f t="shared" si="14"/>
        <v>4.8938041375788837</v>
      </c>
      <c r="AJ97" s="17">
        <f t="shared" si="15"/>
        <v>0.99999999999999978</v>
      </c>
      <c r="AK97" s="15">
        <f t="shared" si="16"/>
        <v>0.72739527368193979</v>
      </c>
      <c r="AL97" s="5">
        <v>1.5359</v>
      </c>
      <c r="AM97" s="5">
        <v>3.5597300000000001</v>
      </c>
      <c r="AN97" s="11" t="s">
        <v>5</v>
      </c>
      <c r="AP97">
        <v>5.3754999999999997</v>
      </c>
      <c r="AQ97">
        <f t="shared" si="9"/>
        <v>0.91039050089831342</v>
      </c>
    </row>
    <row r="98" spans="1:43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0"/>
        <v>6100.2647999999999</v>
      </c>
      <c r="M98" s="15"/>
      <c r="N98" s="15"/>
      <c r="O98" s="15"/>
      <c r="P98" s="15">
        <f t="shared" si="11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2"/>
        <v>6.155059297226269</v>
      </c>
      <c r="W98" s="15">
        <v>3.1960700000000002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3"/>
        <v>2185.6560498782301</v>
      </c>
      <c r="AH98" s="17">
        <v>2393.5008227522562</v>
      </c>
      <c r="AI98" s="100">
        <f t="shared" si="14"/>
        <v>3.479597092671304</v>
      </c>
      <c r="AJ98" s="17">
        <f t="shared" si="15"/>
        <v>1.3299999999999998</v>
      </c>
      <c r="AK98" s="15">
        <f t="shared" si="16"/>
        <v>0.51925901045994549</v>
      </c>
      <c r="AL98" s="5">
        <v>1.5359</v>
      </c>
      <c r="AM98" s="5">
        <v>3.1960700000000002</v>
      </c>
      <c r="AN98" s="11" t="s">
        <v>5</v>
      </c>
      <c r="AP98">
        <v>3.9889000000000001</v>
      </c>
      <c r="AQ98">
        <f t="shared" si="9"/>
        <v>0.87231996105976684</v>
      </c>
    </row>
    <row r="99" spans="1:43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0"/>
        <v>6100.2647999999999</v>
      </c>
      <c r="M99" s="15"/>
      <c r="N99" s="15"/>
      <c r="O99" s="15"/>
      <c r="P99" s="15">
        <f t="shared" si="11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2"/>
        <v>8.0207118288040604</v>
      </c>
      <c r="W99" s="15">
        <v>2.8375900000000001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3"/>
        <v>1489.1365039261107</v>
      </c>
      <c r="AH99" s="17">
        <v>1836.7620987321591</v>
      </c>
      <c r="AI99" s="100">
        <f t="shared" si="14"/>
        <v>2.8759409906429285</v>
      </c>
      <c r="AJ99" s="17">
        <f t="shared" si="15"/>
        <v>1.6699999999999997</v>
      </c>
      <c r="AK99" s="15">
        <f t="shared" si="16"/>
        <v>0.35378281386567445</v>
      </c>
      <c r="AL99" s="5">
        <v>1.5359</v>
      </c>
      <c r="AM99" s="5">
        <v>2.8375900000000001</v>
      </c>
      <c r="AN99" s="11" t="s">
        <v>5</v>
      </c>
      <c r="AP99">
        <v>3.3906999999999998</v>
      </c>
      <c r="AQ99">
        <f t="shared" si="9"/>
        <v>0.84818503277875623</v>
      </c>
    </row>
    <row r="100" spans="1:43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0"/>
        <v>6100.2647999999999</v>
      </c>
      <c r="M100" s="31"/>
      <c r="N100" s="31"/>
      <c r="O100" s="31"/>
      <c r="P100" s="31">
        <f t="shared" si="11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2"/>
        <v>10.351921652800185</v>
      </c>
      <c r="W100" s="31">
        <v>2.6273399999999998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3"/>
        <v>1068.29963338784</v>
      </c>
      <c r="AH100" s="34">
        <v>1423.1308916460907</v>
      </c>
      <c r="AI100" s="101">
        <f t="shared" si="14"/>
        <v>2.587980413200047</v>
      </c>
      <c r="AJ100" s="34">
        <f t="shared" si="15"/>
        <v>1.9999999999999996</v>
      </c>
      <c r="AK100" s="31">
        <f t="shared" si="16"/>
        <v>0.25380215269396933</v>
      </c>
      <c r="AL100" s="5">
        <v>1.5359</v>
      </c>
      <c r="AM100" s="5">
        <v>2.6273399999999998</v>
      </c>
      <c r="AN100" s="11" t="s">
        <v>5</v>
      </c>
      <c r="AP100">
        <v>3.1006</v>
      </c>
      <c r="AQ100">
        <f t="shared" si="9"/>
        <v>0.83467084215959719</v>
      </c>
    </row>
    <row r="101" spans="1:43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0"/>
        <v>6100.2647999999999</v>
      </c>
      <c r="M101" s="42"/>
      <c r="N101" s="42"/>
      <c r="O101" s="42"/>
      <c r="P101" s="42">
        <f t="shared" si="11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2"/>
        <v>14.763070859683028</v>
      </c>
      <c r="W101" s="42">
        <v>2.4495900000000002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3"/>
        <v>698.41647293356289</v>
      </c>
      <c r="AH101" s="43">
        <v>997.90481479246318</v>
      </c>
      <c r="AI101" s="102">
        <f t="shared" si="14"/>
        <v>2.3620913375492854</v>
      </c>
      <c r="AJ101" s="43">
        <f t="shared" si="15"/>
        <v>2.4999999999999996</v>
      </c>
      <c r="AK101" s="42">
        <f t="shared" si="16"/>
        <v>0.16592686056189493</v>
      </c>
      <c r="AL101" s="5">
        <v>1.5359</v>
      </c>
      <c r="AM101" s="5">
        <v>2.4495900000000002</v>
      </c>
      <c r="AN101" s="11" t="s">
        <v>5</v>
      </c>
      <c r="AP101">
        <v>2.8677999999999999</v>
      </c>
      <c r="AQ101">
        <f t="shared" si="9"/>
        <v>0.82365971739636146</v>
      </c>
    </row>
    <row r="102" spans="1:43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0"/>
        <v>15434.550000000001</v>
      </c>
      <c r="M102" s="36"/>
      <c r="N102" s="36"/>
      <c r="O102" s="36"/>
      <c r="P102" s="36">
        <f t="shared" si="11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3.8177599999999998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40" t="s">
        <v>5</v>
      </c>
      <c r="AG102" s="39">
        <f t="shared" si="13"/>
        <v>7348.8886488670896</v>
      </c>
      <c r="AH102" s="39">
        <v>6737.2255644762408</v>
      </c>
      <c r="AI102" s="103">
        <f t="shared" si="14"/>
        <v>40.860238702785502</v>
      </c>
      <c r="AJ102" s="39">
        <f t="shared" si="15"/>
        <v>0.30044773224364668</v>
      </c>
      <c r="AK102" s="36">
        <f t="shared" si="16"/>
        <v>1.0350703382244055</v>
      </c>
      <c r="AL102" s="56">
        <v>26.521000000000001</v>
      </c>
    </row>
    <row r="103" spans="1:43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0"/>
        <v>15434.550000000001</v>
      </c>
      <c r="M103" s="15"/>
      <c r="N103" s="15"/>
      <c r="O103" s="15"/>
      <c r="P103" s="15">
        <f t="shared" si="11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2"/>
        <v>4.153939239175422</v>
      </c>
      <c r="W103" s="15">
        <v>4.1821700000000002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22" t="s">
        <v>5</v>
      </c>
      <c r="AG103" s="17">
        <f t="shared" si="13"/>
        <v>7148.1448808346577</v>
      </c>
      <c r="AH103" s="17">
        <v>5982.1831926777968</v>
      </c>
      <c r="AI103" s="100">
        <f t="shared" si="14"/>
        <v>16.566271697353649</v>
      </c>
      <c r="AJ103" s="17">
        <f t="shared" si="15"/>
        <v>0.50074622040607786</v>
      </c>
      <c r="AK103" s="15">
        <f t="shared" si="16"/>
        <v>1.0067961419749081</v>
      </c>
      <c r="AL103" s="5">
        <v>26.521000000000001</v>
      </c>
    </row>
    <row r="104" spans="1:43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0"/>
        <v>15434.550000000001</v>
      </c>
      <c r="M104" s="15"/>
      <c r="N104" s="15"/>
      <c r="O104" s="15"/>
      <c r="P104" s="15">
        <f t="shared" si="11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2"/>
        <v>5.0517068854483735</v>
      </c>
      <c r="W104" s="15">
        <v>4.7433100000000001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3"/>
        <v>6666.4583336847618</v>
      </c>
      <c r="AH104" s="17">
        <v>4919.0552942769218</v>
      </c>
      <c r="AI104" s="100">
        <f t="shared" si="14"/>
        <v>8.9540654712066541</v>
      </c>
      <c r="AJ104" s="17">
        <f t="shared" si="15"/>
        <v>0.75111933060911673</v>
      </c>
      <c r="AK104" s="15">
        <f t="shared" si="16"/>
        <v>0.93895194387926151</v>
      </c>
      <c r="AL104" s="5">
        <v>26.521000000000001</v>
      </c>
    </row>
    <row r="105" spans="1:43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0"/>
        <v>15434.550000000001</v>
      </c>
      <c r="M105" s="15"/>
      <c r="N105" s="15"/>
      <c r="O105" s="15"/>
      <c r="P105" s="15">
        <f t="shared" si="11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2"/>
        <v>6.4926212516107089</v>
      </c>
      <c r="W105" s="15">
        <v>5.0855499999999996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3"/>
        <v>5561.2147154267623</v>
      </c>
      <c r="AH105" s="17">
        <v>3827.3641010301089</v>
      </c>
      <c r="AI105" s="100">
        <f t="shared" si="14"/>
        <v>6.4732848441679556</v>
      </c>
      <c r="AJ105" s="17">
        <f t="shared" si="15"/>
        <v>1.0014924408121557</v>
      </c>
      <c r="AK105" s="15">
        <f t="shared" si="16"/>
        <v>0.78328148261202846</v>
      </c>
      <c r="AL105" s="5">
        <v>26.521000000000001</v>
      </c>
    </row>
    <row r="106" spans="1:43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0"/>
        <v>15434.550000000001</v>
      </c>
      <c r="M106" s="15"/>
      <c r="N106" s="15"/>
      <c r="O106" s="15"/>
      <c r="P106" s="15">
        <f t="shared" si="11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2"/>
        <v>9.3187330614180777</v>
      </c>
      <c r="W106" s="15">
        <v>4.8746099999999997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3"/>
        <v>3713.9393508352464</v>
      </c>
      <c r="AH106" s="17">
        <v>2666.6313259775375</v>
      </c>
      <c r="AI106" s="100">
        <f t="shared" si="14"/>
        <v>5.2524053885061557</v>
      </c>
      <c r="AJ106" s="17">
        <f t="shared" si="15"/>
        <v>1.3319849462801672</v>
      </c>
      <c r="AK106" s="15">
        <f t="shared" si="16"/>
        <v>0.52309793272028826</v>
      </c>
      <c r="AL106" s="5">
        <v>26.521000000000001</v>
      </c>
    </row>
    <row r="107" spans="1:43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0"/>
        <v>15434.550000000001</v>
      </c>
      <c r="M107" s="15"/>
      <c r="N107" s="15"/>
      <c r="O107" s="15"/>
      <c r="P107" s="15">
        <f t="shared" si="11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2"/>
        <v>13.224532825935254</v>
      </c>
      <c r="W107" s="15">
        <v>4.61463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3"/>
        <v>2477.4696895406541</v>
      </c>
      <c r="AH107" s="17">
        <v>1879.0550734061646</v>
      </c>
      <c r="AI107" s="100">
        <f t="shared" si="14"/>
        <v>4.727723243414192</v>
      </c>
      <c r="AJ107" s="17">
        <f t="shared" si="15"/>
        <v>1.6724923761562998</v>
      </c>
      <c r="AK107" s="15">
        <f t="shared" si="16"/>
        <v>0.34894465163639138</v>
      </c>
      <c r="AL107" s="5">
        <v>26.521000000000001</v>
      </c>
    </row>
    <row r="108" spans="1:43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0"/>
        <v>15434.550000000001</v>
      </c>
      <c r="M108" s="15"/>
      <c r="N108" s="15"/>
      <c r="O108" s="15"/>
      <c r="P108" s="15">
        <f t="shared" si="11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2"/>
        <v>17.886215442179413</v>
      </c>
      <c r="W108" s="15">
        <v>4.4468100000000002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3"/>
        <v>1765.1512301969126</v>
      </c>
      <c r="AH108" s="17">
        <v>1389.3171297377658</v>
      </c>
      <c r="AI108" s="100">
        <f t="shared" si="14"/>
        <v>4.4582366217904346</v>
      </c>
      <c r="AJ108" s="17">
        <f t="shared" si="15"/>
        <v>2.0029848816243114</v>
      </c>
      <c r="AK108" s="15">
        <f t="shared" si="16"/>
        <v>0.24861659608066097</v>
      </c>
      <c r="AL108" s="5">
        <v>26.521000000000001</v>
      </c>
    </row>
    <row r="109" spans="1:43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0"/>
        <v>15434.550000000001</v>
      </c>
      <c r="M109" s="15"/>
      <c r="N109" s="15"/>
      <c r="O109" s="15"/>
      <c r="P109" s="15">
        <f t="shared" si="11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2"/>
        <v>26.492657579321744</v>
      </c>
      <c r="W109" s="15">
        <v>4.2828999999999997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3"/>
        <v>1147.7946913651424</v>
      </c>
      <c r="AH109" s="17">
        <v>937.98160586938718</v>
      </c>
      <c r="AI109" s="100">
        <f t="shared" si="14"/>
        <v>4.2262010893651905</v>
      </c>
      <c r="AJ109" s="17">
        <f t="shared" si="15"/>
        <v>2.5037311020303892</v>
      </c>
      <c r="AK109" s="15">
        <f t="shared" si="16"/>
        <v>0.16166366047560748</v>
      </c>
      <c r="AL109" s="5">
        <v>26.521000000000001</v>
      </c>
    </row>
    <row r="110" spans="1:43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0"/>
        <v>11835.099999999999</v>
      </c>
      <c r="M110" s="15"/>
      <c r="N110" s="15"/>
      <c r="O110" s="15"/>
      <c r="P110" s="15">
        <f t="shared" si="11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2"/>
        <v>3.6875184446391596</v>
      </c>
      <c r="W110" s="15">
        <v>3.8561800000000002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3"/>
        <v>5693.1530614579242</v>
      </c>
      <c r="AH110" s="17">
        <v>5167.2991704491842</v>
      </c>
      <c r="AI110" s="100">
        <f t="shared" si="14"/>
        <v>40.972427162657326</v>
      </c>
      <c r="AJ110" s="17">
        <f t="shared" si="15"/>
        <v>0.30000000000000004</v>
      </c>
      <c r="AK110" s="15">
        <f t="shared" si="16"/>
        <v>1.0457384980964739</v>
      </c>
      <c r="AL110" s="56">
        <v>15.672000000000001</v>
      </c>
    </row>
    <row r="111" spans="1:43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0"/>
        <v>11835.099999999999</v>
      </c>
      <c r="M111" s="15"/>
      <c r="N111" s="15"/>
      <c r="O111" s="15"/>
      <c r="P111" s="15">
        <f t="shared" si="11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2"/>
        <v>4.1518828485211703</v>
      </c>
      <c r="W111" s="15">
        <v>4.2176999999999998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3"/>
        <v>5530.4485752478749</v>
      </c>
      <c r="AH111" s="17">
        <v>4589.3662454341384</v>
      </c>
      <c r="AI111" s="100">
        <f t="shared" si="14"/>
        <v>16.607531394084678</v>
      </c>
      <c r="AJ111" s="17">
        <f t="shared" si="15"/>
        <v>0.5</v>
      </c>
      <c r="AK111" s="15">
        <f t="shared" si="16"/>
        <v>1.0158523623811477</v>
      </c>
      <c r="AL111" s="5">
        <v>15.672000000000001</v>
      </c>
    </row>
    <row r="112" spans="1:43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0"/>
        <v>11835.099999999999</v>
      </c>
      <c r="M112" s="15"/>
      <c r="N112" s="15"/>
      <c r="O112" s="15"/>
      <c r="P112" s="15">
        <f t="shared" si="11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2"/>
        <v>5.0466007171573128</v>
      </c>
      <c r="W112" s="15">
        <v>4.7686700000000002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3"/>
        <v>5144.3213285246175</v>
      </c>
      <c r="AH112" s="17">
        <v>3775.7120223953771</v>
      </c>
      <c r="AI112" s="100">
        <f t="shared" si="14"/>
        <v>8.9717346082796627</v>
      </c>
      <c r="AJ112" s="17">
        <f t="shared" si="15"/>
        <v>0.75000000000000022</v>
      </c>
      <c r="AK112" s="15">
        <f t="shared" si="16"/>
        <v>0.94492714349038742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0"/>
        <v>11835.099999999999</v>
      </c>
      <c r="M113" s="15"/>
      <c r="N113" s="15"/>
      <c r="O113" s="15"/>
      <c r="P113" s="15">
        <f t="shared" si="11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2"/>
        <v>6.4822134047165632</v>
      </c>
      <c r="W113" s="15">
        <v>5.12019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3"/>
        <v>4300.2382315055611</v>
      </c>
      <c r="AH113" s="17">
        <v>2939.506895304562</v>
      </c>
      <c r="AI113" s="100">
        <f t="shared" si="14"/>
        <v>6.4822134047165623</v>
      </c>
      <c r="AJ113" s="17">
        <f t="shared" si="15"/>
        <v>1</v>
      </c>
      <c r="AK113" s="15">
        <f t="shared" si="16"/>
        <v>0.78988297365749593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0"/>
        <v>11835.099999999999</v>
      </c>
      <c r="M114" s="15"/>
      <c r="N114" s="15"/>
      <c r="O114" s="15"/>
      <c r="P114" s="15">
        <f t="shared" si="11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2"/>
        <v>9.2987954997459781</v>
      </c>
      <c r="W114" s="15">
        <v>4.9222000000000001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3"/>
        <v>2881.7899524655672</v>
      </c>
      <c r="AH114" s="17">
        <v>2049.137546956541</v>
      </c>
      <c r="AI114" s="100">
        <f t="shared" si="14"/>
        <v>5.2568237321193818</v>
      </c>
      <c r="AJ114" s="17">
        <f t="shared" si="15"/>
        <v>1.3300000000000003</v>
      </c>
      <c r="AK114" s="15">
        <f t="shared" si="16"/>
        <v>0.52933737494651467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0"/>
        <v>11835.099999999999</v>
      </c>
      <c r="M115" s="15"/>
      <c r="N115" s="15"/>
      <c r="O115" s="15"/>
      <c r="P115" s="15">
        <f t="shared" si="11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2"/>
        <v>13.19255585759235</v>
      </c>
      <c r="W115" s="15">
        <v>4.6595899999999997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3"/>
        <v>1922.863813045062</v>
      </c>
      <c r="AH115" s="17">
        <v>1444.3380953383705</v>
      </c>
      <c r="AI115" s="100">
        <f t="shared" si="14"/>
        <v>4.7303796685404098</v>
      </c>
      <c r="AJ115" s="17">
        <f t="shared" si="15"/>
        <v>1.67</v>
      </c>
      <c r="AK115" s="15">
        <f t="shared" si="16"/>
        <v>0.35319842874255436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0"/>
        <v>11835.099999999999</v>
      </c>
      <c r="M116" s="15"/>
      <c r="N116" s="15"/>
      <c r="O116" s="15"/>
      <c r="P116" s="15">
        <f t="shared" si="11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2"/>
        <v>17.840429325891453</v>
      </c>
      <c r="W116" s="15">
        <v>4.4886999999999997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3"/>
        <v>1369.7617755607973</v>
      </c>
      <c r="AH116" s="17">
        <v>1068.0522677975339</v>
      </c>
      <c r="AI116" s="100">
        <f t="shared" si="14"/>
        <v>4.4601073314728623</v>
      </c>
      <c r="AJ116" s="17">
        <f t="shared" si="15"/>
        <v>2</v>
      </c>
      <c r="AK116" s="15">
        <f t="shared" si="16"/>
        <v>0.25160268948716613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0"/>
        <v>11835.099999999999</v>
      </c>
      <c r="M117" s="15"/>
      <c r="N117" s="15"/>
      <c r="O117" s="15"/>
      <c r="P117" s="15">
        <f t="shared" si="11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2"/>
        <v>26.421797868568682</v>
      </c>
      <c r="W117" s="15">
        <v>4.31393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3"/>
        <v>888.87459023817962</v>
      </c>
      <c r="AH117" s="17">
        <v>721.16632996678868</v>
      </c>
      <c r="AI117" s="100">
        <f t="shared" si="14"/>
        <v>4.2274876589709889</v>
      </c>
      <c r="AJ117" s="17">
        <f t="shared" si="15"/>
        <v>2.5</v>
      </c>
      <c r="AK117" s="15">
        <f t="shared" si="16"/>
        <v>0.16327162979063747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0"/>
        <v>10343.099999999999</v>
      </c>
      <c r="M118" s="15"/>
      <c r="N118" s="15"/>
      <c r="O118" s="15"/>
      <c r="P118" s="15">
        <f t="shared" si="11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2"/>
        <v>3.6875184446391605</v>
      </c>
      <c r="W118" s="15">
        <v>3.8781699999999999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3"/>
        <v>5003.814444710004</v>
      </c>
      <c r="AH118" s="17">
        <v>4515.8800559245765</v>
      </c>
      <c r="AI118" s="100">
        <f t="shared" si="14"/>
        <v>40.972427162657333</v>
      </c>
      <c r="AJ118" s="17">
        <f t="shared" si="15"/>
        <v>0.30000000000000004</v>
      </c>
      <c r="AK118" s="15">
        <f t="shared" si="16"/>
        <v>1.0517018580986368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0"/>
        <v>10343.099999999999</v>
      </c>
      <c r="M119" s="15"/>
      <c r="N119" s="15"/>
      <c r="O119" s="15"/>
      <c r="P119" s="15">
        <f t="shared" si="11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2"/>
        <v>4.1518828485211703</v>
      </c>
      <c r="W119" s="15">
        <v>4.2350700000000003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3"/>
        <v>4853.1538323623436</v>
      </c>
      <c r="AH119" s="17">
        <v>4010.8046415450513</v>
      </c>
      <c r="AI119" s="100">
        <f t="shared" si="14"/>
        <v>16.607531394084681</v>
      </c>
      <c r="AJ119" s="17">
        <f t="shared" si="15"/>
        <v>0.5</v>
      </c>
      <c r="AK119" s="15">
        <f t="shared" si="16"/>
        <v>1.0200360064370457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0"/>
        <v>10343.099999999999</v>
      </c>
      <c r="M120" s="15"/>
      <c r="N120" s="15"/>
      <c r="O120" s="15"/>
      <c r="P120" s="15">
        <f t="shared" si="11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2"/>
        <v>5.046600717157312</v>
      </c>
      <c r="W120" s="15">
        <v>4.7762500000000001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3"/>
        <v>4502.9451914516567</v>
      </c>
      <c r="AH120" s="17">
        <v>3299.7242962744403</v>
      </c>
      <c r="AI120" s="100">
        <f t="shared" si="14"/>
        <v>8.9717346082796663</v>
      </c>
      <c r="AJ120" s="17">
        <f t="shared" si="15"/>
        <v>0.75</v>
      </c>
      <c r="AK120" s="15">
        <f t="shared" si="16"/>
        <v>0.94642914462438454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0"/>
        <v>10343.099999999999</v>
      </c>
      <c r="M121" s="15"/>
      <c r="N121" s="15"/>
      <c r="O121" s="15"/>
      <c r="P121" s="15">
        <f t="shared" si="11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2"/>
        <v>6.4822134047165623</v>
      </c>
      <c r="W121" s="15">
        <v>5.1386599999999998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3"/>
        <v>3771.6823909824725</v>
      </c>
      <c r="AH121" s="17">
        <v>2568.935942140296</v>
      </c>
      <c r="AI121" s="100">
        <f t="shared" si="14"/>
        <v>6.4822134047165623</v>
      </c>
      <c r="AJ121" s="17">
        <f t="shared" si="15"/>
        <v>1</v>
      </c>
      <c r="AK121" s="15">
        <f t="shared" si="16"/>
        <v>0.79273230903830294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0"/>
        <v>10343.099999999999</v>
      </c>
      <c r="M122" s="15"/>
      <c r="N122" s="15"/>
      <c r="O122" s="15"/>
      <c r="P122" s="15">
        <f t="shared" si="11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2"/>
        <v>9.2987954997459781</v>
      </c>
      <c r="W122" s="15">
        <v>4.9452100000000003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3"/>
        <v>2530.2684325193236</v>
      </c>
      <c r="AH122" s="17">
        <v>1790.8116164566586</v>
      </c>
      <c r="AI122" s="100">
        <f t="shared" si="14"/>
        <v>5.2568237321193827</v>
      </c>
      <c r="AJ122" s="17">
        <f t="shared" si="15"/>
        <v>1.33</v>
      </c>
      <c r="AK122" s="15">
        <f t="shared" si="16"/>
        <v>0.53181188898444887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0"/>
        <v>10343.099999999999</v>
      </c>
      <c r="M123" s="15"/>
      <c r="N123" s="15"/>
      <c r="O123" s="15"/>
      <c r="P123" s="15">
        <f t="shared" si="11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2"/>
        <v>13.192555857592344</v>
      </c>
      <c r="W123" s="15">
        <v>4.6797199999999997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3"/>
        <v>1687.7164462340531</v>
      </c>
      <c r="AH123" s="17">
        <v>1262.2566225798096</v>
      </c>
      <c r="AI123" s="100">
        <f t="shared" si="14"/>
        <v>4.7303796685404098</v>
      </c>
      <c r="AJ123" s="17">
        <f t="shared" si="15"/>
        <v>1.6699999999999997</v>
      </c>
      <c r="AK123" s="15">
        <f t="shared" si="16"/>
        <v>0.35472428925186705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0"/>
        <v>10343.099999999999</v>
      </c>
      <c r="M124" s="15"/>
      <c r="N124" s="15"/>
      <c r="O124" s="15"/>
      <c r="P124" s="15">
        <f t="shared" si="11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2"/>
        <v>17.840429325891456</v>
      </c>
      <c r="W124" s="15">
        <v>4.5072700000000001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3"/>
        <v>1202.0342113570989</v>
      </c>
      <c r="AH124" s="17">
        <v>933.4075260079486</v>
      </c>
      <c r="AI124" s="100">
        <f t="shared" si="14"/>
        <v>4.4601073314728641</v>
      </c>
      <c r="AJ124" s="17">
        <f t="shared" si="15"/>
        <v>2</v>
      </c>
      <c r="AK124" s="15">
        <f t="shared" si="16"/>
        <v>0.25264358372019052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0"/>
        <v>10343.099999999999</v>
      </c>
      <c r="M125" s="15"/>
      <c r="N125" s="15"/>
      <c r="O125" s="15"/>
      <c r="P125" s="15">
        <f t="shared" si="11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2"/>
        <v>26.421797868568685</v>
      </c>
      <c r="W125" s="15">
        <v>4.3240999999999996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3"/>
        <v>778.64933752573916</v>
      </c>
      <c r="AH125" s="17">
        <v>630.25200188249289</v>
      </c>
      <c r="AI125" s="100">
        <f t="shared" si="14"/>
        <v>4.2274876589709889</v>
      </c>
      <c r="AJ125" s="17">
        <f t="shared" si="15"/>
        <v>2.5</v>
      </c>
      <c r="AK125" s="15">
        <f t="shared" si="16"/>
        <v>0.16365653925253662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0"/>
        <v>8515.4</v>
      </c>
      <c r="M126" s="15"/>
      <c r="N126" s="15"/>
      <c r="O126" s="15"/>
      <c r="P126" s="15">
        <f t="shared" si="11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2"/>
        <v>3.6875184446391613</v>
      </c>
      <c r="W126" s="15">
        <v>3.91249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3"/>
        <v>4156.0611043017216</v>
      </c>
      <c r="AH126" s="17">
        <v>3717.8916406319318</v>
      </c>
      <c r="AI126" s="100">
        <f t="shared" si="14"/>
        <v>40.972427162657347</v>
      </c>
      <c r="AJ126" s="17">
        <f t="shared" si="15"/>
        <v>0.3</v>
      </c>
      <c r="AK126" s="15">
        <f t="shared" si="16"/>
        <v>1.0610089301893249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0"/>
        <v>8515.4</v>
      </c>
      <c r="M127" s="15"/>
      <c r="N127" s="15"/>
      <c r="O127" s="15"/>
      <c r="P127" s="15">
        <f t="shared" si="11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2"/>
        <v>4.1518828485211712</v>
      </c>
      <c r="W127" s="15">
        <v>4.26701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3"/>
        <v>4025.7004372831288</v>
      </c>
      <c r="AH127" s="17">
        <v>3302.0666767809194</v>
      </c>
      <c r="AI127" s="100">
        <f t="shared" si="14"/>
        <v>16.607531394084685</v>
      </c>
      <c r="AJ127" s="17">
        <f t="shared" si="15"/>
        <v>0.5</v>
      </c>
      <c r="AK127" s="15">
        <f t="shared" si="16"/>
        <v>1.027728901724632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0"/>
        <v>8515.4</v>
      </c>
      <c r="M128" s="15"/>
      <c r="N128" s="15"/>
      <c r="O128" s="15"/>
      <c r="P128" s="15">
        <f t="shared" si="11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2"/>
        <v>5.046600717157312</v>
      </c>
      <c r="W128" s="15">
        <v>4.8011499999999998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3"/>
        <v>3726.569407930785</v>
      </c>
      <c r="AH128" s="17">
        <v>2716.6393317762927</v>
      </c>
      <c r="AI128" s="100">
        <f t="shared" si="14"/>
        <v>8.9717346082796663</v>
      </c>
      <c r="AJ128" s="17">
        <f t="shared" si="15"/>
        <v>0.75</v>
      </c>
      <c r="AK128" s="15">
        <f t="shared" si="16"/>
        <v>0.95136315890360923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0"/>
        <v>8515.4</v>
      </c>
      <c r="M129" s="15"/>
      <c r="N129" s="15"/>
      <c r="O129" s="15"/>
      <c r="P129" s="15">
        <f t="shared" si="11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2"/>
        <v>6.4822134047165614</v>
      </c>
      <c r="W129" s="15">
        <v>5.1666699999999999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3"/>
        <v>3122.1249790317465</v>
      </c>
      <c r="AH129" s="17">
        <v>2114.9865245140704</v>
      </c>
      <c r="AI129" s="100">
        <f t="shared" si="14"/>
        <v>6.4822134047165614</v>
      </c>
      <c r="AJ129" s="17">
        <f t="shared" si="15"/>
        <v>1</v>
      </c>
      <c r="AK129" s="15">
        <f t="shared" si="16"/>
        <v>0.7970533639390287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0"/>
        <v>8515.4</v>
      </c>
      <c r="M130" s="15"/>
      <c r="N130" s="15"/>
      <c r="O130" s="15"/>
      <c r="P130" s="15">
        <f t="shared" si="11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2"/>
        <v>9.2987954997459781</v>
      </c>
      <c r="W130" s="15">
        <v>4.9792500000000004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3"/>
        <v>2097.4910683359808</v>
      </c>
      <c r="AH130" s="17">
        <v>1474.3623515943029</v>
      </c>
      <c r="AI130" s="100">
        <f t="shared" si="14"/>
        <v>5.2568237321193827</v>
      </c>
      <c r="AJ130" s="17">
        <f t="shared" si="15"/>
        <v>1.33</v>
      </c>
      <c r="AK130" s="15">
        <f t="shared" si="16"/>
        <v>0.53547257815660343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0"/>
        <v>8515.4</v>
      </c>
      <c r="M131" s="15"/>
      <c r="N131" s="15"/>
      <c r="O131" s="15"/>
      <c r="P131" s="15">
        <f t="shared" si="11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2"/>
        <v>13.192555857592346</v>
      </c>
      <c r="W131" s="15">
        <v>4.7100799999999996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3"/>
        <v>1398.4992146993343</v>
      </c>
      <c r="AH131" s="17">
        <v>1039.206818450572</v>
      </c>
      <c r="AI131" s="100">
        <f t="shared" si="14"/>
        <v>4.7303796685404107</v>
      </c>
      <c r="AJ131" s="17">
        <f t="shared" si="15"/>
        <v>1.6699999999999997</v>
      </c>
      <c r="AK131" s="15">
        <f t="shared" si="16"/>
        <v>0.35702558706919085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0"/>
        <v>8515.4</v>
      </c>
      <c r="M132" s="15"/>
      <c r="N132" s="15"/>
      <c r="O132" s="15"/>
      <c r="P132" s="15">
        <f t="shared" si="11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2"/>
        <v>17.840429325891453</v>
      </c>
      <c r="W132" s="15">
        <v>4.53512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3"/>
        <v>995.74094690080244</v>
      </c>
      <c r="AH132" s="17">
        <v>768.46771731570686</v>
      </c>
      <c r="AI132" s="100">
        <f t="shared" si="14"/>
        <v>4.4601073314728632</v>
      </c>
      <c r="AJ132" s="17">
        <f t="shared" si="15"/>
        <v>2</v>
      </c>
      <c r="AK132" s="15">
        <f t="shared" si="16"/>
        <v>0.2542046448074135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0"/>
        <v>8515.4</v>
      </c>
      <c r="M133" s="15"/>
      <c r="N133" s="15"/>
      <c r="O133" s="15"/>
      <c r="P133" s="15">
        <f t="shared" si="11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2"/>
        <v>26.421797868568685</v>
      </c>
      <c r="W133" s="15">
        <v>4.3385400000000001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3"/>
        <v>643.19717007511179</v>
      </c>
      <c r="AH133" s="17">
        <v>518.88194997923063</v>
      </c>
      <c r="AI133" s="100">
        <f t="shared" si="14"/>
        <v>4.2274876589709889</v>
      </c>
      <c r="AJ133" s="17">
        <f t="shared" si="15"/>
        <v>2.5</v>
      </c>
      <c r="AK133" s="15">
        <f t="shared" si="16"/>
        <v>0.16420305770188023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0"/>
        <v>7396.4</v>
      </c>
      <c r="M134" s="15"/>
      <c r="N134" s="15"/>
      <c r="O134" s="15"/>
      <c r="P134" s="15">
        <f t="shared" si="11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2"/>
        <v>3.6875184446391609</v>
      </c>
      <c r="W134" s="15">
        <v>3.9456699999999998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3"/>
        <v>3640.5313904249892</v>
      </c>
      <c r="AH134" s="17">
        <v>3229.3273047384764</v>
      </c>
      <c r="AI134" s="100">
        <f t="shared" si="14"/>
        <v>40.972427162657347</v>
      </c>
      <c r="AJ134" s="17">
        <f t="shared" si="15"/>
        <v>0.3</v>
      </c>
      <c r="AK134" s="15">
        <f t="shared" si="16"/>
        <v>1.070006851283994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8">2*C135*F135+(E135-2*F135)*H135</f>
        <v>7396.4</v>
      </c>
      <c r="M135" s="15"/>
      <c r="N135" s="15"/>
      <c r="O135" s="15"/>
      <c r="P135" s="15">
        <f t="shared" ref="P135:P198" si="19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20">L135*T135/(S135*1000)</f>
        <v>4.1518828485211703</v>
      </c>
      <c r="W135" s="15">
        <v>4.3025900000000004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21">W135*S135</f>
        <v>3525.8440098265592</v>
      </c>
      <c r="AH135" s="17">
        <v>2868.1454738641041</v>
      </c>
      <c r="AI135" s="100">
        <f t="shared" ref="AI135:AI198" si="22">(PI()^2*U135*P135/K135^2)/(S135*1000)</f>
        <v>16.607531394084685</v>
      </c>
      <c r="AJ135" s="17">
        <f t="shared" ref="AJ135:AJ198" si="23">(V135/AI135)^0.5</f>
        <v>0.49999999999999994</v>
      </c>
      <c r="AK135" s="15">
        <f t="shared" ref="AK135:AK198" si="24">W135/V135</f>
        <v>1.0362985076836908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8"/>
        <v>7396.4</v>
      </c>
      <c r="M136" s="15"/>
      <c r="N136" s="15"/>
      <c r="O136" s="15"/>
      <c r="P136" s="15">
        <f t="shared" si="19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20"/>
        <v>5.0466007171573128</v>
      </c>
      <c r="W136" s="15">
        <v>4.82972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21"/>
        <v>3256.1262094331387</v>
      </c>
      <c r="AH136" s="17">
        <v>2359.6485371855892</v>
      </c>
      <c r="AI136" s="100">
        <f t="shared" si="22"/>
        <v>8.9717346082796663</v>
      </c>
      <c r="AJ136" s="17">
        <f t="shared" si="23"/>
        <v>0.75000000000000011</v>
      </c>
      <c r="AK136" s="15">
        <f t="shared" si="24"/>
        <v>0.95702439536776374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8"/>
        <v>7396.4</v>
      </c>
      <c r="M137" s="15"/>
      <c r="N137" s="15"/>
      <c r="O137" s="15"/>
      <c r="P137" s="15">
        <f t="shared" si="19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20"/>
        <v>6.4822134047165623</v>
      </c>
      <c r="W137" s="15">
        <v>5.1917299999999997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21"/>
        <v>2725.0030679747988</v>
      </c>
      <c r="AH137" s="17">
        <v>1837.0583096408704</v>
      </c>
      <c r="AI137" s="100">
        <f t="shared" si="22"/>
        <v>6.4822134047165632</v>
      </c>
      <c r="AJ137" s="17">
        <f t="shared" si="23"/>
        <v>1</v>
      </c>
      <c r="AK137" s="15">
        <f t="shared" si="24"/>
        <v>0.80091932737395133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8"/>
        <v>7396.4</v>
      </c>
      <c r="M138" s="15"/>
      <c r="N138" s="15"/>
      <c r="O138" s="15"/>
      <c r="P138" s="15">
        <f t="shared" si="19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20"/>
        <v>9.2987954997459745</v>
      </c>
      <c r="W138" s="15">
        <v>5.00223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21"/>
        <v>1830.2700847206429</v>
      </c>
      <c r="AH138" s="17">
        <v>1280.6179037193911</v>
      </c>
      <c r="AI138" s="100">
        <f t="shared" si="22"/>
        <v>5.2568237321193827</v>
      </c>
      <c r="AJ138" s="17">
        <f t="shared" si="23"/>
        <v>1.3299999999999998</v>
      </c>
      <c r="AK138" s="15">
        <f t="shared" si="24"/>
        <v>0.53794386597023791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8"/>
        <v>7396.4</v>
      </c>
      <c r="M139" s="15"/>
      <c r="N139" s="15"/>
      <c r="O139" s="15"/>
      <c r="P139" s="15">
        <f t="shared" si="19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20"/>
        <v>13.192555857592344</v>
      </c>
      <c r="W139" s="15">
        <v>4.7300000000000004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21"/>
        <v>1219.861207617203</v>
      </c>
      <c r="AH139" s="17">
        <v>902.64571388165109</v>
      </c>
      <c r="AI139" s="100">
        <f t="shared" si="22"/>
        <v>4.7303796685404089</v>
      </c>
      <c r="AJ139" s="17">
        <f t="shared" si="23"/>
        <v>1.67</v>
      </c>
      <c r="AK139" s="15">
        <f t="shared" si="24"/>
        <v>0.35853552951059708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8"/>
        <v>7396.4</v>
      </c>
      <c r="M140" s="15"/>
      <c r="N140" s="15"/>
      <c r="O140" s="15"/>
      <c r="P140" s="15">
        <f t="shared" si="19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20"/>
        <v>17.840429325891453</v>
      </c>
      <c r="W140" s="15">
        <v>4.5532700000000004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21"/>
        <v>868.35303018168293</v>
      </c>
      <c r="AH140" s="17">
        <v>667.48416097351787</v>
      </c>
      <c r="AI140" s="100">
        <f t="shared" si="22"/>
        <v>4.4601073314728641</v>
      </c>
      <c r="AJ140" s="17">
        <f t="shared" si="23"/>
        <v>1.9999999999999998</v>
      </c>
      <c r="AK140" s="15">
        <f t="shared" si="24"/>
        <v>0.25522199700608844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8"/>
        <v>7396.4</v>
      </c>
      <c r="M141" s="15"/>
      <c r="N141" s="15"/>
      <c r="O141" s="15"/>
      <c r="P141" s="15">
        <f t="shared" si="19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20"/>
        <v>26.421797868568685</v>
      </c>
      <c r="W141" s="15">
        <v>4.3475299999999999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21"/>
        <v>559.83293354599027</v>
      </c>
      <c r="AH141" s="17">
        <v>450.69620391600881</v>
      </c>
      <c r="AI141" s="100">
        <f t="shared" si="22"/>
        <v>4.2274876589709898</v>
      </c>
      <c r="AJ141" s="17">
        <f t="shared" si="23"/>
        <v>2.5</v>
      </c>
      <c r="AK141" s="15">
        <f t="shared" si="24"/>
        <v>0.16454330706888848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8"/>
        <v>6687.7</v>
      </c>
      <c r="M142" s="15"/>
      <c r="N142" s="15"/>
      <c r="O142" s="15"/>
      <c r="P142" s="15">
        <f t="shared" si="19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20"/>
        <v>3.6875184446391605</v>
      </c>
      <c r="W142" s="15">
        <v>3.97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21"/>
        <v>3312.0045155991356</v>
      </c>
      <c r="AH142" s="17">
        <v>2919.9032253392879</v>
      </c>
      <c r="AI142" s="100">
        <f t="shared" si="22"/>
        <v>40.972427162657333</v>
      </c>
      <c r="AJ142" s="17">
        <f t="shared" si="23"/>
        <v>0.30000000000000004</v>
      </c>
      <c r="AK142" s="15">
        <f t="shared" si="24"/>
        <v>1.0766047843832498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8"/>
        <v>6687.7</v>
      </c>
      <c r="M143" s="15"/>
      <c r="N143" s="15"/>
      <c r="O143" s="15"/>
      <c r="P143" s="15">
        <f t="shared" si="19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20"/>
        <v>4.1518828485211703</v>
      </c>
      <c r="W143" s="15">
        <v>4.3312099999999996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21"/>
        <v>3209.2146430783519</v>
      </c>
      <c r="AH143" s="17">
        <v>2593.3287120167879</v>
      </c>
      <c r="AI143" s="100">
        <f t="shared" si="22"/>
        <v>16.607531394084685</v>
      </c>
      <c r="AJ143" s="17">
        <f t="shared" si="23"/>
        <v>0.49999999999999994</v>
      </c>
      <c r="AK143" s="15">
        <f t="shared" si="24"/>
        <v>1.0431917657654293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8"/>
        <v>6687.7</v>
      </c>
      <c r="M144" s="15"/>
      <c r="N144" s="15"/>
      <c r="O144" s="15"/>
      <c r="P144" s="15">
        <f t="shared" si="19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20"/>
        <v>5.046600717157312</v>
      </c>
      <c r="W144" s="15">
        <v>4.8481300000000003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21"/>
        <v>2955.3568384663408</v>
      </c>
      <c r="AH144" s="17">
        <v>2133.5543672781446</v>
      </c>
      <c r="AI144" s="100">
        <f t="shared" si="22"/>
        <v>8.9717346082796645</v>
      </c>
      <c r="AJ144" s="17">
        <f t="shared" si="23"/>
        <v>0.75000000000000011</v>
      </c>
      <c r="AK144" s="15">
        <f t="shared" si="24"/>
        <v>0.96067239548344774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8"/>
        <v>6687.7</v>
      </c>
      <c r="M145" s="15"/>
      <c r="N145" s="15"/>
      <c r="O145" s="15"/>
      <c r="P145" s="15">
        <f t="shared" si="19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20"/>
        <v>6.4822134047165614</v>
      </c>
      <c r="W145" s="15">
        <v>5.2048199999999998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21"/>
        <v>2470.114044191997</v>
      </c>
      <c r="AH145" s="17">
        <v>1661.0371068878442</v>
      </c>
      <c r="AI145" s="100">
        <f t="shared" si="22"/>
        <v>6.4822134047165632</v>
      </c>
      <c r="AJ145" s="17">
        <f t="shared" si="23"/>
        <v>0.99999999999999989</v>
      </c>
      <c r="AK145" s="15">
        <f t="shared" si="24"/>
        <v>0.80293869933576856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8"/>
        <v>6687.7</v>
      </c>
      <c r="M146" s="15"/>
      <c r="N146" s="15"/>
      <c r="O146" s="15"/>
      <c r="P146" s="15">
        <f t="shared" si="19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20"/>
        <v>9.2987954997459781</v>
      </c>
      <c r="W146" s="15">
        <v>5.0115499999999997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21"/>
        <v>1657.9826656604246</v>
      </c>
      <c r="AH146" s="17">
        <v>1157.9130867319466</v>
      </c>
      <c r="AI146" s="100">
        <f t="shared" si="22"/>
        <v>5.2568237321193836</v>
      </c>
      <c r="AJ146" s="17">
        <f t="shared" si="23"/>
        <v>1.33</v>
      </c>
      <c r="AK146" s="15">
        <f t="shared" si="24"/>
        <v>0.53894614631937043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8"/>
        <v>6687.7</v>
      </c>
      <c r="M147" s="15"/>
      <c r="N147" s="15"/>
      <c r="O147" s="15"/>
      <c r="P147" s="15">
        <f t="shared" si="19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20"/>
        <v>13.192555857592346</v>
      </c>
      <c r="W147" s="15">
        <v>4.73787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21"/>
        <v>1104.8130952693202</v>
      </c>
      <c r="AH147" s="17">
        <v>816.15701432133437</v>
      </c>
      <c r="AI147" s="100">
        <f t="shared" si="22"/>
        <v>4.7303796685404098</v>
      </c>
      <c r="AJ147" s="17">
        <f t="shared" si="23"/>
        <v>1.67</v>
      </c>
      <c r="AK147" s="15">
        <f t="shared" si="24"/>
        <v>0.35913207805546982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8"/>
        <v>6687.7</v>
      </c>
      <c r="M148" s="15"/>
      <c r="N148" s="15"/>
      <c r="O148" s="15"/>
      <c r="P148" s="15">
        <f t="shared" si="19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20"/>
        <v>17.840429325891453</v>
      </c>
      <c r="W148" s="15">
        <v>4.5605000000000002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21"/>
        <v>786.39686493637487</v>
      </c>
      <c r="AH148" s="17">
        <v>603.5279086234649</v>
      </c>
      <c r="AI148" s="100">
        <f t="shared" si="22"/>
        <v>4.4601073314728641</v>
      </c>
      <c r="AJ148" s="17">
        <f t="shared" si="23"/>
        <v>1.9999999999999998</v>
      </c>
      <c r="AK148" s="15">
        <f t="shared" si="24"/>
        <v>0.25562725631167627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8"/>
        <v>6687.7</v>
      </c>
      <c r="M149" s="15"/>
      <c r="N149" s="15"/>
      <c r="O149" s="15"/>
      <c r="P149" s="15">
        <f t="shared" si="19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20"/>
        <v>26.421797868568689</v>
      </c>
      <c r="W149" s="15">
        <v>4.3519100000000002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21"/>
        <v>506.70145838736784</v>
      </c>
      <c r="AH149" s="17">
        <v>407.5118980759683</v>
      </c>
      <c r="AI149" s="100">
        <f t="shared" si="22"/>
        <v>4.2274876589709889</v>
      </c>
      <c r="AJ149" s="17">
        <f t="shared" si="23"/>
        <v>2.5000000000000004</v>
      </c>
      <c r="AK149" s="15">
        <f t="shared" si="24"/>
        <v>0.16470907928551759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8"/>
        <v>20570.9912</v>
      </c>
      <c r="M150" s="15"/>
      <c r="N150" s="15"/>
      <c r="O150" s="15"/>
      <c r="P150" s="15">
        <f t="shared" si="19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20"/>
        <v>3.6875184446391609</v>
      </c>
      <c r="W150" s="15">
        <v>3.82376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21"/>
        <v>9812.2696513210722</v>
      </c>
      <c r="AH150" s="17">
        <v>8981.4590297570321</v>
      </c>
      <c r="AI150" s="100">
        <f t="shared" si="22"/>
        <v>40.972427162657361</v>
      </c>
      <c r="AJ150" s="17">
        <f t="shared" si="23"/>
        <v>0.29999999999999993</v>
      </c>
      <c r="AK150" s="15">
        <f t="shared" si="24"/>
        <v>1.0369466776658174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8"/>
        <v>20570.9912</v>
      </c>
      <c r="M151" s="15"/>
      <c r="N151" s="15"/>
      <c r="O151" s="15"/>
      <c r="P151" s="15">
        <f t="shared" si="19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20"/>
        <v>4.1518828485211694</v>
      </c>
      <c r="W151" s="15">
        <v>4.1562200000000002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21"/>
        <v>9472.5408581385473</v>
      </c>
      <c r="AH151" s="17">
        <v>7976.9340899867948</v>
      </c>
      <c r="AI151" s="100">
        <f t="shared" si="22"/>
        <v>16.607531394084685</v>
      </c>
      <c r="AJ151" s="17">
        <f t="shared" si="23"/>
        <v>0.49999999999999989</v>
      </c>
      <c r="AK151" s="15">
        <f t="shared" si="24"/>
        <v>1.0010446227981542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8"/>
        <v>20570.9912</v>
      </c>
      <c r="M152" s="15"/>
      <c r="N152" s="15"/>
      <c r="O152" s="15"/>
      <c r="P152" s="15">
        <f t="shared" si="19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20"/>
        <v>5.046600717157312</v>
      </c>
      <c r="W152" s="15">
        <v>4.6280700000000001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21"/>
        <v>8677.8876686010481</v>
      </c>
      <c r="AH152" s="17">
        <v>6562.6939177894164</v>
      </c>
      <c r="AI152" s="100">
        <f t="shared" si="22"/>
        <v>8.9717346082796681</v>
      </c>
      <c r="AJ152" s="17">
        <f t="shared" si="23"/>
        <v>0.74999999999999989</v>
      </c>
      <c r="AK152" s="15">
        <f t="shared" si="24"/>
        <v>0.91706680583339972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8"/>
        <v>20570.9912</v>
      </c>
      <c r="M153" s="15"/>
      <c r="N153" s="15"/>
      <c r="O153" s="15"/>
      <c r="P153" s="15">
        <f t="shared" si="19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20"/>
        <v>6.4822134047165605</v>
      </c>
      <c r="W153" s="15">
        <v>4.8763199999999998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21"/>
        <v>7118.3923747839444</v>
      </c>
      <c r="AH153" s="17">
        <v>5109.2572496767662</v>
      </c>
      <c r="AI153" s="100">
        <f t="shared" si="22"/>
        <v>6.4822134047165632</v>
      </c>
      <c r="AJ153" s="17">
        <f t="shared" si="23"/>
        <v>0.99999999999999978</v>
      </c>
      <c r="AK153" s="15">
        <f t="shared" si="24"/>
        <v>0.75226156492347396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8"/>
        <v>20570.9912</v>
      </c>
      <c r="M154" s="15"/>
      <c r="N154" s="15"/>
      <c r="O154" s="15"/>
      <c r="P154" s="15">
        <f t="shared" si="19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20"/>
        <v>9.2987954997459727</v>
      </c>
      <c r="W154" s="15">
        <v>4.7312099999999999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21"/>
        <v>4814.5818958901673</v>
      </c>
      <c r="AH154" s="17">
        <v>3561.6759001641408</v>
      </c>
      <c r="AI154" s="100">
        <f t="shared" si="22"/>
        <v>5.2568237321193818</v>
      </c>
      <c r="AJ154" s="17">
        <f t="shared" si="23"/>
        <v>1.3299999999999998</v>
      </c>
      <c r="AK154" s="15">
        <f t="shared" si="24"/>
        <v>0.50879815564599185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8"/>
        <v>20570.9912</v>
      </c>
      <c r="M155" s="15"/>
      <c r="N155" s="15"/>
      <c r="O155" s="15"/>
      <c r="P155" s="15">
        <f t="shared" si="19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20"/>
        <v>13.192555857592344</v>
      </c>
      <c r="W155" s="15">
        <v>4.5021199999999997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21"/>
        <v>3229.2463321351552</v>
      </c>
      <c r="AH155" s="17">
        <v>2510.4533336457143</v>
      </c>
      <c r="AI155" s="100">
        <f t="shared" si="22"/>
        <v>4.7303796685404107</v>
      </c>
      <c r="AJ155" s="17">
        <f t="shared" si="23"/>
        <v>1.6699999999999995</v>
      </c>
      <c r="AK155" s="15">
        <f t="shared" si="24"/>
        <v>0.34126215182246283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8"/>
        <v>20570.9912</v>
      </c>
      <c r="M156" s="15"/>
      <c r="N156" s="15"/>
      <c r="O156" s="15"/>
      <c r="P156" s="15">
        <f t="shared" si="19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20"/>
        <v>17.840429325891446</v>
      </c>
      <c r="W156" s="15">
        <v>4.3466399999999998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21"/>
        <v>2305.4803287446148</v>
      </c>
      <c r="AH156" s="17">
        <v>1856.4180954958663</v>
      </c>
      <c r="AI156" s="100">
        <f t="shared" si="22"/>
        <v>4.4601073314728632</v>
      </c>
      <c r="AJ156" s="17">
        <f t="shared" si="23"/>
        <v>1.9999999999999996</v>
      </c>
      <c r="AK156" s="15">
        <f t="shared" si="24"/>
        <v>0.24363987663076087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8"/>
        <v>20570.9912</v>
      </c>
      <c r="M157" s="15"/>
      <c r="N157" s="15"/>
      <c r="O157" s="15"/>
      <c r="P157" s="15">
        <f t="shared" si="19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20"/>
        <v>26.421797868568685</v>
      </c>
      <c r="W157" s="15">
        <v>4.1818799999999996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21"/>
        <v>1497.6911060100174</v>
      </c>
      <c r="AH157" s="17">
        <v>1253.4838089651214</v>
      </c>
      <c r="AI157" s="100">
        <f t="shared" si="22"/>
        <v>4.2274876589709907</v>
      </c>
      <c r="AJ157" s="17">
        <f t="shared" si="23"/>
        <v>2.4999999999999996</v>
      </c>
      <c r="AK157" s="15">
        <f t="shared" si="24"/>
        <v>0.15827386239203484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8"/>
        <v>14282</v>
      </c>
      <c r="M158" s="15"/>
      <c r="N158" s="15"/>
      <c r="O158" s="15"/>
      <c r="P158" s="15">
        <f t="shared" si="19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20"/>
        <v>3.6875184446391609</v>
      </c>
      <c r="W158" s="15">
        <v>3.8435199999999998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21"/>
        <v>6847.6539422085243</v>
      </c>
      <c r="AH158" s="17">
        <v>6235.6352504292518</v>
      </c>
      <c r="AI158" s="100">
        <f t="shared" si="22"/>
        <v>40.972427162657333</v>
      </c>
      <c r="AJ158" s="17">
        <f t="shared" si="23"/>
        <v>0.30000000000000004</v>
      </c>
      <c r="AK158" s="15">
        <f t="shared" si="24"/>
        <v>1.042305294930153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8"/>
        <v>14282</v>
      </c>
      <c r="M159" s="15"/>
      <c r="N159" s="15"/>
      <c r="O159" s="15"/>
      <c r="P159" s="15">
        <f t="shared" si="19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20"/>
        <v>4.1518828485211703</v>
      </c>
      <c r="W159" s="15">
        <v>4.1760200000000003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21"/>
        <v>6607.9133528952971</v>
      </c>
      <c r="AH159" s="17">
        <v>5538.2150313297197</v>
      </c>
      <c r="AI159" s="100">
        <f t="shared" si="22"/>
        <v>16.607531394084678</v>
      </c>
      <c r="AJ159" s="17">
        <f t="shared" si="23"/>
        <v>0.5</v>
      </c>
      <c r="AK159" s="15">
        <f t="shared" si="24"/>
        <v>1.0058135434836335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8"/>
        <v>14282</v>
      </c>
      <c r="M160" s="15"/>
      <c r="N160" s="15"/>
      <c r="O160" s="15"/>
      <c r="P160" s="15">
        <f t="shared" si="19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20"/>
        <v>5.0466007171573137</v>
      </c>
      <c r="W160" s="15">
        <v>4.64825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21"/>
        <v>6051.142680295402</v>
      </c>
      <c r="AH160" s="17">
        <v>4556.3382737662359</v>
      </c>
      <c r="AI160" s="100">
        <f t="shared" si="22"/>
        <v>8.9717346082796663</v>
      </c>
      <c r="AJ160" s="17">
        <f t="shared" si="23"/>
        <v>0.75000000000000011</v>
      </c>
      <c r="AK160" s="15">
        <f t="shared" si="24"/>
        <v>0.92106553708459427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8"/>
        <v>14282</v>
      </c>
      <c r="M161" s="15"/>
      <c r="N161" s="15"/>
      <c r="O161" s="15"/>
      <c r="P161" s="15">
        <f t="shared" si="19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20"/>
        <v>6.4822134047165623</v>
      </c>
      <c r="W161" s="15">
        <v>4.8961199999999998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21"/>
        <v>4962.2151382728935</v>
      </c>
      <c r="AH161" s="17">
        <v>3547.2482259330095</v>
      </c>
      <c r="AI161" s="100">
        <f t="shared" si="22"/>
        <v>6.4822134047165605</v>
      </c>
      <c r="AJ161" s="17">
        <f t="shared" si="23"/>
        <v>1</v>
      </c>
      <c r="AK161" s="15">
        <f t="shared" si="24"/>
        <v>0.75531607713462567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8"/>
        <v>14282</v>
      </c>
      <c r="M162" s="15"/>
      <c r="N162" s="15"/>
      <c r="O162" s="15"/>
      <c r="P162" s="15">
        <f t="shared" si="19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20"/>
        <v>9.2987954997459781</v>
      </c>
      <c r="W162" s="15">
        <v>4.7534599999999996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21"/>
        <v>3358.3813335881082</v>
      </c>
      <c r="AH162" s="17">
        <v>2472.7955357904307</v>
      </c>
      <c r="AI162" s="100">
        <f t="shared" si="22"/>
        <v>5.2568237321193827</v>
      </c>
      <c r="AJ162" s="17">
        <f t="shared" si="23"/>
        <v>1.33</v>
      </c>
      <c r="AK162" s="15">
        <f t="shared" si="24"/>
        <v>0.5111909386683311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8"/>
        <v>14282</v>
      </c>
      <c r="M163" s="15"/>
      <c r="N163" s="15"/>
      <c r="O163" s="15"/>
      <c r="P163" s="15">
        <f t="shared" si="19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20"/>
        <v>13.192555857592346</v>
      </c>
      <c r="W163" s="15">
        <v>4.52501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21"/>
        <v>2253.3957042214406</v>
      </c>
      <c r="AH163" s="17">
        <v>1742.9541514328239</v>
      </c>
      <c r="AI163" s="100">
        <f t="shared" si="22"/>
        <v>4.7303796685404089</v>
      </c>
      <c r="AJ163" s="17">
        <f t="shared" si="23"/>
        <v>1.67</v>
      </c>
      <c r="AK163" s="15">
        <f t="shared" si="24"/>
        <v>0.3429972212242593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8"/>
        <v>14282</v>
      </c>
      <c r="M164" s="15"/>
      <c r="N164" s="15"/>
      <c r="O164" s="15"/>
      <c r="P164" s="15">
        <f t="shared" si="19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20"/>
        <v>17.840429325891463</v>
      </c>
      <c r="W164" s="15">
        <v>4.3693600000000004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21"/>
        <v>1609.0123872490176</v>
      </c>
      <c r="AH164" s="17">
        <v>1288.8714492217537</v>
      </c>
      <c r="AI164" s="100">
        <f t="shared" si="22"/>
        <v>4.4601073314728641</v>
      </c>
      <c r="AJ164" s="17">
        <f t="shared" si="23"/>
        <v>2.0000000000000004</v>
      </c>
      <c r="AK164" s="15">
        <f t="shared" si="24"/>
        <v>0.24491338858414322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8"/>
        <v>14282</v>
      </c>
      <c r="M165" s="15"/>
      <c r="N165" s="15"/>
      <c r="O165" s="15"/>
      <c r="P165" s="15">
        <f t="shared" si="19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20"/>
        <v>26.421797868568685</v>
      </c>
      <c r="W165" s="15">
        <v>4.2032800000000003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21"/>
        <v>1045.1360206055469</v>
      </c>
      <c r="AH165" s="17">
        <v>870.26704671575874</v>
      </c>
      <c r="AI165" s="100">
        <f t="shared" si="22"/>
        <v>4.2274876589709898</v>
      </c>
      <c r="AJ165" s="17">
        <f t="shared" si="23"/>
        <v>2.5</v>
      </c>
      <c r="AK165" s="15">
        <f t="shared" si="24"/>
        <v>0.15908379970615905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8"/>
        <v>12053.0592</v>
      </c>
      <c r="M166" s="15"/>
      <c r="N166" s="15"/>
      <c r="O166" s="15"/>
      <c r="P166" s="15">
        <f t="shared" si="19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20"/>
        <v>3.6875184446391618</v>
      </c>
      <c r="W166" s="15">
        <v>3.8491900000000001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21"/>
        <v>5787.4902034369152</v>
      </c>
      <c r="AH166" s="17">
        <v>5262.4618977055443</v>
      </c>
      <c r="AI166" s="100">
        <f t="shared" si="22"/>
        <v>40.972427162657354</v>
      </c>
      <c r="AJ166" s="17">
        <f t="shared" si="23"/>
        <v>0.3</v>
      </c>
      <c r="AK166" s="15">
        <f t="shared" si="24"/>
        <v>1.0438429143577228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8"/>
        <v>12053.0592</v>
      </c>
      <c r="M167" s="15"/>
      <c r="N167" s="15"/>
      <c r="O167" s="15"/>
      <c r="P167" s="15">
        <f t="shared" si="19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20"/>
        <v>4.1518828485211703</v>
      </c>
      <c r="W167" s="15">
        <v>4.18309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21"/>
        <v>5586.0811333748834</v>
      </c>
      <c r="AH167" s="17">
        <v>4673.8855646931079</v>
      </c>
      <c r="AI167" s="100">
        <f t="shared" si="22"/>
        <v>16.607531394084681</v>
      </c>
      <c r="AJ167" s="17">
        <f t="shared" si="23"/>
        <v>0.5</v>
      </c>
      <c r="AK167" s="15">
        <f t="shared" si="24"/>
        <v>1.0075163853647617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8"/>
        <v>12053.0592</v>
      </c>
      <c r="M168" s="15"/>
      <c r="N168" s="15"/>
      <c r="O168" s="15"/>
      <c r="P168" s="15">
        <f t="shared" si="19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20"/>
        <v>5.0466007171573137</v>
      </c>
      <c r="W168" s="15">
        <v>4.6567100000000003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21"/>
        <v>5116.0569358199728</v>
      </c>
      <c r="AH168" s="17">
        <v>3845.2468105958719</v>
      </c>
      <c r="AI168" s="100">
        <f t="shared" si="22"/>
        <v>8.9717346082796663</v>
      </c>
      <c r="AJ168" s="17">
        <f t="shared" si="23"/>
        <v>0.75000000000000011</v>
      </c>
      <c r="AK168" s="15">
        <f t="shared" si="24"/>
        <v>0.92274191302042741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8"/>
        <v>12053.0592</v>
      </c>
      <c r="M169" s="15"/>
      <c r="N169" s="15"/>
      <c r="O169" s="15"/>
      <c r="P169" s="15">
        <f t="shared" si="19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20"/>
        <v>6.4822134047165658</v>
      </c>
      <c r="W169" s="15">
        <v>4.9052899999999999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21"/>
        <v>4195.623262151219</v>
      </c>
      <c r="AH169" s="17">
        <v>2993.6418473789045</v>
      </c>
      <c r="AI169" s="100">
        <f t="shared" si="22"/>
        <v>6.4822134047165658</v>
      </c>
      <c r="AJ169" s="17">
        <f t="shared" si="23"/>
        <v>1</v>
      </c>
      <c r="AK169" s="15">
        <f t="shared" si="24"/>
        <v>0.75673071738595177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8"/>
        <v>12053.0592</v>
      </c>
      <c r="M170" s="15"/>
      <c r="N170" s="15"/>
      <c r="O170" s="15"/>
      <c r="P170" s="15">
        <f t="shared" si="19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20"/>
        <v>9.2987954997459834</v>
      </c>
      <c r="W170" s="15">
        <v>4.7696899999999998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21"/>
        <v>2843.9278755103805</v>
      </c>
      <c r="AH170" s="17">
        <v>2086.8751563070832</v>
      </c>
      <c r="AI170" s="100">
        <f t="shared" si="22"/>
        <v>5.2568237321193854</v>
      </c>
      <c r="AJ170" s="17">
        <f t="shared" si="23"/>
        <v>1.3300000000000003</v>
      </c>
      <c r="AK170" s="15">
        <f t="shared" si="24"/>
        <v>0.51293632601451378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8"/>
        <v>12053.0592</v>
      </c>
      <c r="M171" s="15"/>
      <c r="N171" s="15"/>
      <c r="O171" s="15"/>
      <c r="P171" s="15">
        <f t="shared" si="19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20"/>
        <v>13.192555857592355</v>
      </c>
      <c r="W171" s="15">
        <v>4.5434900000000003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21"/>
        <v>1909.4828239838157</v>
      </c>
      <c r="AH171" s="17">
        <v>1470.9375136609424</v>
      </c>
      <c r="AI171" s="100">
        <f t="shared" si="22"/>
        <v>4.7303796685404116</v>
      </c>
      <c r="AJ171" s="17">
        <f t="shared" si="23"/>
        <v>1.6700000000000002</v>
      </c>
      <c r="AK171" s="15">
        <f t="shared" si="24"/>
        <v>0.34439801120002145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8"/>
        <v>12053.0592</v>
      </c>
      <c r="M172" s="15"/>
      <c r="N172" s="15"/>
      <c r="O172" s="15"/>
      <c r="P172" s="15">
        <f t="shared" si="19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20"/>
        <v>17.840429325891463</v>
      </c>
      <c r="W172" s="15">
        <v>4.3883299999999998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21"/>
        <v>1363.7950154647854</v>
      </c>
      <c r="AH172" s="17">
        <v>1087.7218791947616</v>
      </c>
      <c r="AI172" s="100">
        <f t="shared" si="22"/>
        <v>4.4601073314728659</v>
      </c>
      <c r="AJ172" s="17">
        <f t="shared" si="23"/>
        <v>2</v>
      </c>
      <c r="AK172" s="15">
        <f t="shared" si="24"/>
        <v>0.24597670380226236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8"/>
        <v>12053.0592</v>
      </c>
      <c r="M173" s="15"/>
      <c r="N173" s="15"/>
      <c r="O173" s="15"/>
      <c r="P173" s="15">
        <f t="shared" si="19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20"/>
        <v>26.42179786856871</v>
      </c>
      <c r="W173" s="15">
        <v>4.2223300000000004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21"/>
        <v>886.02286280220937</v>
      </c>
      <c r="AH173" s="17">
        <v>734.44757274010624</v>
      </c>
      <c r="AI173" s="100">
        <f t="shared" si="22"/>
        <v>4.2274876589709933</v>
      </c>
      <c r="AJ173" s="17">
        <f t="shared" si="23"/>
        <v>2.5</v>
      </c>
      <c r="AK173" s="15">
        <f t="shared" si="24"/>
        <v>0.15980479530588157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8"/>
        <v>9236.7872000000007</v>
      </c>
      <c r="M174" s="15"/>
      <c r="N174" s="15"/>
      <c r="O174" s="15"/>
      <c r="P174" s="15">
        <f t="shared" si="19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20"/>
        <v>3.6376084013102399</v>
      </c>
      <c r="W174" s="15">
        <v>3.7526999999999999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21"/>
        <v>4383.3552847412484</v>
      </c>
      <c r="AH174" s="17">
        <v>4088.1881036571986</v>
      </c>
      <c r="AI174" s="100">
        <f t="shared" si="22"/>
        <v>40.417871125669329</v>
      </c>
      <c r="AJ174" s="17">
        <f t="shared" si="23"/>
        <v>0.30000000000000004</v>
      </c>
      <c r="AK174" s="15">
        <f t="shared" si="24"/>
        <v>1.0316393591592501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8"/>
        <v>9236.7872000000007</v>
      </c>
      <c r="M175" s="15"/>
      <c r="N175" s="15"/>
      <c r="O175" s="15"/>
      <c r="P175" s="15">
        <f t="shared" si="19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20"/>
        <v>4.0391214808227476</v>
      </c>
      <c r="W175" s="15">
        <v>4.0365099999999998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21"/>
        <v>4246.1749852632784</v>
      </c>
      <c r="AH175" s="17">
        <v>3681.7975053750579</v>
      </c>
      <c r="AI175" s="100">
        <f t="shared" si="22"/>
        <v>16.156485923290994</v>
      </c>
      <c r="AJ175" s="17">
        <f t="shared" si="23"/>
        <v>0.49999999999999994</v>
      </c>
      <c r="AK175" s="15">
        <f t="shared" si="24"/>
        <v>0.99935345326077796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8"/>
        <v>9236.7872000000007</v>
      </c>
      <c r="M176" s="15"/>
      <c r="N176" s="15"/>
      <c r="O176" s="15"/>
      <c r="P176" s="15">
        <f t="shared" si="19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20"/>
        <v>4.7729497483487631</v>
      </c>
      <c r="W176" s="15">
        <v>4.3796499999999998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21"/>
        <v>3898.8031948709813</v>
      </c>
      <c r="AH176" s="17">
        <v>3115.730978970565</v>
      </c>
      <c r="AI176" s="100">
        <f t="shared" si="22"/>
        <v>8.4852439970644689</v>
      </c>
      <c r="AJ176" s="17">
        <f t="shared" si="23"/>
        <v>0.74999999999999989</v>
      </c>
      <c r="AK176" s="15">
        <f t="shared" si="24"/>
        <v>0.91759817951470612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8"/>
        <v>9236.7872000000007</v>
      </c>
      <c r="M177" s="15"/>
      <c r="N177" s="15"/>
      <c r="O177" s="15"/>
      <c r="P177" s="15">
        <f t="shared" si="19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20"/>
        <v>5.9242146460126426</v>
      </c>
      <c r="W177" s="15">
        <v>4.4657799999999996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21"/>
        <v>3202.9142296689952</v>
      </c>
      <c r="AH177" s="17">
        <v>2510.2445270124108</v>
      </c>
      <c r="AI177" s="100">
        <f t="shared" si="22"/>
        <v>5.9242146460126435</v>
      </c>
      <c r="AJ177" s="17">
        <f t="shared" si="23"/>
        <v>1</v>
      </c>
      <c r="AK177" s="15">
        <f t="shared" si="24"/>
        <v>0.75381806143802399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8"/>
        <v>9236.7872000000007</v>
      </c>
      <c r="M178" s="15"/>
      <c r="N178" s="15"/>
      <c r="O178" s="15"/>
      <c r="P178" s="15">
        <f t="shared" si="19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20"/>
        <v>8.2175319601938224</v>
      </c>
      <c r="W178" s="15">
        <v>4.2300199999999997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21"/>
        <v>2187.1561436285942</v>
      </c>
      <c r="AH178" s="17">
        <v>1809.6951084628629</v>
      </c>
      <c r="AI178" s="100">
        <f t="shared" si="22"/>
        <v>4.6455604953325906</v>
      </c>
      <c r="AJ178" s="17">
        <f t="shared" si="23"/>
        <v>1.3300000000000003</v>
      </c>
      <c r="AK178" s="15">
        <f t="shared" si="24"/>
        <v>0.51475552763170862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8"/>
        <v>9236.7872000000007</v>
      </c>
      <c r="M179" s="15"/>
      <c r="N179" s="15"/>
      <c r="O179" s="15"/>
      <c r="P179" s="15">
        <f t="shared" si="19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20"/>
        <v>11.447373274491206</v>
      </c>
      <c r="W179" s="15">
        <v>3.96713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21"/>
        <v>1472.4798409203399</v>
      </c>
      <c r="AH179" s="17">
        <v>1299.0951754092227</v>
      </c>
      <c r="AI179" s="100">
        <f t="shared" si="22"/>
        <v>4.1046194824092677</v>
      </c>
      <c r="AJ179" s="17">
        <f t="shared" si="23"/>
        <v>1.67</v>
      </c>
      <c r="AK179" s="15">
        <f t="shared" si="24"/>
        <v>0.34655373812612261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8"/>
        <v>9236.7872000000007</v>
      </c>
      <c r="M180" s="15"/>
      <c r="N180" s="15"/>
      <c r="O180" s="15"/>
      <c r="P180" s="15">
        <f t="shared" si="19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20"/>
        <v>15.335655885736587</v>
      </c>
      <c r="W180" s="15">
        <v>3.80002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21"/>
        <v>1052.8398083748953</v>
      </c>
      <c r="AH180" s="17">
        <v>969.71577236754888</v>
      </c>
      <c r="AI180" s="100">
        <f t="shared" si="22"/>
        <v>3.8339139714341477</v>
      </c>
      <c r="AJ180" s="17">
        <f t="shared" si="23"/>
        <v>1.9999999999999998</v>
      </c>
      <c r="AK180" s="15">
        <f t="shared" si="24"/>
        <v>0.24778985837406073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8"/>
        <v>9236.7872000000007</v>
      </c>
      <c r="M181" s="15"/>
      <c r="N181" s="15"/>
      <c r="O181" s="15"/>
      <c r="P181" s="15">
        <f t="shared" si="19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20"/>
        <v>22.541013831652176</v>
      </c>
      <c r="W181" s="15">
        <v>3.6446299999999998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21"/>
        <v>687.00321612479627</v>
      </c>
      <c r="AH181" s="17">
        <v>659.7408396563676</v>
      </c>
      <c r="AI181" s="100">
        <f t="shared" si="22"/>
        <v>3.6065622130643487</v>
      </c>
      <c r="AJ181" s="17">
        <f t="shared" si="23"/>
        <v>2.5</v>
      </c>
      <c r="AK181" s="15">
        <f t="shared" si="24"/>
        <v>0.16168882319224687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8"/>
        <v>6673.5511999999999</v>
      </c>
      <c r="M182" s="15"/>
      <c r="N182" s="15"/>
      <c r="O182" s="15"/>
      <c r="P182" s="15">
        <f t="shared" si="19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20"/>
        <v>3.5769651319408382</v>
      </c>
      <c r="W182" s="15">
        <v>3.5350899999999998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21"/>
        <v>3033.8953529165042</v>
      </c>
      <c r="AH182" s="17">
        <v>3003.7803097538581</v>
      </c>
      <c r="AI182" s="100">
        <f t="shared" si="22"/>
        <v>39.744057021564871</v>
      </c>
      <c r="AJ182" s="17">
        <f t="shared" si="23"/>
        <v>0.3</v>
      </c>
      <c r="AK182" s="15">
        <f t="shared" si="24"/>
        <v>0.9882931115075988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8"/>
        <v>6673.5511999999999</v>
      </c>
      <c r="M183" s="15"/>
      <c r="N183" s="15"/>
      <c r="O183" s="15"/>
      <c r="P183" s="15">
        <f t="shared" si="19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20"/>
        <v>3.9093384565392184</v>
      </c>
      <c r="W183" s="15">
        <v>3.7636099999999999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21"/>
        <v>2955.3993298576434</v>
      </c>
      <c r="AH183" s="17">
        <v>2748.3978559153984</v>
      </c>
      <c r="AI183" s="100">
        <f t="shared" si="22"/>
        <v>15.63735382615687</v>
      </c>
      <c r="AJ183" s="17">
        <f t="shared" si="23"/>
        <v>0.5</v>
      </c>
      <c r="AK183" s="15">
        <f t="shared" si="24"/>
        <v>0.96272298800441392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8"/>
        <v>6673.5511999999999</v>
      </c>
      <c r="M184" s="15"/>
      <c r="N184" s="15"/>
      <c r="O184" s="15"/>
      <c r="P184" s="15">
        <f t="shared" si="19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20"/>
        <v>4.4758647104534957</v>
      </c>
      <c r="W184" s="15">
        <v>3.9955699999999998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21"/>
        <v>2740.416799622586</v>
      </c>
      <c r="AH184" s="17">
        <v>2400.5232792014785</v>
      </c>
      <c r="AI184" s="100">
        <f t="shared" si="22"/>
        <v>7.9570928185839929</v>
      </c>
      <c r="AJ184" s="17">
        <f t="shared" si="23"/>
        <v>0.75</v>
      </c>
      <c r="AK184" s="15">
        <f t="shared" si="24"/>
        <v>0.89269230829704138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8"/>
        <v>6673.5511999999999</v>
      </c>
      <c r="M185" s="15"/>
      <c r="N185" s="15"/>
      <c r="O185" s="15"/>
      <c r="P185" s="15">
        <f t="shared" si="19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20"/>
        <v>5.3244815494839415</v>
      </c>
      <c r="W185" s="15">
        <v>3.9099699999999999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21"/>
        <v>2254.2959313056099</v>
      </c>
      <c r="AH185" s="17">
        <v>2017.9274417884624</v>
      </c>
      <c r="AI185" s="100">
        <f t="shared" si="22"/>
        <v>5.3244815494839415</v>
      </c>
      <c r="AJ185" s="17">
        <f t="shared" si="23"/>
        <v>1</v>
      </c>
      <c r="AK185" s="15">
        <f t="shared" si="24"/>
        <v>0.7343381630046143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8"/>
        <v>6673.5511999999999</v>
      </c>
      <c r="M186" s="15"/>
      <c r="N186" s="15"/>
      <c r="O186" s="15"/>
      <c r="P186" s="15">
        <f t="shared" si="19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20"/>
        <v>7.0260453027717755</v>
      </c>
      <c r="W186" s="15">
        <v>3.6087699999999998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21"/>
        <v>1576.7508961379226</v>
      </c>
      <c r="AH186" s="17">
        <v>1529.2268935074082</v>
      </c>
      <c r="AI186" s="100">
        <f t="shared" si="22"/>
        <v>3.9719855858283535</v>
      </c>
      <c r="AJ186" s="17">
        <f t="shared" si="23"/>
        <v>1.33</v>
      </c>
      <c r="AK186" s="15">
        <f t="shared" si="24"/>
        <v>0.51362748808014935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8"/>
        <v>6673.5511999999999</v>
      </c>
      <c r="M187" s="15"/>
      <c r="N187" s="15"/>
      <c r="O187" s="15"/>
      <c r="P187" s="15">
        <f t="shared" si="19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20"/>
        <v>9.4890080926194749</v>
      </c>
      <c r="W187" s="15">
        <v>3.3094100000000002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21"/>
        <v>1070.6427643608215</v>
      </c>
      <c r="AH187" s="17">
        <v>1132.3014299415529</v>
      </c>
      <c r="AI187" s="100">
        <f t="shared" si="22"/>
        <v>3.4024196251638554</v>
      </c>
      <c r="AJ187" s="17">
        <f t="shared" si="23"/>
        <v>1.67</v>
      </c>
      <c r="AK187" s="15">
        <f t="shared" si="24"/>
        <v>0.3487624805140645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8"/>
        <v>6673.5511999999999</v>
      </c>
      <c r="M188" s="15"/>
      <c r="N188" s="15"/>
      <c r="O188" s="15"/>
      <c r="P188" s="15">
        <f t="shared" si="19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20"/>
        <v>12.503407320714025</v>
      </c>
      <c r="W188" s="15">
        <v>3.1278999999999999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21"/>
        <v>767.96125416095424</v>
      </c>
      <c r="AH188" s="17">
        <v>859.31915648305255</v>
      </c>
      <c r="AI188" s="100">
        <f t="shared" si="22"/>
        <v>3.1258518301785059</v>
      </c>
      <c r="AJ188" s="17">
        <f t="shared" si="23"/>
        <v>2</v>
      </c>
      <c r="AK188" s="15">
        <f t="shared" si="24"/>
        <v>0.25016380893375362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8"/>
        <v>6673.5511999999999</v>
      </c>
      <c r="M189" s="15"/>
      <c r="N189" s="15"/>
      <c r="O189" s="15"/>
      <c r="P189" s="15">
        <f t="shared" si="19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20"/>
        <v>18.135533336385102</v>
      </c>
      <c r="W189" s="15">
        <v>2.9666899999999998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21"/>
        <v>502.17682223390278</v>
      </c>
      <c r="AH189" s="17">
        <v>592.45114178382642</v>
      </c>
      <c r="AI189" s="100">
        <f t="shared" si="22"/>
        <v>2.9016853338216162</v>
      </c>
      <c r="AJ189" s="17">
        <f t="shared" si="23"/>
        <v>2.5</v>
      </c>
      <c r="AK189" s="15">
        <f t="shared" si="24"/>
        <v>0.16358438127915242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8"/>
        <v>4949.6792000000005</v>
      </c>
      <c r="M190" s="15"/>
      <c r="N190" s="15"/>
      <c r="O190" s="15"/>
      <c r="P190" s="15">
        <f t="shared" si="19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20"/>
        <v>3.5243204697778556</v>
      </c>
      <c r="W190" s="15">
        <v>3.4534400000000001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21"/>
        <v>2231.0608045419031</v>
      </c>
      <c r="AH190" s="17">
        <v>2261.1404326980228</v>
      </c>
      <c r="AI190" s="100">
        <f t="shared" si="22"/>
        <v>39.159116330865075</v>
      </c>
      <c r="AJ190" s="17">
        <f t="shared" si="23"/>
        <v>0.29999999999999993</v>
      </c>
      <c r="AK190" s="15">
        <f t="shared" si="24"/>
        <v>0.97988818826616997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8"/>
        <v>4949.6792000000005</v>
      </c>
      <c r="M191" s="15"/>
      <c r="N191" s="15"/>
      <c r="O191" s="15"/>
      <c r="P191" s="15">
        <f t="shared" si="19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20"/>
        <v>3.8026487608664294</v>
      </c>
      <c r="W191" s="15">
        <v>3.6124700000000001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21"/>
        <v>2162.9820744088311</v>
      </c>
      <c r="AH191" s="17">
        <v>2095.6401742937405</v>
      </c>
      <c r="AI191" s="100">
        <f t="shared" si="22"/>
        <v>15.210595043465721</v>
      </c>
      <c r="AJ191" s="17">
        <f t="shared" si="23"/>
        <v>0.49999999999999994</v>
      </c>
      <c r="AK191" s="15">
        <f t="shared" si="24"/>
        <v>0.94998781827457102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8"/>
        <v>4949.6792000000005</v>
      </c>
      <c r="M192" s="15"/>
      <c r="N192" s="15"/>
      <c r="O192" s="15"/>
      <c r="P192" s="15">
        <f t="shared" si="19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20"/>
        <v>4.2482306644885917</v>
      </c>
      <c r="W192" s="15">
        <v>3.7570899999999998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21"/>
        <v>2013.6240659551531</v>
      </c>
      <c r="AH192" s="17">
        <v>1875.8358811854484</v>
      </c>
      <c r="AI192" s="100">
        <f t="shared" si="22"/>
        <v>7.5524100702019421</v>
      </c>
      <c r="AJ192" s="17">
        <f t="shared" si="23"/>
        <v>0.74999999999999989</v>
      </c>
      <c r="AK192" s="15">
        <f t="shared" si="24"/>
        <v>0.88438936035321991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8"/>
        <v>4949.6792000000005</v>
      </c>
      <c r="M193" s="15"/>
      <c r="N193" s="15"/>
      <c r="O193" s="15"/>
      <c r="P193" s="15">
        <f t="shared" si="19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20"/>
        <v>4.8789086510952355</v>
      </c>
      <c r="W193" s="15">
        <v>3.5096500000000002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21"/>
        <v>1637.8570925231325</v>
      </c>
      <c r="AH193" s="17">
        <v>1633.3537030276418</v>
      </c>
      <c r="AI193" s="100">
        <f t="shared" si="22"/>
        <v>4.8789086510952373</v>
      </c>
      <c r="AJ193" s="17">
        <f t="shared" si="23"/>
        <v>0.99999999999999978</v>
      </c>
      <c r="AK193" s="15">
        <f t="shared" si="24"/>
        <v>0.7193514474209598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8"/>
        <v>4949.6792000000005</v>
      </c>
      <c r="M194" s="15"/>
      <c r="N194" s="15"/>
      <c r="O194" s="15"/>
      <c r="P194" s="15">
        <f t="shared" si="19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20"/>
        <v>6.124860598043588</v>
      </c>
      <c r="W194" s="15">
        <v>3.14859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21"/>
        <v>1170.4551775693919</v>
      </c>
      <c r="AH194" s="17">
        <v>1301.0881446910751</v>
      </c>
      <c r="AI194" s="100">
        <f t="shared" si="22"/>
        <v>3.4625250709726885</v>
      </c>
      <c r="AJ194" s="17">
        <f t="shared" si="23"/>
        <v>1.3299999999999998</v>
      </c>
      <c r="AK194" s="15">
        <f t="shared" si="24"/>
        <v>0.51406721011833756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8"/>
        <v>4949.6792000000005</v>
      </c>
      <c r="M195" s="15"/>
      <c r="N195" s="15"/>
      <c r="O195" s="15"/>
      <c r="P195" s="15">
        <f t="shared" si="19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20"/>
        <v>7.9690827511854847</v>
      </c>
      <c r="W195" s="15">
        <v>2.80945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21"/>
        <v>802.69000395695764</v>
      </c>
      <c r="AH195" s="17">
        <v>999.98754697515585</v>
      </c>
      <c r="AI195" s="100">
        <f t="shared" si="22"/>
        <v>2.8574286461276803</v>
      </c>
      <c r="AJ195" s="17">
        <f t="shared" si="23"/>
        <v>1.6699999999999997</v>
      </c>
      <c r="AK195" s="15">
        <f t="shared" si="24"/>
        <v>0.35254371020078373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8"/>
        <v>4949.6792000000005</v>
      </c>
      <c r="M196" s="15"/>
      <c r="N196" s="15"/>
      <c r="O196" s="15"/>
      <c r="P196" s="15">
        <f t="shared" si="19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20"/>
        <v>10.275594826355903</v>
      </c>
      <c r="W196" s="15">
        <v>2.6073599999999999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21"/>
        <v>577.73530948036068</v>
      </c>
      <c r="AH196" s="17">
        <v>775.52527582737423</v>
      </c>
      <c r="AI196" s="100">
        <f t="shared" si="22"/>
        <v>2.5688987065889761</v>
      </c>
      <c r="AJ196" s="17">
        <f t="shared" si="23"/>
        <v>1.9999999999999998</v>
      </c>
      <c r="AK196" s="15">
        <f t="shared" si="24"/>
        <v>0.25374297488962633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8"/>
        <v>4949.6792000000005</v>
      </c>
      <c r="M197" s="42"/>
      <c r="N197" s="42"/>
      <c r="O197" s="42"/>
      <c r="P197" s="42">
        <f t="shared" si="19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20"/>
        <v>14.642736662485072</v>
      </c>
      <c r="W197" s="42">
        <v>2.4349799999999999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21"/>
        <v>378.62390498870388</v>
      </c>
      <c r="AH197" s="43">
        <v>544.22774210074158</v>
      </c>
      <c r="AI197" s="102">
        <f t="shared" si="22"/>
        <v>2.3428378659976121</v>
      </c>
      <c r="AJ197" s="43">
        <f t="shared" si="23"/>
        <v>2.4999999999999996</v>
      </c>
      <c r="AK197" s="42">
        <f t="shared" si="24"/>
        <v>0.16629268531738728</v>
      </c>
      <c r="AL197" s="5">
        <v>1.5359</v>
      </c>
    </row>
    <row r="198" spans="1:38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 t="shared" si="18"/>
        <v>14073.1</v>
      </c>
      <c r="M198" s="36"/>
      <c r="N198" s="36"/>
      <c r="O198" s="36"/>
      <c r="P198" s="36">
        <f t="shared" si="19"/>
        <v>288390694.1583333</v>
      </c>
      <c r="Q198" s="36"/>
      <c r="R198" s="36"/>
      <c r="S198" s="36">
        <v>1716.1814715265889</v>
      </c>
      <c r="T198" s="36">
        <v>355</v>
      </c>
      <c r="U198" s="36">
        <v>210000</v>
      </c>
      <c r="V198" s="36">
        <f t="shared" si="20"/>
        <v>2.911085210328002</v>
      </c>
      <c r="W198" s="15">
        <v>3.8122500000000001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817</v>
      </c>
      <c r="AF198" s="40" t="s">
        <v>5</v>
      </c>
      <c r="AG198" s="39">
        <f t="shared" si="21"/>
        <v>6542.5128148272388</v>
      </c>
      <c r="AH198" s="39">
        <v>4741.8953999865516</v>
      </c>
      <c r="AI198" s="103">
        <f t="shared" si="22"/>
        <v>32.345391225866685</v>
      </c>
      <c r="AJ198" s="39">
        <f t="shared" si="23"/>
        <v>0.30000000000000004</v>
      </c>
      <c r="AK198" s="36">
        <f t="shared" si="24"/>
        <v>1.3095631781834585</v>
      </c>
      <c r="AL198" s="56">
        <v>26.521000000000001</v>
      </c>
    </row>
    <row r="199" spans="1:38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25">2*C199*F199+(E199-2*F199)*H199</f>
        <v>14073.1</v>
      </c>
      <c r="M199" s="15"/>
      <c r="N199" s="15"/>
      <c r="O199" s="15"/>
      <c r="P199" s="15">
        <f t="shared" ref="P199:P262" si="26">(H199*(E199-2*F199)^3)/12 + (C199*F199^3)/6 + 2*C199*F199*(E199/2 - F199/2)^2</f>
        <v>288390694.1583333</v>
      </c>
      <c r="Q199" s="15"/>
      <c r="R199" s="15"/>
      <c r="S199" s="15">
        <v>1486.1769369073534</v>
      </c>
      <c r="T199" s="15">
        <v>355</v>
      </c>
      <c r="U199" s="15">
        <v>210000</v>
      </c>
      <c r="V199" s="15">
        <f t="shared" ref="V199:V262" si="27">L199*T199/(S199*1000)</f>
        <v>3.3616121848830991</v>
      </c>
      <c r="W199" s="5">
        <v>4.1658999999999997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818</v>
      </c>
      <c r="AF199" s="22" t="s">
        <v>5</v>
      </c>
      <c r="AG199" s="17">
        <f t="shared" ref="AG199:AG262" si="28">W199*S199</f>
        <v>6191.2645014623431</v>
      </c>
      <c r="AH199" s="17">
        <v>4211.5414591305607</v>
      </c>
      <c r="AI199" s="100">
        <f t="shared" ref="AI199:AI262" si="29">(PI()^2*U199*P199/K199^2)/(S199*1000)</f>
        <v>13.446448739532396</v>
      </c>
      <c r="AJ199" s="17">
        <f t="shared" ref="AJ199:AJ262" si="30">(V199/AI199)^0.5</f>
        <v>0.5</v>
      </c>
      <c r="AK199" s="15">
        <f t="shared" ref="AK199:AK262" si="31">W199/V199</f>
        <v>1.2392565741919066</v>
      </c>
      <c r="AL199" s="5">
        <v>26.521000000000001</v>
      </c>
    </row>
    <row r="200" spans="1:38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25"/>
        <v>14073.1</v>
      </c>
      <c r="M200" s="15"/>
      <c r="N200" s="15"/>
      <c r="O200" s="15"/>
      <c r="P200" s="15">
        <f t="shared" si="26"/>
        <v>288390694.1583333</v>
      </c>
      <c r="Q200" s="15"/>
      <c r="R200" s="15"/>
      <c r="S200" s="15">
        <v>1162.4582915054812</v>
      </c>
      <c r="T200" s="15">
        <v>355</v>
      </c>
      <c r="U200" s="15">
        <v>210000</v>
      </c>
      <c r="V200" s="15">
        <f t="shared" si="27"/>
        <v>4.2977460236700828</v>
      </c>
      <c r="W200" s="15">
        <v>4.68675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819</v>
      </c>
      <c r="AF200" s="22" t="s">
        <v>5</v>
      </c>
      <c r="AG200" s="17">
        <f t="shared" si="28"/>
        <v>5448.1513977133136</v>
      </c>
      <c r="AH200" s="17">
        <v>3464.8722437168653</v>
      </c>
      <c r="AI200" s="100">
        <f t="shared" si="29"/>
        <v>7.6404373754134829</v>
      </c>
      <c r="AJ200" s="17">
        <f t="shared" si="30"/>
        <v>0.74999999999999989</v>
      </c>
      <c r="AK200" s="15">
        <f t="shared" si="31"/>
        <v>1.0905134864153105</v>
      </c>
      <c r="AL200" s="5">
        <v>26.521000000000001</v>
      </c>
    </row>
    <row r="201" spans="1:38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25"/>
        <v>14073.1</v>
      </c>
      <c r="M201" s="15"/>
      <c r="N201" s="15"/>
      <c r="O201" s="15"/>
      <c r="P201" s="15">
        <f t="shared" si="26"/>
        <v>288390694.1583333</v>
      </c>
      <c r="Q201" s="15"/>
      <c r="R201" s="15"/>
      <c r="S201" s="15">
        <v>858.69313678745459</v>
      </c>
      <c r="T201" s="15">
        <v>355</v>
      </c>
      <c r="U201" s="15">
        <v>210000</v>
      </c>
      <c r="V201" s="15">
        <f t="shared" si="27"/>
        <v>5.8180859796910287</v>
      </c>
      <c r="W201" s="15">
        <v>4.9910699999999997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820</v>
      </c>
      <c r="AF201" s="22" t="s">
        <v>5</v>
      </c>
      <c r="AG201" s="17">
        <f t="shared" si="28"/>
        <v>4285.7975542257609</v>
      </c>
      <c r="AH201" s="17">
        <v>2697.5086530284602</v>
      </c>
      <c r="AI201" s="100">
        <f t="shared" si="29"/>
        <v>5.8180859796910287</v>
      </c>
      <c r="AJ201" s="17">
        <f t="shared" si="30"/>
        <v>1</v>
      </c>
      <c r="AK201" s="15">
        <f t="shared" si="31"/>
        <v>0.85785428703221944</v>
      </c>
      <c r="AL201" s="5">
        <v>26.521000000000001</v>
      </c>
    </row>
    <row r="202" spans="1:38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25"/>
        <v>14073.1</v>
      </c>
      <c r="M202" s="15"/>
      <c r="N202" s="15"/>
      <c r="O202" s="15"/>
      <c r="P202" s="15">
        <f t="shared" si="26"/>
        <v>288390694.1583333</v>
      </c>
      <c r="Q202" s="15"/>
      <c r="R202" s="15"/>
      <c r="S202" s="15">
        <v>573.47328805127768</v>
      </c>
      <c r="T202" s="15">
        <v>355</v>
      </c>
      <c r="U202" s="15">
        <v>210000</v>
      </c>
      <c r="V202" s="15">
        <f t="shared" si="27"/>
        <v>8.7117405537348809</v>
      </c>
      <c r="W202" s="15">
        <v>4.8109900000000003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821</v>
      </c>
      <c r="AF202" s="22" t="s">
        <v>5</v>
      </c>
      <c r="AG202" s="17">
        <f t="shared" si="28"/>
        <v>2758.9742540818165</v>
      </c>
      <c r="AH202" s="17">
        <v>1880.4399720886074</v>
      </c>
      <c r="AI202" s="100">
        <f t="shared" si="29"/>
        <v>4.9249480206540097</v>
      </c>
      <c r="AJ202" s="17">
        <f t="shared" si="30"/>
        <v>1.3300000000000003</v>
      </c>
      <c r="AK202" s="15">
        <f t="shared" si="31"/>
        <v>0.55224211170263116</v>
      </c>
      <c r="AL202" s="5">
        <v>26.521000000000001</v>
      </c>
    </row>
    <row r="203" spans="1:38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25"/>
        <v>14073.1</v>
      </c>
      <c r="M203" s="15"/>
      <c r="N203" s="15"/>
      <c r="O203" s="15"/>
      <c r="P203" s="15">
        <f t="shared" si="26"/>
        <v>288390694.1583333</v>
      </c>
      <c r="Q203" s="15"/>
      <c r="R203" s="15"/>
      <c r="S203" s="15">
        <v>395.71182061702058</v>
      </c>
      <c r="T203" s="15">
        <v>355</v>
      </c>
      <c r="U203" s="15">
        <v>210000</v>
      </c>
      <c r="V203" s="15">
        <f t="shared" si="27"/>
        <v>12.625224316549293</v>
      </c>
      <c r="W203" s="15">
        <v>4.5771800000000002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822</v>
      </c>
      <c r="AF203" s="22" t="s">
        <v>5</v>
      </c>
      <c r="AG203" s="17">
        <f t="shared" si="28"/>
        <v>1811.2442310918143</v>
      </c>
      <c r="AH203" s="17">
        <v>1325.4313219327296</v>
      </c>
      <c r="AI203" s="100">
        <f t="shared" si="29"/>
        <v>4.5269548268311128</v>
      </c>
      <c r="AJ203" s="17">
        <f t="shared" si="30"/>
        <v>1.6700000000000002</v>
      </c>
      <c r="AK203" s="15">
        <f t="shared" si="31"/>
        <v>0.36254246936430101</v>
      </c>
      <c r="AL203" s="5">
        <v>26.521000000000001</v>
      </c>
    </row>
    <row r="204" spans="1:38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25"/>
        <v>14073.1</v>
      </c>
      <c r="M204" s="15"/>
      <c r="N204" s="15"/>
      <c r="O204" s="15"/>
      <c r="P204" s="15">
        <f t="shared" si="26"/>
        <v>288390694.1583333</v>
      </c>
      <c r="Q204" s="15"/>
      <c r="R204" s="15"/>
      <c r="S204" s="15">
        <v>289.47799541641052</v>
      </c>
      <c r="T204" s="15">
        <v>355</v>
      </c>
      <c r="U204" s="15">
        <v>210000</v>
      </c>
      <c r="V204" s="15">
        <f t="shared" si="27"/>
        <v>17.258481055920633</v>
      </c>
      <c r="W204" s="15">
        <v>4.4211299999999998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823</v>
      </c>
      <c r="AF204" s="22" t="s">
        <v>5</v>
      </c>
      <c r="AG204" s="17">
        <f t="shared" si="28"/>
        <v>1279.819849875355</v>
      </c>
      <c r="AH204" s="17">
        <v>980.12365232843217</v>
      </c>
      <c r="AI204" s="100">
        <f t="shared" si="29"/>
        <v>4.3146202639801583</v>
      </c>
      <c r="AJ204" s="17">
        <f t="shared" si="30"/>
        <v>2</v>
      </c>
      <c r="AK204" s="15">
        <f t="shared" si="31"/>
        <v>0.25617144322694047</v>
      </c>
      <c r="AL204" s="5">
        <v>26.521000000000001</v>
      </c>
    </row>
    <row r="205" spans="1:38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25"/>
        <v>14073.1</v>
      </c>
      <c r="M205" s="15"/>
      <c r="N205" s="15"/>
      <c r="O205" s="15"/>
      <c r="P205" s="15">
        <f t="shared" si="26"/>
        <v>288390694.1583333</v>
      </c>
      <c r="Q205" s="15"/>
      <c r="R205" s="15"/>
      <c r="S205" s="15">
        <v>193.74263831518905</v>
      </c>
      <c r="T205" s="15">
        <v>355</v>
      </c>
      <c r="U205" s="15">
        <v>210000</v>
      </c>
      <c r="V205" s="15">
        <f t="shared" si="27"/>
        <v>25.786530747415384</v>
      </c>
      <c r="W205" s="15">
        <v>4.2709000000000001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824</v>
      </c>
      <c r="AF205" s="22" t="s">
        <v>5</v>
      </c>
      <c r="AG205" s="17">
        <f t="shared" si="28"/>
        <v>827.45543398034101</v>
      </c>
      <c r="AH205" s="17">
        <v>661.79549313716848</v>
      </c>
      <c r="AI205" s="100">
        <f t="shared" si="29"/>
        <v>4.1258449195864602</v>
      </c>
      <c r="AJ205" s="17">
        <f t="shared" si="30"/>
        <v>2.5000000000000004</v>
      </c>
      <c r="AK205" s="15">
        <f t="shared" si="31"/>
        <v>0.16562522666714591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5"/>
        <v>10828</v>
      </c>
      <c r="M206" s="15"/>
      <c r="N206" s="15"/>
      <c r="O206" s="15"/>
      <c r="P206" s="15">
        <f t="shared" si="26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7"/>
        <v>2.7448987988286588</v>
      </c>
      <c r="W206" s="15">
        <v>3.8508499999999999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8"/>
        <v>5392.7075035759781</v>
      </c>
      <c r="AH206" s="17">
        <v>3648.4671743293502</v>
      </c>
      <c r="AI206" s="100">
        <f t="shared" si="29"/>
        <v>30.498875542540652</v>
      </c>
      <c r="AJ206" s="17">
        <f>(V206/AI206)^0.5</f>
        <v>0.30000000000000004</v>
      </c>
      <c r="AK206" s="15">
        <f t="shared" si="31"/>
        <v>1.4029114667700273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5"/>
        <v>10828</v>
      </c>
      <c r="M207" s="15"/>
      <c r="N207" s="15"/>
      <c r="O207" s="15"/>
      <c r="P207" s="15">
        <f t="shared" si="26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7"/>
        <v>2.9849206021309302</v>
      </c>
      <c r="W207" s="15">
        <v>4.19679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8"/>
        <v>5404.5688656117827</v>
      </c>
      <c r="AH207" s="17">
        <v>3240.4069408634709</v>
      </c>
      <c r="AI207" s="100">
        <f t="shared" si="29"/>
        <v>11.939682408523723</v>
      </c>
      <c r="AJ207" s="17">
        <f t="shared" si="30"/>
        <v>0.5</v>
      </c>
      <c r="AK207" s="15">
        <f t="shared" si="31"/>
        <v>1.4059971970456828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5"/>
        <v>10828</v>
      </c>
      <c r="M208" s="15"/>
      <c r="N208" s="15"/>
      <c r="O208" s="15"/>
      <c r="P208" s="15">
        <f t="shared" si="26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7"/>
        <v>3.3843370771900361</v>
      </c>
      <c r="W208" s="15">
        <v>4.7046700000000001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8"/>
        <v>5343.5780146389143</v>
      </c>
      <c r="AH208" s="17">
        <v>2665.911324083977</v>
      </c>
      <c r="AI208" s="100">
        <f t="shared" si="29"/>
        <v>6.0165992483378412</v>
      </c>
      <c r="AJ208" s="17">
        <f t="shared" si="30"/>
        <v>0.75000000000000011</v>
      </c>
      <c r="AK208" s="15">
        <f t="shared" si="31"/>
        <v>1.3901304428890449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5"/>
        <v>10828</v>
      </c>
      <c r="M209" s="15"/>
      <c r="N209" s="15"/>
      <c r="O209" s="15"/>
      <c r="P209" s="15">
        <f t="shared" si="26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7"/>
        <v>3.9707524229134541</v>
      </c>
      <c r="W209" s="15">
        <v>5.0183299999999997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8"/>
        <v>4858.0614870081117</v>
      </c>
      <c r="AH209" s="17">
        <v>2075.4932243068097</v>
      </c>
      <c r="AI209" s="100">
        <f t="shared" si="29"/>
        <v>3.970752422913455</v>
      </c>
      <c r="AJ209" s="17">
        <f t="shared" si="30"/>
        <v>0.99999999999999989</v>
      </c>
      <c r="AK209" s="15">
        <f t="shared" si="31"/>
        <v>1.263823443396128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5"/>
        <v>10828</v>
      </c>
      <c r="M210" s="15"/>
      <c r="N210" s="15"/>
      <c r="O210" s="15"/>
      <c r="P210" s="15">
        <f t="shared" si="26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7"/>
        <v>5.1431965986464254</v>
      </c>
      <c r="W210" s="15">
        <v>4.8496499999999996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8"/>
        <v>3624.5481313909122</v>
      </c>
      <c r="AH210" s="17">
        <v>1446.8314740729086</v>
      </c>
      <c r="AI210" s="100">
        <f t="shared" si="29"/>
        <v>2.9075677532061874</v>
      </c>
      <c r="AJ210" s="17">
        <f t="shared" si="30"/>
        <v>1.33</v>
      </c>
      <c r="AK210" s="15">
        <f t="shared" si="31"/>
        <v>0.94292526194241133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5"/>
        <v>10828</v>
      </c>
      <c r="M211" s="15"/>
      <c r="N211" s="15"/>
      <c r="O211" s="15"/>
      <c r="P211" s="15">
        <f t="shared" si="26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7"/>
        <v>6.8561196557376993</v>
      </c>
      <c r="W211" s="15">
        <v>4.6127099999999999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8"/>
        <v>2586.1538840795215</v>
      </c>
      <c r="AH211" s="17">
        <v>1019.8016324681555</v>
      </c>
      <c r="AI211" s="100">
        <f t="shared" si="29"/>
        <v>2.4583598034127077</v>
      </c>
      <c r="AJ211" s="17">
        <f t="shared" si="30"/>
        <v>1.67</v>
      </c>
      <c r="AK211" s="15">
        <f t="shared" si="31"/>
        <v>0.67278726621110663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5"/>
        <v>10828</v>
      </c>
      <c r="M212" s="15"/>
      <c r="N212" s="15"/>
      <c r="O212" s="15"/>
      <c r="P212" s="15">
        <f t="shared" si="26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7"/>
        <v>8.9682422809441604</v>
      </c>
      <c r="W212" s="15">
        <v>4.4551100000000003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8"/>
        <v>1909.5353355682419</v>
      </c>
      <c r="AH212" s="17">
        <v>754.11806264520703</v>
      </c>
      <c r="AI212" s="100">
        <f t="shared" si="29"/>
        <v>2.2420605702360406</v>
      </c>
      <c r="AJ212" s="17">
        <f t="shared" si="30"/>
        <v>1.9999999999999998</v>
      </c>
      <c r="AK212" s="15">
        <f t="shared" si="31"/>
        <v>0.49676512525383898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5"/>
        <v>10828</v>
      </c>
      <c r="M213" s="15"/>
      <c r="N213" s="15"/>
      <c r="O213" s="15"/>
      <c r="P213" s="15">
        <f t="shared" si="26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7"/>
        <v>12.931222240603375</v>
      </c>
      <c r="W213" s="15">
        <v>4.3040099999999999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8"/>
        <v>1279.4116357734206</v>
      </c>
      <c r="AH213" s="17">
        <v>509.19282885002309</v>
      </c>
      <c r="AI213" s="100">
        <f t="shared" si="29"/>
        <v>2.0689955584965403</v>
      </c>
      <c r="AJ213" s="17">
        <f t="shared" si="30"/>
        <v>2.5</v>
      </c>
      <c r="AK213" s="15">
        <f t="shared" si="31"/>
        <v>0.33283860720339559</v>
      </c>
      <c r="AL213" s="5">
        <v>15.672000000000001</v>
      </c>
    </row>
    <row r="214" spans="1:38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25"/>
        <v>9336</v>
      </c>
      <c r="M214" s="15"/>
      <c r="N214" s="15"/>
      <c r="O214" s="15"/>
      <c r="P214" s="15">
        <f t="shared" si="26"/>
        <v>233468362</v>
      </c>
      <c r="Q214" s="15"/>
      <c r="R214" s="15"/>
      <c r="S214" s="15">
        <v>1208.5055241940518</v>
      </c>
      <c r="T214" s="15">
        <v>355</v>
      </c>
      <c r="U214" s="15">
        <v>210000</v>
      </c>
      <c r="V214" s="15">
        <f t="shared" si="27"/>
        <v>2.7424616053867705</v>
      </c>
      <c r="W214" s="15">
        <v>3.8751799999999998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833</v>
      </c>
      <c r="AF214" s="22" t="s">
        <v>5</v>
      </c>
      <c r="AG214" s="17">
        <f t="shared" si="28"/>
        <v>4683.1764372463049</v>
      </c>
      <c r="AH214" s="17">
        <v>3145.7415533375333</v>
      </c>
      <c r="AI214" s="100">
        <f t="shared" si="29"/>
        <v>30.47179561540856</v>
      </c>
      <c r="AJ214" s="17">
        <f t="shared" si="30"/>
        <v>0.30000000000000004</v>
      </c>
      <c r="AK214" s="15">
        <f t="shared" si="31"/>
        <v>1.4130298095653673</v>
      </c>
      <c r="AL214" s="56">
        <v>10.936</v>
      </c>
    </row>
    <row r="215" spans="1:38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25"/>
        <v>9336</v>
      </c>
      <c r="M215" s="15"/>
      <c r="N215" s="15"/>
      <c r="O215" s="15"/>
      <c r="P215" s="15">
        <f t="shared" si="26"/>
        <v>233468362</v>
      </c>
      <c r="Q215" s="15"/>
      <c r="R215" s="15"/>
      <c r="S215" s="15">
        <v>1112.1889830654911</v>
      </c>
      <c r="T215" s="15">
        <v>355</v>
      </c>
      <c r="U215" s="15">
        <v>210000</v>
      </c>
      <c r="V215" s="15">
        <f t="shared" si="27"/>
        <v>2.9799611850721228</v>
      </c>
      <c r="W215" s="15">
        <v>4.2173499999999997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834</v>
      </c>
      <c r="AF215" s="22" t="s">
        <v>5</v>
      </c>
      <c r="AG215" s="17">
        <f t="shared" si="28"/>
        <v>4690.490207731249</v>
      </c>
      <c r="AH215" s="17">
        <v>2793.9083117751534</v>
      </c>
      <c r="AI215" s="100">
        <f t="shared" si="29"/>
        <v>11.91984474028849</v>
      </c>
      <c r="AJ215" s="17">
        <f t="shared" si="30"/>
        <v>0.5</v>
      </c>
      <c r="AK215" s="15">
        <f t="shared" si="31"/>
        <v>1.4152365544646948</v>
      </c>
      <c r="AL215" s="5">
        <v>10.936</v>
      </c>
    </row>
    <row r="216" spans="1:38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25"/>
        <v>9336</v>
      </c>
      <c r="M216" s="15"/>
      <c r="N216" s="15"/>
      <c r="O216" s="15"/>
      <c r="P216" s="15">
        <f t="shared" si="26"/>
        <v>233468362</v>
      </c>
      <c r="Q216" s="15"/>
      <c r="R216" s="15"/>
      <c r="S216" s="15">
        <v>982.38871509707292</v>
      </c>
      <c r="T216" s="15">
        <v>355</v>
      </c>
      <c r="U216" s="15">
        <v>210000</v>
      </c>
      <c r="V216" s="15">
        <f t="shared" si="27"/>
        <v>3.3736951056817723</v>
      </c>
      <c r="W216" s="15">
        <v>4.7176200000000001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835</v>
      </c>
      <c r="AF216" s="22" t="s">
        <v>5</v>
      </c>
      <c r="AG216" s="17">
        <f t="shared" si="28"/>
        <v>4634.5366501162534</v>
      </c>
      <c r="AH216" s="17">
        <v>2298.5729702297758</v>
      </c>
      <c r="AI216" s="100">
        <f t="shared" si="29"/>
        <v>5.9976801878787063</v>
      </c>
      <c r="AJ216" s="17">
        <f t="shared" si="30"/>
        <v>0.75</v>
      </c>
      <c r="AK216" s="15">
        <f t="shared" si="31"/>
        <v>1.39835398642126</v>
      </c>
      <c r="AL216" s="5">
        <v>10.936</v>
      </c>
    </row>
    <row r="217" spans="1:38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25"/>
        <v>9336</v>
      </c>
      <c r="M217" s="15"/>
      <c r="N217" s="15"/>
      <c r="O217" s="15"/>
      <c r="P217" s="15">
        <f t="shared" si="26"/>
        <v>233468362</v>
      </c>
      <c r="Q217" s="15"/>
      <c r="R217" s="15"/>
      <c r="S217" s="15">
        <v>839.09160956163043</v>
      </c>
      <c r="T217" s="15">
        <v>355</v>
      </c>
      <c r="U217" s="15">
        <v>210000</v>
      </c>
      <c r="V217" s="15">
        <f t="shared" si="27"/>
        <v>3.9498428565284915</v>
      </c>
      <c r="W217" s="15">
        <v>5.0362499999999999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836</v>
      </c>
      <c r="AF217" s="22" t="s">
        <v>5</v>
      </c>
      <c r="AG217" s="17">
        <f t="shared" si="28"/>
        <v>4225.8751186547615</v>
      </c>
      <c r="AH217" s="17">
        <v>1789.5091191474298</v>
      </c>
      <c r="AI217" s="100">
        <f t="shared" si="29"/>
        <v>3.9498428565284911</v>
      </c>
      <c r="AJ217" s="17">
        <f t="shared" si="30"/>
        <v>1</v>
      </c>
      <c r="AK217" s="15">
        <f t="shared" si="31"/>
        <v>1.2750507255436359</v>
      </c>
      <c r="AL217" s="5">
        <v>10.936</v>
      </c>
    </row>
    <row r="218" spans="1:38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25"/>
        <v>9336</v>
      </c>
      <c r="M218" s="15"/>
      <c r="N218" s="15"/>
      <c r="O218" s="15"/>
      <c r="P218" s="15">
        <f t="shared" si="26"/>
        <v>233468362</v>
      </c>
      <c r="Q218" s="15"/>
      <c r="R218" s="15"/>
      <c r="S218" s="15">
        <v>649.74418012703484</v>
      </c>
      <c r="T218" s="15">
        <v>355</v>
      </c>
      <c r="U218" s="15">
        <v>210000</v>
      </c>
      <c r="V218" s="15">
        <f t="shared" si="27"/>
        <v>5.1008998639310743</v>
      </c>
      <c r="W218" s="15">
        <v>4.8754200000000001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837</v>
      </c>
      <c r="AF218" s="22" t="s">
        <v>5</v>
      </c>
      <c r="AG218" s="17">
        <f t="shared" si="28"/>
        <v>3167.775770674948</v>
      </c>
      <c r="AH218" s="17">
        <v>1247.4712451001726</v>
      </c>
      <c r="AI218" s="100">
        <f t="shared" si="29"/>
        <v>2.8836564327723861</v>
      </c>
      <c r="AJ218" s="17">
        <f t="shared" si="30"/>
        <v>1.33</v>
      </c>
      <c r="AK218" s="15">
        <f t="shared" si="31"/>
        <v>0.95579606148996121</v>
      </c>
      <c r="AL218" s="5">
        <v>10.936</v>
      </c>
    </row>
    <row r="219" spans="1:38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25"/>
        <v>9336</v>
      </c>
      <c r="M219" s="15"/>
      <c r="N219" s="15"/>
      <c r="O219" s="15"/>
      <c r="P219" s="15">
        <f t="shared" si="26"/>
        <v>233468362</v>
      </c>
      <c r="Q219" s="15"/>
      <c r="R219" s="15"/>
      <c r="S219" s="15">
        <v>488.47605365671728</v>
      </c>
      <c r="T219" s="15">
        <v>355</v>
      </c>
      <c r="U219" s="15">
        <v>210000</v>
      </c>
      <c r="V219" s="15">
        <f t="shared" si="27"/>
        <v>6.7849385352452751</v>
      </c>
      <c r="W219" s="15">
        <v>4.6361499999999998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838</v>
      </c>
      <c r="AF219" s="22" t="s">
        <v>5</v>
      </c>
      <c r="AG219" s="17">
        <f t="shared" si="28"/>
        <v>2264.6482561605899</v>
      </c>
      <c r="AH219" s="17">
        <v>879.28223501317882</v>
      </c>
      <c r="AI219" s="100">
        <f t="shared" si="29"/>
        <v>2.4328367941644649</v>
      </c>
      <c r="AJ219" s="17">
        <f t="shared" si="30"/>
        <v>1.67</v>
      </c>
      <c r="AK219" s="15">
        <f t="shared" si="31"/>
        <v>0.6833002209109037</v>
      </c>
      <c r="AL219" s="5">
        <v>10.936</v>
      </c>
    </row>
    <row r="220" spans="1:38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25"/>
        <v>9336</v>
      </c>
      <c r="M220" s="15"/>
      <c r="N220" s="15"/>
      <c r="O220" s="15"/>
      <c r="P220" s="15">
        <f t="shared" si="26"/>
        <v>233468362</v>
      </c>
      <c r="Q220" s="15"/>
      <c r="R220" s="15"/>
      <c r="S220" s="15">
        <v>373.90048224066749</v>
      </c>
      <c r="T220" s="15">
        <v>355</v>
      </c>
      <c r="U220" s="15">
        <v>210000</v>
      </c>
      <c r="V220" s="15">
        <f t="shared" si="27"/>
        <v>8.8640698726531895</v>
      </c>
      <c r="W220" s="15">
        <v>4.47729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839</v>
      </c>
      <c r="AF220" s="22" t="s">
        <v>5</v>
      </c>
      <c r="AG220" s="17">
        <f t="shared" si="28"/>
        <v>1674.060890131318</v>
      </c>
      <c r="AH220" s="17">
        <v>650.20744669889643</v>
      </c>
      <c r="AI220" s="100">
        <f t="shared" si="29"/>
        <v>2.2160174681632974</v>
      </c>
      <c r="AJ220" s="17">
        <f t="shared" si="30"/>
        <v>2</v>
      </c>
      <c r="AK220" s="15">
        <f t="shared" si="31"/>
        <v>0.5051054497903974</v>
      </c>
      <c r="AL220" s="5">
        <v>10.936</v>
      </c>
    </row>
    <row r="221" spans="1:38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25"/>
        <v>9336</v>
      </c>
      <c r="M221" s="15"/>
      <c r="N221" s="15"/>
      <c r="O221" s="15"/>
      <c r="P221" s="15">
        <f t="shared" si="26"/>
        <v>233468362</v>
      </c>
      <c r="Q221" s="15"/>
      <c r="R221" s="15"/>
      <c r="S221" s="15">
        <v>259.57565126460429</v>
      </c>
      <c r="T221" s="15">
        <v>355</v>
      </c>
      <c r="U221" s="15">
        <v>210000</v>
      </c>
      <c r="V221" s="15">
        <f t="shared" si="27"/>
        <v>12.768069670068993</v>
      </c>
      <c r="W221" s="15">
        <v>4.3231799999999998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840</v>
      </c>
      <c r="AF221" s="22" t="s">
        <v>5</v>
      </c>
      <c r="AG221" s="17">
        <f t="shared" si="28"/>
        <v>1122.192264034112</v>
      </c>
      <c r="AH221" s="17">
        <v>439.03068435018616</v>
      </c>
      <c r="AI221" s="100">
        <f t="shared" si="29"/>
        <v>2.0428911472110389</v>
      </c>
      <c r="AJ221" s="17">
        <f t="shared" si="30"/>
        <v>2.5</v>
      </c>
      <c r="AK221" s="15">
        <f t="shared" si="31"/>
        <v>0.33859307723973592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5"/>
        <v>7955.9</v>
      </c>
      <c r="M222" s="15"/>
      <c r="N222" s="15"/>
      <c r="O222" s="15"/>
      <c r="P222" s="15">
        <f t="shared" si="26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7"/>
        <v>2.7456166755651035</v>
      </c>
      <c r="W222" s="15">
        <v>3.8949199999999999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8"/>
        <v>4006.6029529325515</v>
      </c>
      <c r="AH222" s="17">
        <v>2680.7203539201037</v>
      </c>
      <c r="AI222" s="100">
        <f t="shared" si="29"/>
        <v>30.506851950723373</v>
      </c>
      <c r="AJ222" s="17">
        <f t="shared" si="30"/>
        <v>0.3</v>
      </c>
      <c r="AK222" s="15">
        <f t="shared" si="31"/>
        <v>1.4185956964288711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5"/>
        <v>7955.9</v>
      </c>
      <c r="M223" s="15"/>
      <c r="N223" s="15"/>
      <c r="O223" s="15"/>
      <c r="P223" s="15">
        <f t="shared" si="26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7"/>
        <v>2.9863842289002154</v>
      </c>
      <c r="W223" s="15">
        <v>4.1906600000000003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8"/>
        <v>3963.2768643198842</v>
      </c>
      <c r="AH223" s="17">
        <v>2380.8970798684604</v>
      </c>
      <c r="AI223" s="100">
        <f t="shared" si="29"/>
        <v>11.945536915600862</v>
      </c>
      <c r="AJ223" s="17">
        <f t="shared" si="30"/>
        <v>0.5</v>
      </c>
      <c r="AK223" s="15">
        <f t="shared" si="31"/>
        <v>1.403255468417498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5"/>
        <v>7955.9</v>
      </c>
      <c r="M224" s="15"/>
      <c r="N224" s="15"/>
      <c r="O224" s="15"/>
      <c r="P224" s="15">
        <f t="shared" si="26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7"/>
        <v>3.3874861245934356</v>
      </c>
      <c r="W224" s="15">
        <v>4.6784800000000004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8"/>
        <v>3900.7212931229042</v>
      </c>
      <c r="AH224" s="17">
        <v>1958.7849929146394</v>
      </c>
      <c r="AI224" s="100">
        <f t="shared" si="29"/>
        <v>6.0221975548327746</v>
      </c>
      <c r="AJ224" s="17">
        <f t="shared" si="30"/>
        <v>0.75</v>
      </c>
      <c r="AK224" s="15">
        <f t="shared" si="31"/>
        <v>1.3811067641085937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5"/>
        <v>7955.9</v>
      </c>
      <c r="M225" s="15"/>
      <c r="N225" s="15"/>
      <c r="O225" s="15"/>
      <c r="P225" s="15">
        <f t="shared" si="26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7"/>
        <v>3.9769488535168853</v>
      </c>
      <c r="W225" s="15">
        <v>4.9633900000000004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8"/>
        <v>3524.8940240854122</v>
      </c>
      <c r="AH225" s="17">
        <v>1524.9738218750047</v>
      </c>
      <c r="AI225" s="100">
        <f t="shared" si="29"/>
        <v>3.9769488535168853</v>
      </c>
      <c r="AJ225" s="17">
        <f t="shared" si="30"/>
        <v>1</v>
      </c>
      <c r="AK225" s="15">
        <f t="shared" si="31"/>
        <v>1.2480396864070273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5"/>
        <v>7955.9</v>
      </c>
      <c r="M226" s="15"/>
      <c r="N226" s="15"/>
      <c r="O226" s="15"/>
      <c r="P226" s="15">
        <f t="shared" si="26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7"/>
        <v>5.1557258301999545</v>
      </c>
      <c r="W226" s="15">
        <v>4.7788000000000004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8"/>
        <v>2617.8617601309784</v>
      </c>
      <c r="AH226" s="17">
        <v>1063.0630333003928</v>
      </c>
      <c r="AI226" s="100">
        <f t="shared" si="29"/>
        <v>2.9146508170048917</v>
      </c>
      <c r="AJ226" s="17">
        <f t="shared" si="30"/>
        <v>1.3300000000000003</v>
      </c>
      <c r="AK226" s="15">
        <f t="shared" si="31"/>
        <v>0.92689180095805523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5"/>
        <v>7955.9</v>
      </c>
      <c r="M227" s="15"/>
      <c r="N227" s="15"/>
      <c r="O227" s="15"/>
      <c r="P227" s="15">
        <f t="shared" si="26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7"/>
        <v>6.8771831471333398</v>
      </c>
      <c r="W227" s="15">
        <v>4.5279100000000003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8"/>
        <v>1859.5371726177834</v>
      </c>
      <c r="AH227" s="17">
        <v>749.30179236732522</v>
      </c>
      <c r="AI227" s="100">
        <f t="shared" si="29"/>
        <v>2.465912419639765</v>
      </c>
      <c r="AJ227" s="17">
        <f t="shared" si="30"/>
        <v>1.67</v>
      </c>
      <c r="AK227" s="15">
        <f t="shared" si="31"/>
        <v>0.65839601812660731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5"/>
        <v>7955.9</v>
      </c>
      <c r="M228" s="15"/>
      <c r="N228" s="15"/>
      <c r="O228" s="15"/>
      <c r="P228" s="15">
        <f t="shared" si="26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7"/>
        <v>8.9990499789363909</v>
      </c>
      <c r="W228" s="15">
        <v>4.3638000000000003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8"/>
        <v>1369.575072696362</v>
      </c>
      <c r="AH228" s="17">
        <v>554.0901269485596</v>
      </c>
      <c r="AI228" s="100">
        <f t="shared" si="29"/>
        <v>2.2497624947340977</v>
      </c>
      <c r="AJ228" s="17">
        <f t="shared" si="30"/>
        <v>2</v>
      </c>
      <c r="AK228" s="15">
        <f t="shared" si="31"/>
        <v>0.48491785357500183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5"/>
        <v>7955.9</v>
      </c>
      <c r="M229" s="15"/>
      <c r="N229" s="15"/>
      <c r="O229" s="15"/>
      <c r="P229" s="15">
        <f t="shared" si="26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7"/>
        <v>12.97945480988513</v>
      </c>
      <c r="W229" s="15">
        <v>4.2044600000000001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8"/>
        <v>914.89539818160472</v>
      </c>
      <c r="AH229" s="17">
        <v>374.13070068783702</v>
      </c>
      <c r="AI229" s="100">
        <f t="shared" si="29"/>
        <v>2.0767127695816208</v>
      </c>
      <c r="AJ229" s="17">
        <f t="shared" si="30"/>
        <v>2.5</v>
      </c>
      <c r="AK229" s="15">
        <f t="shared" si="31"/>
        <v>0.32393194179449591</v>
      </c>
      <c r="AL229" s="5">
        <v>6.1308999999999996</v>
      </c>
    </row>
    <row r="230" spans="1:38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25"/>
        <v>7023.4</v>
      </c>
      <c r="M230" s="15"/>
      <c r="N230" s="15"/>
      <c r="O230" s="15"/>
      <c r="P230" s="15">
        <f t="shared" si="26"/>
        <v>206655884.88333333</v>
      </c>
      <c r="Q230" s="15"/>
      <c r="R230" s="15"/>
      <c r="S230" s="15">
        <v>906.42027233744943</v>
      </c>
      <c r="T230" s="15">
        <v>355</v>
      </c>
      <c r="U230" s="15">
        <v>210000</v>
      </c>
      <c r="V230" s="15">
        <f t="shared" si="27"/>
        <v>2.750718486878426</v>
      </c>
      <c r="W230" s="15">
        <v>3.9318900000000001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849</v>
      </c>
      <c r="AF230" s="24" t="s">
        <v>218</v>
      </c>
      <c r="AG230" s="17">
        <f t="shared" si="28"/>
        <v>3563.9448046008943</v>
      </c>
      <c r="AH230" s="17">
        <v>2366.5168408002178</v>
      </c>
      <c r="AI230" s="100">
        <f t="shared" si="29"/>
        <v>30.563538743093631</v>
      </c>
      <c r="AJ230" s="17">
        <f t="shared" si="30"/>
        <v>0.3</v>
      </c>
      <c r="AK230" s="15">
        <f t="shared" si="31"/>
        <v>1.4294047241679002</v>
      </c>
      <c r="AL230" s="56">
        <v>3.2757000000000001</v>
      </c>
    </row>
    <row r="231" spans="1:38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25"/>
        <v>7023.4</v>
      </c>
      <c r="M231" s="15"/>
      <c r="N231" s="15"/>
      <c r="O231" s="15"/>
      <c r="P231" s="15">
        <f t="shared" si="26"/>
        <v>206655884.88333333</v>
      </c>
      <c r="Q231" s="15"/>
      <c r="R231" s="15"/>
      <c r="S231" s="15">
        <v>831.98333314564513</v>
      </c>
      <c r="T231" s="15">
        <v>355</v>
      </c>
      <c r="U231" s="15">
        <v>210000</v>
      </c>
      <c r="V231" s="15">
        <f t="shared" si="27"/>
        <v>2.9968232543470044</v>
      </c>
      <c r="W231" s="15">
        <v>4.2378600000000004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850</v>
      </c>
      <c r="AF231" s="22" t="s">
        <v>5</v>
      </c>
      <c r="AG231" s="17">
        <f t="shared" si="28"/>
        <v>3525.828888204604</v>
      </c>
      <c r="AH231" s="17">
        <v>2101.8354366882622</v>
      </c>
      <c r="AI231" s="100">
        <f t="shared" si="29"/>
        <v>11.987293017388019</v>
      </c>
      <c r="AJ231" s="17">
        <f t="shared" si="30"/>
        <v>0.5</v>
      </c>
      <c r="AK231" s="15">
        <f t="shared" si="31"/>
        <v>1.414117430466687</v>
      </c>
      <c r="AL231" s="5">
        <v>3.2757000000000001</v>
      </c>
    </row>
    <row r="232" spans="1:38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25"/>
        <v>7023.4</v>
      </c>
      <c r="M232" s="15"/>
      <c r="N232" s="15"/>
      <c r="O232" s="15"/>
      <c r="P232" s="15">
        <f t="shared" si="26"/>
        <v>206655884.88333333</v>
      </c>
      <c r="Q232" s="15"/>
      <c r="R232" s="15"/>
      <c r="S232" s="15">
        <v>731.16299472543812</v>
      </c>
      <c r="T232" s="15">
        <v>355</v>
      </c>
      <c r="U232" s="15">
        <v>210000</v>
      </c>
      <c r="V232" s="15">
        <f t="shared" si="27"/>
        <v>3.4100563321537787</v>
      </c>
      <c r="W232" s="15">
        <v>4.7391199999999998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851</v>
      </c>
      <c r="AF232" s="22" t="s">
        <v>5</v>
      </c>
      <c r="AG232" s="17">
        <f t="shared" si="28"/>
        <v>3465.0691715632183</v>
      </c>
      <c r="AH232" s="17">
        <v>1729.1985217557631</v>
      </c>
      <c r="AI232" s="100">
        <f t="shared" si="29"/>
        <v>6.0623223682733851</v>
      </c>
      <c r="AJ232" s="17">
        <f t="shared" si="30"/>
        <v>0.74999999999999989</v>
      </c>
      <c r="AK232" s="15">
        <f t="shared" si="31"/>
        <v>1.3897483027814939</v>
      </c>
      <c r="AL232" s="5">
        <v>3.2757000000000001</v>
      </c>
    </row>
    <row r="233" spans="1:38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25"/>
        <v>7023.4</v>
      </c>
      <c r="M233" s="15"/>
      <c r="N233" s="15"/>
      <c r="O233" s="15"/>
      <c r="P233" s="15">
        <f t="shared" si="26"/>
        <v>206655884.88333333</v>
      </c>
      <c r="Q233" s="15"/>
      <c r="R233" s="15"/>
      <c r="S233" s="15">
        <v>619.99777901243829</v>
      </c>
      <c r="T233" s="15">
        <v>355</v>
      </c>
      <c r="U233" s="15">
        <v>210000</v>
      </c>
      <c r="V233" s="15">
        <f t="shared" si="27"/>
        <v>4.0214773091146503</v>
      </c>
      <c r="W233" s="15">
        <v>5.0460399999999996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852</v>
      </c>
      <c r="AF233" s="22" t="s">
        <v>5</v>
      </c>
      <c r="AG233" s="17">
        <f t="shared" si="28"/>
        <v>3128.5335928079239</v>
      </c>
      <c r="AH233" s="17">
        <v>1346.2337561503921</v>
      </c>
      <c r="AI233" s="100">
        <f t="shared" si="29"/>
        <v>4.0214773091146512</v>
      </c>
      <c r="AJ233" s="17">
        <f t="shared" si="30"/>
        <v>0.99999999999999989</v>
      </c>
      <c r="AK233" s="15">
        <f t="shared" si="31"/>
        <v>1.2547727146347898</v>
      </c>
      <c r="AL233" s="5">
        <v>3.2757000000000001</v>
      </c>
    </row>
    <row r="234" spans="1:38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25"/>
        <v>7023.4</v>
      </c>
      <c r="M234" s="15"/>
      <c r="N234" s="15"/>
      <c r="O234" s="15"/>
      <c r="P234" s="15">
        <f t="shared" si="26"/>
        <v>206655884.88333333</v>
      </c>
      <c r="Q234" s="15"/>
      <c r="R234" s="15"/>
      <c r="S234" s="15">
        <v>475.30619519555006</v>
      </c>
      <c r="T234" s="15">
        <v>355</v>
      </c>
      <c r="U234" s="15">
        <v>210000</v>
      </c>
      <c r="V234" s="15">
        <f t="shared" si="27"/>
        <v>5.2456858867034244</v>
      </c>
      <c r="W234" s="15">
        <v>4.8779199999999996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853</v>
      </c>
      <c r="AF234" s="22" t="s">
        <v>5</v>
      </c>
      <c r="AG234" s="17">
        <f t="shared" si="28"/>
        <v>2318.5055956682772</v>
      </c>
      <c r="AH234" s="17">
        <v>938.46289019243318</v>
      </c>
      <c r="AI234" s="100">
        <f t="shared" si="29"/>
        <v>2.9655073134170533</v>
      </c>
      <c r="AJ234" s="17">
        <f t="shared" si="30"/>
        <v>1.3299999999999998</v>
      </c>
      <c r="AK234" s="15">
        <f t="shared" si="31"/>
        <v>0.92989174444554057</v>
      </c>
      <c r="AL234" s="5">
        <v>3.2757000000000001</v>
      </c>
    </row>
    <row r="235" spans="1:38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25"/>
        <v>7023.4</v>
      </c>
      <c r="M235" s="15"/>
      <c r="N235" s="15"/>
      <c r="O235" s="15"/>
      <c r="P235" s="15">
        <f t="shared" si="26"/>
        <v>206655884.88333333</v>
      </c>
      <c r="Q235" s="15"/>
      <c r="R235" s="15"/>
      <c r="S235" s="15">
        <v>354.76099016254932</v>
      </c>
      <c r="T235" s="15">
        <v>355</v>
      </c>
      <c r="U235" s="15">
        <v>210000</v>
      </c>
      <c r="V235" s="15">
        <f t="shared" si="27"/>
        <v>7.028131810257892</v>
      </c>
      <c r="W235" s="15">
        <v>4.6310000000000002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854</v>
      </c>
      <c r="AF235" s="22" t="s">
        <v>5</v>
      </c>
      <c r="AG235" s="17">
        <f t="shared" si="28"/>
        <v>1642.898145442766</v>
      </c>
      <c r="AH235" s="17">
        <v>661.47716895796475</v>
      </c>
      <c r="AI235" s="100">
        <f t="shared" si="29"/>
        <v>2.5200372226533383</v>
      </c>
      <c r="AJ235" s="17">
        <f t="shared" si="30"/>
        <v>1.6699999999999995</v>
      </c>
      <c r="AK235" s="15">
        <f t="shared" si="31"/>
        <v>0.6589233277100518</v>
      </c>
      <c r="AL235" s="5">
        <v>3.2757000000000001</v>
      </c>
    </row>
    <row r="236" spans="1:38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25"/>
        <v>7023.4</v>
      </c>
      <c r="M236" s="15"/>
      <c r="N236" s="15"/>
      <c r="O236" s="15"/>
      <c r="P236" s="15">
        <f t="shared" si="26"/>
        <v>206655884.88333333</v>
      </c>
      <c r="Q236" s="15"/>
      <c r="R236" s="15"/>
      <c r="S236" s="15">
        <v>270.43566572926699</v>
      </c>
      <c r="T236" s="15">
        <v>355</v>
      </c>
      <c r="U236" s="15">
        <v>210000</v>
      </c>
      <c r="V236" s="15">
        <f t="shared" si="27"/>
        <v>9.2195938478619475</v>
      </c>
      <c r="W236" s="15">
        <v>4.46706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855</v>
      </c>
      <c r="AF236" s="22" t="s">
        <v>5</v>
      </c>
      <c r="AG236" s="17">
        <f t="shared" si="28"/>
        <v>1208.0523449525795</v>
      </c>
      <c r="AH236" s="17">
        <v>489.14599198211556</v>
      </c>
      <c r="AI236" s="100">
        <f t="shared" si="29"/>
        <v>2.3048984619654873</v>
      </c>
      <c r="AJ236" s="17">
        <f t="shared" si="30"/>
        <v>1.9999999999999998</v>
      </c>
      <c r="AK236" s="15">
        <f t="shared" si="31"/>
        <v>0.48451808981107397</v>
      </c>
      <c r="AL236" s="5">
        <v>3.2757000000000001</v>
      </c>
    </row>
    <row r="237" spans="1:38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25"/>
        <v>7023.4</v>
      </c>
      <c r="M237" s="15"/>
      <c r="N237" s="15"/>
      <c r="O237" s="15"/>
      <c r="P237" s="15">
        <f t="shared" si="26"/>
        <v>206655884.88333333</v>
      </c>
      <c r="Q237" s="15"/>
      <c r="R237" s="15"/>
      <c r="S237" s="15">
        <v>187.12180366949787</v>
      </c>
      <c r="T237" s="15">
        <v>355</v>
      </c>
      <c r="U237" s="15">
        <v>210000</v>
      </c>
      <c r="V237" s="15">
        <f t="shared" si="27"/>
        <v>13.324513504603559</v>
      </c>
      <c r="W237" s="15">
        <v>4.2968000000000002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856</v>
      </c>
      <c r="AF237" s="22" t="s">
        <v>5</v>
      </c>
      <c r="AG237" s="17">
        <f t="shared" si="28"/>
        <v>804.02496600709844</v>
      </c>
      <c r="AH237" s="17">
        <v>330.2793603754389</v>
      </c>
      <c r="AI237" s="100">
        <f t="shared" si="29"/>
        <v>2.1319221607365697</v>
      </c>
      <c r="AJ237" s="17">
        <f t="shared" si="30"/>
        <v>2.5</v>
      </c>
      <c r="AK237" s="15">
        <f t="shared" si="31"/>
        <v>0.32247331195360157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5"/>
        <v>6456.4400000000005</v>
      </c>
      <c r="M238" s="15"/>
      <c r="N238" s="15"/>
      <c r="O238" s="15"/>
      <c r="P238" s="15">
        <f t="shared" si="26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7"/>
        <v>2.753689402273837</v>
      </c>
      <c r="W238" s="15">
        <v>3.9555099999999999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8"/>
        <v>3292.3728079047992</v>
      </c>
      <c r="AH238" s="17">
        <v>2175.4811048233278</v>
      </c>
      <c r="AI238" s="100">
        <f t="shared" si="29"/>
        <v>30.596548914153747</v>
      </c>
      <c r="AJ238" s="17">
        <f t="shared" si="30"/>
        <v>0.3</v>
      </c>
      <c r="AK238" s="15">
        <f t="shared" si="31"/>
        <v>1.4364401434431091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5"/>
        <v>6456.4400000000005</v>
      </c>
      <c r="M239" s="15"/>
      <c r="N239" s="15"/>
      <c r="O239" s="15"/>
      <c r="P239" s="15">
        <f t="shared" si="26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7"/>
        <v>3.0029325145181676</v>
      </c>
      <c r="W239" s="15">
        <v>4.2699999999999996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8"/>
        <v>3259.145693978528</v>
      </c>
      <c r="AH239" s="17">
        <v>1932.165957634702</v>
      </c>
      <c r="AI239" s="100">
        <f t="shared" si="29"/>
        <v>12.01173005807267</v>
      </c>
      <c r="AJ239" s="17">
        <f t="shared" si="30"/>
        <v>0.5</v>
      </c>
      <c r="AK239" s="15">
        <f t="shared" si="31"/>
        <v>1.4219433768011727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5"/>
        <v>6456.4400000000005</v>
      </c>
      <c r="M240" s="15"/>
      <c r="N240" s="15"/>
      <c r="O240" s="15"/>
      <c r="P240" s="15">
        <f t="shared" si="26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7"/>
        <v>3.4233543894104845</v>
      </c>
      <c r="W240" s="15">
        <v>4.7741400000000001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8"/>
        <v>3196.4267963949665</v>
      </c>
      <c r="AH240" s="17">
        <v>1589.6099472911669</v>
      </c>
      <c r="AI240" s="100">
        <f t="shared" si="29"/>
        <v>6.0859633589519735</v>
      </c>
      <c r="AJ240" s="17">
        <f t="shared" si="30"/>
        <v>0.74999999999999989</v>
      </c>
      <c r="AK240" s="15">
        <f t="shared" si="31"/>
        <v>1.3945795430259635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5"/>
        <v>6456.4400000000005</v>
      </c>
      <c r="M241" s="15"/>
      <c r="N241" s="15"/>
      <c r="O241" s="15"/>
      <c r="P241" s="15">
        <f t="shared" si="26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7"/>
        <v>4.0478042801811949</v>
      </c>
      <c r="W241" s="15">
        <v>5.0860700000000003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8"/>
        <v>2879.9457060735576</v>
      </c>
      <c r="AH241" s="17">
        <v>1237.5597961898284</v>
      </c>
      <c r="AI241" s="100">
        <f t="shared" si="29"/>
        <v>4.0478042801811949</v>
      </c>
      <c r="AJ241" s="17">
        <f t="shared" si="30"/>
        <v>1</v>
      </c>
      <c r="AK241" s="15">
        <f t="shared" si="31"/>
        <v>1.2565009689085878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5"/>
        <v>6456.4400000000005</v>
      </c>
      <c r="M242" s="15"/>
      <c r="N242" s="15"/>
      <c r="O242" s="15"/>
      <c r="P242" s="15">
        <f t="shared" si="26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7"/>
        <v>5.2988044173753579</v>
      </c>
      <c r="W242" s="15">
        <v>4.92849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8"/>
        <v>2131.8540186718865</v>
      </c>
      <c r="AH242" s="17">
        <v>862.70600318279378</v>
      </c>
      <c r="AI242" s="100">
        <f t="shared" si="29"/>
        <v>2.9955364448953348</v>
      </c>
      <c r="AJ242" s="17">
        <f t="shared" si="30"/>
        <v>1.33</v>
      </c>
      <c r="AK242" s="15">
        <f t="shared" si="31"/>
        <v>0.93011359012213091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5"/>
        <v>6456.4400000000005</v>
      </c>
      <c r="M243" s="15"/>
      <c r="N243" s="15"/>
      <c r="O243" s="15"/>
      <c r="P243" s="15">
        <f t="shared" si="26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7"/>
        <v>7.1170313264346836</v>
      </c>
      <c r="W243" s="15">
        <v>4.6836099999999998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8"/>
        <v>1508.3541401327172</v>
      </c>
      <c r="AH243" s="17">
        <v>608.07979792507365</v>
      </c>
      <c r="AI243" s="100">
        <f t="shared" si="29"/>
        <v>2.5519134161980297</v>
      </c>
      <c r="AJ243" s="17">
        <f t="shared" si="30"/>
        <v>1.67</v>
      </c>
      <c r="AK243" s="15">
        <f t="shared" si="31"/>
        <v>0.65808478074330468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5"/>
        <v>6456.4400000000005</v>
      </c>
      <c r="M244" s="15"/>
      <c r="N244" s="15"/>
      <c r="O244" s="15"/>
      <c r="P244" s="15">
        <f t="shared" si="26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7"/>
        <v>9.3492960162750052</v>
      </c>
      <c r="W244" s="15">
        <v>4.5196199999999997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8"/>
        <v>1108.0120505555817</v>
      </c>
      <c r="AH244" s="17">
        <v>449.65995792251766</v>
      </c>
      <c r="AI244" s="100">
        <f t="shared" si="29"/>
        <v>2.3373240040687513</v>
      </c>
      <c r="AJ244" s="17">
        <f t="shared" si="30"/>
        <v>2</v>
      </c>
      <c r="AK244" s="15">
        <f t="shared" si="31"/>
        <v>0.4834182158883798</v>
      </c>
      <c r="AL244" s="5">
        <v>1.7927999999999999</v>
      </c>
    </row>
    <row r="245" spans="1:38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25"/>
        <v>6456.4400000000005</v>
      </c>
      <c r="M245" s="25"/>
      <c r="N245" s="25"/>
      <c r="O245" s="25"/>
      <c r="P245" s="25">
        <f t="shared" si="26"/>
        <v>200082503.39666668</v>
      </c>
      <c r="Q245" s="25"/>
      <c r="R245" s="25"/>
      <c r="S245" s="25">
        <v>169.43821345192075</v>
      </c>
      <c r="T245" s="25">
        <v>355</v>
      </c>
      <c r="U245" s="25">
        <v>210000</v>
      </c>
      <c r="V245" s="25">
        <f t="shared" si="27"/>
        <v>13.527268455591814</v>
      </c>
      <c r="W245" s="25">
        <v>4.3466699999999996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864</v>
      </c>
      <c r="AF245" s="48" t="s">
        <v>5</v>
      </c>
      <c r="AG245" s="47">
        <f t="shared" si="28"/>
        <v>736.49199926506026</v>
      </c>
      <c r="AH245" s="47">
        <v>303.61774546550089</v>
      </c>
      <c r="AI245" s="100">
        <f t="shared" si="29"/>
        <v>2.1643629528946904</v>
      </c>
      <c r="AJ245" s="47">
        <f t="shared" si="30"/>
        <v>2.5</v>
      </c>
      <c r="AK245" s="25">
        <f t="shared" si="31"/>
        <v>0.32132651275972879</v>
      </c>
      <c r="AL245" s="5">
        <v>1.7927999999999999</v>
      </c>
    </row>
    <row r="246" spans="1:38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25"/>
        <v>18131.148799999999</v>
      </c>
      <c r="M246" s="15"/>
      <c r="N246" s="15"/>
      <c r="O246" s="15"/>
      <c r="P246" s="15">
        <f t="shared" si="26"/>
        <v>296599421.04640174</v>
      </c>
      <c r="Q246" s="15"/>
      <c r="R246" s="15"/>
      <c r="S246" s="15">
        <v>2211.050985785047</v>
      </c>
      <c r="T246" s="15">
        <v>355</v>
      </c>
      <c r="U246" s="15">
        <v>210000</v>
      </c>
      <c r="V246" s="15">
        <f t="shared" si="27"/>
        <v>2.911085210328002</v>
      </c>
      <c r="W246" s="15">
        <v>3.80348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865</v>
      </c>
      <c r="AF246" s="22" t="s">
        <v>5</v>
      </c>
      <c r="AG246" s="17">
        <f t="shared" si="28"/>
        <v>8409.6882034137107</v>
      </c>
      <c r="AH246" s="17">
        <v>6109.2446647285724</v>
      </c>
      <c r="AI246" s="100">
        <f t="shared" si="29"/>
        <v>32.345391225866685</v>
      </c>
      <c r="AJ246" s="17">
        <f t="shared" si="30"/>
        <v>0.30000000000000004</v>
      </c>
      <c r="AK246" s="15">
        <f t="shared" si="31"/>
        <v>1.3065505559596617</v>
      </c>
      <c r="AL246" s="56">
        <v>29.24</v>
      </c>
    </row>
    <row r="247" spans="1:38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25"/>
        <v>18131.148799999999</v>
      </c>
      <c r="M247" s="15"/>
      <c r="N247" s="15"/>
      <c r="O247" s="15"/>
      <c r="P247" s="15">
        <f t="shared" si="26"/>
        <v>296599421.04640174</v>
      </c>
      <c r="Q247" s="15"/>
      <c r="R247" s="15"/>
      <c r="S247" s="15">
        <v>1914.7234927766756</v>
      </c>
      <c r="T247" s="15">
        <v>355</v>
      </c>
      <c r="U247" s="15">
        <v>210000</v>
      </c>
      <c r="V247" s="15">
        <f t="shared" si="27"/>
        <v>3.3616121848830995</v>
      </c>
      <c r="W247" s="15">
        <v>4.1188500000000001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866</v>
      </c>
      <c r="AF247" s="22" t="s">
        <v>5</v>
      </c>
      <c r="AG247" s="17">
        <f t="shared" si="28"/>
        <v>7886.4588582232109</v>
      </c>
      <c r="AH247" s="17">
        <v>5425.9605113916132</v>
      </c>
      <c r="AI247" s="100">
        <f t="shared" si="29"/>
        <v>13.4464487395324</v>
      </c>
      <c r="AJ247" s="17">
        <f t="shared" si="30"/>
        <v>0.5</v>
      </c>
      <c r="AK247" s="15">
        <f t="shared" si="31"/>
        <v>1.2252603136441909</v>
      </c>
      <c r="AL247" s="5">
        <v>29.24</v>
      </c>
    </row>
    <row r="248" spans="1:38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25"/>
        <v>18131.148799999999</v>
      </c>
      <c r="M248" s="15"/>
      <c r="N248" s="15"/>
      <c r="O248" s="15"/>
      <c r="P248" s="15">
        <f t="shared" si="26"/>
        <v>296599421.04640174</v>
      </c>
      <c r="Q248" s="15"/>
      <c r="R248" s="15"/>
      <c r="S248" s="15">
        <v>1497.6589562413155</v>
      </c>
      <c r="T248" s="15">
        <v>355</v>
      </c>
      <c r="U248" s="15">
        <v>210000</v>
      </c>
      <c r="V248" s="15">
        <f t="shared" si="27"/>
        <v>4.2977460236700828</v>
      </c>
      <c r="W248" s="15">
        <v>4.5038400000000003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867</v>
      </c>
      <c r="AF248" s="22" t="s">
        <v>5</v>
      </c>
      <c r="AG248" s="17">
        <f t="shared" si="28"/>
        <v>6745.2163134778866</v>
      </c>
      <c r="AH248" s="17">
        <v>4463.9854917410057</v>
      </c>
      <c r="AI248" s="100">
        <f t="shared" si="29"/>
        <v>7.6404373754134793</v>
      </c>
      <c r="AJ248" s="17">
        <f t="shared" si="30"/>
        <v>0.75000000000000011</v>
      </c>
      <c r="AK248" s="15">
        <f t="shared" si="31"/>
        <v>1.0479539682416883</v>
      </c>
      <c r="AL248" s="5">
        <v>29.24</v>
      </c>
    </row>
    <row r="249" spans="1:38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25"/>
        <v>18131.148799999999</v>
      </c>
      <c r="M249" s="15"/>
      <c r="N249" s="15"/>
      <c r="O249" s="15"/>
      <c r="P249" s="15">
        <f t="shared" si="26"/>
        <v>296599421.04640174</v>
      </c>
      <c r="Q249" s="15"/>
      <c r="R249" s="15"/>
      <c r="S249" s="15">
        <v>1106.3015992661242</v>
      </c>
      <c r="T249" s="15">
        <v>355</v>
      </c>
      <c r="U249" s="15">
        <v>210000</v>
      </c>
      <c r="V249" s="15">
        <f t="shared" si="27"/>
        <v>5.8180859796910287</v>
      </c>
      <c r="W249" s="15">
        <v>4.7334699999999996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868</v>
      </c>
      <c r="AF249" s="22" t="s">
        <v>5</v>
      </c>
      <c r="AG249" s="17">
        <f t="shared" si="28"/>
        <v>5236.6454310782201</v>
      </c>
      <c r="AH249" s="17">
        <v>3475.34877016056</v>
      </c>
      <c r="AI249" s="100">
        <f t="shared" si="29"/>
        <v>5.8180859796910296</v>
      </c>
      <c r="AJ249" s="17">
        <f t="shared" si="30"/>
        <v>1</v>
      </c>
      <c r="AK249" s="15">
        <f t="shared" si="31"/>
        <v>0.81357855771175314</v>
      </c>
      <c r="AL249" s="5">
        <v>29.24</v>
      </c>
    </row>
    <row r="250" spans="1:38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25"/>
        <v>18131.148799999999</v>
      </c>
      <c r="M250" s="15"/>
      <c r="N250" s="15"/>
      <c r="O250" s="15"/>
      <c r="P250" s="15">
        <f t="shared" si="26"/>
        <v>296599421.04640174</v>
      </c>
      <c r="Q250" s="15"/>
      <c r="R250" s="15"/>
      <c r="S250" s="15">
        <v>738.83718004440948</v>
      </c>
      <c r="T250" s="15">
        <v>355</v>
      </c>
      <c r="U250" s="15">
        <v>210000</v>
      </c>
      <c r="V250" s="15">
        <f t="shared" si="27"/>
        <v>8.7117405537348791</v>
      </c>
      <c r="W250" s="15">
        <v>4.6240800000000002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869</v>
      </c>
      <c r="AF250" s="22" t="s">
        <v>5</v>
      </c>
      <c r="AG250" s="17">
        <f t="shared" si="28"/>
        <v>3416.4422274997532</v>
      </c>
      <c r="AH250" s="17">
        <v>2422.6742468543816</v>
      </c>
      <c r="AI250" s="100">
        <f t="shared" si="29"/>
        <v>4.9249480206540097</v>
      </c>
      <c r="AJ250" s="17">
        <f t="shared" si="30"/>
        <v>1.33</v>
      </c>
      <c r="AK250" s="15">
        <f t="shared" si="31"/>
        <v>0.53078715688078826</v>
      </c>
      <c r="AL250" s="5">
        <v>29.24</v>
      </c>
    </row>
    <row r="251" spans="1:38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25"/>
        <v>18131.148799999999</v>
      </c>
      <c r="M251" s="15"/>
      <c r="N251" s="15"/>
      <c r="O251" s="15"/>
      <c r="P251" s="15">
        <f t="shared" si="26"/>
        <v>296599421.04640174</v>
      </c>
      <c r="Q251" s="15"/>
      <c r="R251" s="15"/>
      <c r="S251" s="15">
        <v>509.81730404289794</v>
      </c>
      <c r="T251" s="15">
        <v>355</v>
      </c>
      <c r="U251" s="15">
        <v>210000</v>
      </c>
      <c r="V251" s="15">
        <f t="shared" si="27"/>
        <v>12.625224316549295</v>
      </c>
      <c r="W251" s="15">
        <v>4.43154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870</v>
      </c>
      <c r="AF251" s="22" t="s">
        <v>5</v>
      </c>
      <c r="AG251" s="17">
        <f t="shared" si="28"/>
        <v>2259.2757755582638</v>
      </c>
      <c r="AH251" s="17">
        <v>1707.6260754306461</v>
      </c>
      <c r="AI251" s="100">
        <f t="shared" si="29"/>
        <v>4.5269548268311155</v>
      </c>
      <c r="AJ251" s="17">
        <f t="shared" si="30"/>
        <v>1.6699999999999997</v>
      </c>
      <c r="AK251" s="15">
        <f t="shared" si="31"/>
        <v>0.35100683274126737</v>
      </c>
      <c r="AL251" s="5">
        <v>29.24</v>
      </c>
    </row>
    <row r="252" spans="1:38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25"/>
        <v>18131.148799999999</v>
      </c>
      <c r="M252" s="15"/>
      <c r="N252" s="15"/>
      <c r="O252" s="15"/>
      <c r="P252" s="15">
        <f t="shared" si="26"/>
        <v>296599421.04640174</v>
      </c>
      <c r="Q252" s="15"/>
      <c r="R252" s="15"/>
      <c r="S252" s="15">
        <v>372.95042380290454</v>
      </c>
      <c r="T252" s="15">
        <v>355</v>
      </c>
      <c r="U252" s="15">
        <v>210000</v>
      </c>
      <c r="V252" s="15">
        <f t="shared" si="27"/>
        <v>17.258481055920633</v>
      </c>
      <c r="W252" s="15">
        <v>4.2937099999999999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871</v>
      </c>
      <c r="AF252" s="22" t="s">
        <v>5</v>
      </c>
      <c r="AG252" s="17">
        <f t="shared" si="28"/>
        <v>1601.3409641867693</v>
      </c>
      <c r="AH252" s="17">
        <v>1262.7472115430339</v>
      </c>
      <c r="AI252" s="100">
        <f t="shared" si="29"/>
        <v>4.3146202639801592</v>
      </c>
      <c r="AJ252" s="17">
        <f t="shared" si="30"/>
        <v>1.9999999999999998</v>
      </c>
      <c r="AK252" s="15">
        <f t="shared" si="31"/>
        <v>0.24878840647027944</v>
      </c>
      <c r="AL252" s="5">
        <v>29.24</v>
      </c>
    </row>
    <row r="253" spans="1:38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25"/>
        <v>18131.148799999999</v>
      </c>
      <c r="M253" s="15"/>
      <c r="N253" s="15"/>
      <c r="O253" s="15"/>
      <c r="P253" s="15">
        <f t="shared" si="26"/>
        <v>296599421.04640174</v>
      </c>
      <c r="Q253" s="15"/>
      <c r="R253" s="15"/>
      <c r="S253" s="15">
        <v>249.60929746802586</v>
      </c>
      <c r="T253" s="15">
        <v>355</v>
      </c>
      <c r="U253" s="15">
        <v>210000</v>
      </c>
      <c r="V253" s="15">
        <f t="shared" si="27"/>
        <v>25.786530747415377</v>
      </c>
      <c r="W253" s="15">
        <v>4.1562200000000002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872</v>
      </c>
      <c r="AF253" s="24" t="s">
        <v>218</v>
      </c>
      <c r="AG253" s="17">
        <f t="shared" si="28"/>
        <v>1037.4311543225585</v>
      </c>
      <c r="AH253" s="17">
        <v>852.62753488850217</v>
      </c>
      <c r="AI253" s="100">
        <f t="shared" si="29"/>
        <v>4.1258449195864602</v>
      </c>
      <c r="AJ253" s="17">
        <f t="shared" si="30"/>
        <v>2.5</v>
      </c>
      <c r="AK253" s="15">
        <f t="shared" si="31"/>
        <v>0.16117794366024149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5"/>
        <v>12891.42</v>
      </c>
      <c r="M254" s="15"/>
      <c r="N254" s="15"/>
      <c r="O254" s="15"/>
      <c r="P254" s="15">
        <f t="shared" si="26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7"/>
        <v>2.9110852103280007</v>
      </c>
      <c r="W254" s="15">
        <v>3.8330500000000001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8"/>
        <v>6025.8550061571414</v>
      </c>
      <c r="AH254" s="17">
        <v>4343.7313170015586</v>
      </c>
      <c r="AI254" s="100">
        <f t="shared" si="29"/>
        <v>32.345391225866678</v>
      </c>
      <c r="AJ254" s="17">
        <f t="shared" si="30"/>
        <v>0.3</v>
      </c>
      <c r="AK254" s="15">
        <f t="shared" si="31"/>
        <v>1.3167082799229084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5"/>
        <v>12891.42</v>
      </c>
      <c r="M255" s="15"/>
      <c r="N255" s="15"/>
      <c r="O255" s="15"/>
      <c r="P255" s="15">
        <f t="shared" si="26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7"/>
        <v>3.3616121848830991</v>
      </c>
      <c r="W255" s="15">
        <v>4.1474500000000001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8"/>
        <v>5646.2832454021036</v>
      </c>
      <c r="AH255" s="17">
        <v>3857.9097567035624</v>
      </c>
      <c r="AI255" s="100">
        <f t="shared" si="29"/>
        <v>13.446448739532393</v>
      </c>
      <c r="AJ255" s="17">
        <f t="shared" si="30"/>
        <v>0.5</v>
      </c>
      <c r="AK255" s="15">
        <f t="shared" si="31"/>
        <v>1.233768136208796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5"/>
        <v>12891.42</v>
      </c>
      <c r="M256" s="15"/>
      <c r="N256" s="15"/>
      <c r="O256" s="15"/>
      <c r="P256" s="15">
        <f t="shared" si="26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7"/>
        <v>4.2977460236700828</v>
      </c>
      <c r="W256" s="15">
        <v>4.5352499999999996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8"/>
        <v>4829.3601675654272</v>
      </c>
      <c r="AH256" s="17">
        <v>3173.9363281790424</v>
      </c>
      <c r="AI256" s="100">
        <f t="shared" si="29"/>
        <v>7.6404373754134793</v>
      </c>
      <c r="AJ256" s="17">
        <f t="shared" si="30"/>
        <v>0.75000000000000011</v>
      </c>
      <c r="AK256" s="15">
        <f t="shared" si="31"/>
        <v>1.0552624503686001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5"/>
        <v>12891.42</v>
      </c>
      <c r="M257" s="15"/>
      <c r="N257" s="15"/>
      <c r="O257" s="15"/>
      <c r="P257" s="15">
        <f t="shared" si="26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7"/>
        <v>5.8180859796910269</v>
      </c>
      <c r="W257" s="15">
        <v>4.7692899999999998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8"/>
        <v>3751.4806159238133</v>
      </c>
      <c r="AH257" s="17">
        <v>2471.0061748885573</v>
      </c>
      <c r="AI257" s="100">
        <f t="shared" si="29"/>
        <v>5.8180859796910251</v>
      </c>
      <c r="AJ257" s="17">
        <f t="shared" si="30"/>
        <v>1</v>
      </c>
      <c r="AK257" s="15">
        <f t="shared" si="31"/>
        <v>0.81973522162580281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5"/>
        <v>12891.42</v>
      </c>
      <c r="M258" s="15"/>
      <c r="N258" s="15"/>
      <c r="O258" s="15"/>
      <c r="P258" s="15">
        <f t="shared" si="26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7"/>
        <v>8.7117405537348755</v>
      </c>
      <c r="W258" s="15">
        <v>4.6605299999999996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8"/>
        <v>2448.2709850133228</v>
      </c>
      <c r="AH258" s="17">
        <v>1722.544532830899</v>
      </c>
      <c r="AI258" s="100">
        <f t="shared" si="29"/>
        <v>4.9249480206540079</v>
      </c>
      <c r="AJ258" s="17">
        <f t="shared" si="30"/>
        <v>1.33</v>
      </c>
      <c r="AK258" s="15">
        <f t="shared" si="31"/>
        <v>0.53497116577948922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5"/>
        <v>12891.42</v>
      </c>
      <c r="M259" s="15"/>
      <c r="N259" s="15"/>
      <c r="O259" s="15"/>
      <c r="P259" s="15">
        <f t="shared" si="26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7"/>
        <v>12.625224316549291</v>
      </c>
      <c r="W259" s="15">
        <v>4.4664999999999999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8"/>
        <v>1619.0391334953192</v>
      </c>
      <c r="AH259" s="17">
        <v>1214.1384522379599</v>
      </c>
      <c r="AI259" s="100">
        <f t="shared" si="29"/>
        <v>4.5269548268311137</v>
      </c>
      <c r="AJ259" s="17">
        <f t="shared" si="30"/>
        <v>1.67</v>
      </c>
      <c r="AK259" s="15">
        <f t="shared" si="31"/>
        <v>0.35377589245248181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5"/>
        <v>12891.42</v>
      </c>
      <c r="M260" s="15"/>
      <c r="N260" s="15"/>
      <c r="O260" s="15"/>
      <c r="P260" s="15">
        <f t="shared" si="26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7"/>
        <v>17.25848105592063</v>
      </c>
      <c r="W260" s="15">
        <v>4.3277299999999999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8"/>
        <v>1147.5898509271501</v>
      </c>
      <c r="AH260" s="17">
        <v>897.82533017599519</v>
      </c>
      <c r="AI260" s="100">
        <f t="shared" si="29"/>
        <v>4.3146202639801565</v>
      </c>
      <c r="AJ260" s="17">
        <f t="shared" si="30"/>
        <v>2</v>
      </c>
      <c r="AK260" s="15">
        <f t="shared" si="31"/>
        <v>0.25075961122982748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5"/>
        <v>12891.42</v>
      </c>
      <c r="M261" s="15"/>
      <c r="N261" s="15"/>
      <c r="O261" s="15"/>
      <c r="P261" s="15">
        <f t="shared" si="26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7"/>
        <v>25.78653074741537</v>
      </c>
      <c r="W261" s="15">
        <v>4.1893799999999999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8"/>
        <v>743.50851866258483</v>
      </c>
      <c r="AH261" s="17">
        <v>606.22632228424141</v>
      </c>
      <c r="AI261" s="100">
        <f t="shared" si="29"/>
        <v>4.1258449195864584</v>
      </c>
      <c r="AJ261" s="17">
        <f t="shared" si="30"/>
        <v>2.5</v>
      </c>
      <c r="AK261" s="15">
        <f t="shared" si="31"/>
        <v>0.16246388632251002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5"/>
        <v>10789.875</v>
      </c>
      <c r="M262" s="15"/>
      <c r="N262" s="15"/>
      <c r="O262" s="15"/>
      <c r="P262" s="15">
        <f t="shared" si="26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7"/>
        <v>2.8911870903522612</v>
      </c>
      <c r="W262" s="15">
        <v>3.8373300000000001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8"/>
        <v>5083.9084284892779</v>
      </c>
      <c r="AH262" s="17">
        <v>3635.621052144154</v>
      </c>
      <c r="AI262" s="100">
        <f t="shared" si="29"/>
        <v>32.124301003914006</v>
      </c>
      <c r="AJ262" s="17">
        <f t="shared" si="30"/>
        <v>0.30000000000000004</v>
      </c>
      <c r="AK262" s="15">
        <f t="shared" si="31"/>
        <v>1.3272506690435109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2">2*C263*F263+(E263-2*F263)*H263</f>
        <v>10789.875</v>
      </c>
      <c r="M263" s="15"/>
      <c r="N263" s="15"/>
      <c r="O263" s="15"/>
      <c r="P263" s="15">
        <f t="shared" ref="P263:P293" si="33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4">L263*T263/(S263*1000)</f>
        <v>3.3122797553375851</v>
      </c>
      <c r="W263" s="15">
        <v>4.15388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5">W263*S263</f>
        <v>4803.6538254158904</v>
      </c>
      <c r="AH263" s="17">
        <v>3228.9975841382748</v>
      </c>
      <c r="AI263" s="100">
        <f t="shared" ref="AI263:AI293" si="36">(PI()^2*U263*P263/K263^2)/(S263*1000)</f>
        <v>13.249119021350337</v>
      </c>
      <c r="AJ263" s="17">
        <f t="shared" ref="AJ263:AJ293" si="37">(V263/AI263)^0.5</f>
        <v>0.5</v>
      </c>
      <c r="AK263" s="15">
        <f t="shared" ref="AK263:AK293" si="38">W263/V263</f>
        <v>1.2540848922275407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2"/>
        <v>10789.875</v>
      </c>
      <c r="M264" s="15"/>
      <c r="N264" s="15"/>
      <c r="O264" s="15"/>
      <c r="P264" s="15">
        <f t="shared" si="33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4"/>
        <v>4.1691232378070389</v>
      </c>
      <c r="W264" s="15">
        <v>4.54216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5"/>
        <v>4173.1352663975276</v>
      </c>
      <c r="AH264" s="17">
        <v>2656.5247458395461</v>
      </c>
      <c r="AI264" s="100">
        <f t="shared" si="36"/>
        <v>7.4117746449902908</v>
      </c>
      <c r="AJ264" s="17">
        <f t="shared" si="37"/>
        <v>0.75</v>
      </c>
      <c r="AK264" s="15">
        <f t="shared" si="38"/>
        <v>1.0894760698868615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2"/>
        <v>10789.875</v>
      </c>
      <c r="M265" s="15"/>
      <c r="N265" s="15"/>
      <c r="O265" s="15"/>
      <c r="P265" s="15">
        <f t="shared" si="33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4"/>
        <v>5.5595153970707152</v>
      </c>
      <c r="W265" s="15">
        <v>4.7830599999999999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5"/>
        <v>3295.4418901988806</v>
      </c>
      <c r="AH265" s="17">
        <v>2068.1854870352267</v>
      </c>
      <c r="AI265" s="100">
        <f t="shared" si="36"/>
        <v>5.5595153970707143</v>
      </c>
      <c r="AJ265" s="17">
        <f t="shared" si="37"/>
        <v>1</v>
      </c>
      <c r="AK265" s="15">
        <f t="shared" si="38"/>
        <v>0.86033757591896831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2"/>
        <v>10789.875</v>
      </c>
      <c r="M266" s="15"/>
      <c r="N266" s="15"/>
      <c r="O266" s="15"/>
      <c r="P266" s="15">
        <f t="shared" si="33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4"/>
        <v>8.230125332653234</v>
      </c>
      <c r="W266" s="15">
        <v>4.6810600000000004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5"/>
        <v>2178.625212889935</v>
      </c>
      <c r="AH266" s="17">
        <v>1441.7372322970468</v>
      </c>
      <c r="AI266" s="100">
        <f t="shared" si="36"/>
        <v>4.6526798194659005</v>
      </c>
      <c r="AJ266" s="17">
        <f t="shared" si="37"/>
        <v>1.3300000000000003</v>
      </c>
      <c r="AK266" s="15">
        <f t="shared" si="38"/>
        <v>0.568771411223566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2"/>
        <v>10789.875</v>
      </c>
      <c r="M267" s="15"/>
      <c r="N267" s="15"/>
      <c r="O267" s="15"/>
      <c r="P267" s="15">
        <f t="shared" si="33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4"/>
        <v>11.862065132834765</v>
      </c>
      <c r="W267" s="15">
        <v>4.4880699999999996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5"/>
        <v>1449.2525863652427</v>
      </c>
      <c r="AH267" s="17">
        <v>1016.210947462813</v>
      </c>
      <c r="AI267" s="100">
        <f t="shared" si="36"/>
        <v>4.2533131818404275</v>
      </c>
      <c r="AJ267" s="17">
        <f t="shared" si="37"/>
        <v>1.6699999999999997</v>
      </c>
      <c r="AK267" s="15">
        <f t="shared" si="38"/>
        <v>0.37835486062007928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2"/>
        <v>10789.875</v>
      </c>
      <c r="M268" s="15"/>
      <c r="N268" s="15"/>
      <c r="O268" s="15"/>
      <c r="P268" s="15">
        <f t="shared" si="33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4"/>
        <v>16.170215908836894</v>
      </c>
      <c r="W268" s="15">
        <v>4.3496800000000002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5"/>
        <v>1030.353511225838</v>
      </c>
      <c r="AH268" s="17">
        <v>751.46283996896477</v>
      </c>
      <c r="AI268" s="100">
        <f t="shared" si="36"/>
        <v>4.0425539772092227</v>
      </c>
      <c r="AJ268" s="17">
        <f t="shared" si="37"/>
        <v>2</v>
      </c>
      <c r="AK268" s="15">
        <f t="shared" si="38"/>
        <v>0.26899331613889799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2"/>
        <v>10789.875</v>
      </c>
      <c r="M269" s="15"/>
      <c r="N269" s="15"/>
      <c r="O269" s="15"/>
      <c r="P269" s="15">
        <f t="shared" si="33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4"/>
        <v>24.105129959147668</v>
      </c>
      <c r="W269" s="15">
        <v>4.2111999999999998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5"/>
        <v>669.17723303452215</v>
      </c>
      <c r="AH269" s="17">
        <v>507.39997914556182</v>
      </c>
      <c r="AI269" s="100">
        <f t="shared" si="36"/>
        <v>3.8568207934636272</v>
      </c>
      <c r="AJ269" s="17">
        <f t="shared" si="37"/>
        <v>2.5</v>
      </c>
      <c r="AK269" s="15">
        <f t="shared" si="38"/>
        <v>0.17470140203089382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2"/>
        <v>8214.7431679999991</v>
      </c>
      <c r="M270" s="15"/>
      <c r="N270" s="15"/>
      <c r="O270" s="15"/>
      <c r="P270" s="15">
        <f t="shared" si="33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4"/>
        <v>2.8446831395789016</v>
      </c>
      <c r="W270" s="15">
        <v>3.7696200000000002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5"/>
        <v>3864.4350919402373</v>
      </c>
      <c r="AH270" s="17">
        <v>2804.879544008154</v>
      </c>
      <c r="AI270" s="100">
        <f t="shared" si="36"/>
        <v>31.607590439765573</v>
      </c>
      <c r="AJ270" s="47">
        <f t="shared" si="37"/>
        <v>0.3</v>
      </c>
      <c r="AK270" s="15">
        <f t="shared" si="38"/>
        <v>1.3251458299703696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2"/>
        <v>8214.7431679999991</v>
      </c>
      <c r="M271" s="15"/>
      <c r="N271" s="15"/>
      <c r="O271" s="15"/>
      <c r="P271" s="15">
        <f t="shared" si="33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4"/>
        <v>3.2015814648520129</v>
      </c>
      <c r="W271" s="15">
        <v>4.0714300000000003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5"/>
        <v>3708.5552908780514</v>
      </c>
      <c r="AH271" s="17">
        <v>2525.1386907777101</v>
      </c>
      <c r="AI271" s="100">
        <f t="shared" si="36"/>
        <v>12.806325859408053</v>
      </c>
      <c r="AJ271" s="17">
        <f t="shared" si="37"/>
        <v>0.5</v>
      </c>
      <c r="AK271" s="15">
        <f t="shared" si="38"/>
        <v>1.2716933942482687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2"/>
        <v>8214.7431679999991</v>
      </c>
      <c r="M272" s="15"/>
      <c r="N272" s="15"/>
      <c r="O272" s="15"/>
      <c r="P272" s="15">
        <f t="shared" si="33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4"/>
        <v>3.8882369295280319</v>
      </c>
      <c r="W272" s="15">
        <v>4.3979299999999997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5"/>
        <v>3298.5109850175168</v>
      </c>
      <c r="AH272" s="17">
        <v>2135.33388901322</v>
      </c>
      <c r="AI272" s="100">
        <f t="shared" si="36"/>
        <v>6.9124212080498344</v>
      </c>
      <c r="AJ272" s="17">
        <f t="shared" si="37"/>
        <v>0.75</v>
      </c>
      <c r="AK272" s="15">
        <f t="shared" si="38"/>
        <v>1.1310859085261133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2"/>
        <v>8214.7431679999991</v>
      </c>
      <c r="M273" s="15"/>
      <c r="N273" s="15"/>
      <c r="O273" s="15"/>
      <c r="P273" s="15">
        <f t="shared" si="33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4"/>
        <v>4.9894858845790759</v>
      </c>
      <c r="W273" s="15">
        <v>4.5911799999999996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5"/>
        <v>2683.4336684650611</v>
      </c>
      <c r="AH273" s="17">
        <v>1718.7553355681105</v>
      </c>
      <c r="AI273" s="100">
        <f t="shared" si="36"/>
        <v>4.9894858845790768</v>
      </c>
      <c r="AJ273" s="17">
        <f t="shared" si="37"/>
        <v>0.99999999999999989</v>
      </c>
      <c r="AK273" s="15">
        <f t="shared" si="38"/>
        <v>0.92017095672920657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2"/>
        <v>8214.7431679999991</v>
      </c>
      <c r="M274" s="15"/>
      <c r="N274" s="15"/>
      <c r="O274" s="15"/>
      <c r="P274" s="15">
        <f t="shared" si="33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4"/>
        <v>7.1511521922535621</v>
      </c>
      <c r="W274" s="15">
        <v>4.4626200000000003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5"/>
        <v>1819.8526671845036</v>
      </c>
      <c r="AH274" s="17">
        <v>1237.8619461624439</v>
      </c>
      <c r="AI274" s="100">
        <f t="shared" si="36"/>
        <v>4.0427113981873264</v>
      </c>
      <c r="AJ274" s="17">
        <f t="shared" si="37"/>
        <v>1.33</v>
      </c>
      <c r="AK274" s="15">
        <f t="shared" si="38"/>
        <v>0.62404209559881885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2"/>
        <v>8214.7431679999991</v>
      </c>
      <c r="M275" s="15"/>
      <c r="N275" s="15"/>
      <c r="O275" s="15"/>
      <c r="P275" s="15">
        <f t="shared" si="33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4"/>
        <v>10.140956944938353</v>
      </c>
      <c r="W275" s="15">
        <v>4.2585600000000001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5"/>
        <v>1224.6336103869942</v>
      </c>
      <c r="AH275" s="17">
        <v>888.10027026159901</v>
      </c>
      <c r="AI275" s="100">
        <f t="shared" si="36"/>
        <v>3.6361852145786351</v>
      </c>
      <c r="AJ275" s="17">
        <f t="shared" si="37"/>
        <v>1.6699999999999997</v>
      </c>
      <c r="AK275" s="15">
        <f t="shared" si="38"/>
        <v>0.41993670056212712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2"/>
        <v>8214.7431679999991</v>
      </c>
      <c r="M276" s="15"/>
      <c r="N276" s="15"/>
      <c r="O276" s="15"/>
      <c r="P276" s="15">
        <f t="shared" si="33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4"/>
        <v>13.71051354620892</v>
      </c>
      <c r="W276" s="15">
        <v>4.1157599999999999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5"/>
        <v>875.42443145166726</v>
      </c>
      <c r="AH276" s="17">
        <v>662.73183271056735</v>
      </c>
      <c r="AI276" s="100">
        <f t="shared" si="36"/>
        <v>3.4276283865522306</v>
      </c>
      <c r="AJ276" s="17">
        <f t="shared" si="37"/>
        <v>2</v>
      </c>
      <c r="AK276" s="15">
        <f t="shared" si="38"/>
        <v>0.30019006845575413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2"/>
        <v>8214.7431679999991</v>
      </c>
      <c r="M277" s="15"/>
      <c r="N277" s="15"/>
      <c r="O277" s="15"/>
      <c r="P277" s="15">
        <f t="shared" si="33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4"/>
        <v>20.301520490919771</v>
      </c>
      <c r="W277" s="15">
        <v>3.9757400000000001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5"/>
        <v>571.09946376479274</v>
      </c>
      <c r="AH277" s="17">
        <v>450.77963648270901</v>
      </c>
      <c r="AI277" s="100">
        <f t="shared" si="36"/>
        <v>3.2482432785471631</v>
      </c>
      <c r="AJ277" s="17">
        <f t="shared" si="37"/>
        <v>2.5</v>
      </c>
      <c r="AK277" s="15">
        <f t="shared" si="38"/>
        <v>0.19583459287092428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2"/>
        <v>5956.734199999999</v>
      </c>
      <c r="M278" s="15"/>
      <c r="N278" s="15"/>
      <c r="O278" s="15"/>
      <c r="P278" s="15">
        <f t="shared" si="33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4"/>
        <v>2.7906738114181695</v>
      </c>
      <c r="W278" s="15">
        <v>3.5682800000000001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5"/>
        <v>2703.8738370619276</v>
      </c>
      <c r="AH278" s="17">
        <v>2067.8430712119402</v>
      </c>
      <c r="AI278" s="100">
        <f t="shared" si="36"/>
        <v>31.007486793535218</v>
      </c>
      <c r="AJ278" s="17">
        <f t="shared" si="37"/>
        <v>0.3</v>
      </c>
      <c r="AK278" s="15">
        <f t="shared" si="38"/>
        <v>1.2786446002396337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2"/>
        <v>5956.734199999999</v>
      </c>
      <c r="M279" s="15"/>
      <c r="N279" s="15"/>
      <c r="O279" s="15"/>
      <c r="P279" s="15">
        <f t="shared" si="33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4"/>
        <v>3.0809170507267503</v>
      </c>
      <c r="W279" s="15">
        <v>3.8172100000000002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5"/>
        <v>2620.0080262879906</v>
      </c>
      <c r="AH279" s="17">
        <v>1890.963876434048</v>
      </c>
      <c r="AI279" s="100">
        <f t="shared" si="36"/>
        <v>12.323668202906997</v>
      </c>
      <c r="AJ279" s="17">
        <f t="shared" si="37"/>
        <v>0.5</v>
      </c>
      <c r="AK279" s="15">
        <f t="shared" si="38"/>
        <v>1.238984996074324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2"/>
        <v>5956.734199999999</v>
      </c>
      <c r="M280" s="15"/>
      <c r="N280" s="15"/>
      <c r="O280" s="15"/>
      <c r="P280" s="15">
        <f t="shared" si="33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4"/>
        <v>3.5986891981251095</v>
      </c>
      <c r="W280" s="15">
        <v>3.9639700000000002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5"/>
        <v>2329.2848034978747</v>
      </c>
      <c r="AH280" s="17">
        <v>1649.7885578004339</v>
      </c>
      <c r="AI280" s="100">
        <f t="shared" si="36"/>
        <v>6.3976696855557487</v>
      </c>
      <c r="AJ280" s="17">
        <f t="shared" si="37"/>
        <v>0.75000000000000011</v>
      </c>
      <c r="AK280" s="15">
        <f t="shared" si="38"/>
        <v>1.1015038481414843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2"/>
        <v>5956.734199999999</v>
      </c>
      <c r="M281" s="15"/>
      <c r="N281" s="15"/>
      <c r="O281" s="15"/>
      <c r="P281" s="15">
        <f t="shared" si="33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4"/>
        <v>4.3997247670094577</v>
      </c>
      <c r="W281" s="15">
        <v>4.0434799999999997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5"/>
        <v>1943.4186436354184</v>
      </c>
      <c r="AH281" s="17">
        <v>1384.6930686849744</v>
      </c>
      <c r="AI281" s="100">
        <f t="shared" si="36"/>
        <v>4.3997247670094568</v>
      </c>
      <c r="AJ281" s="17">
        <f t="shared" si="37"/>
        <v>1</v>
      </c>
      <c r="AK281" s="15">
        <f t="shared" si="38"/>
        <v>0.91903021532603701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2"/>
        <v>5956.734199999999</v>
      </c>
      <c r="M282" s="15"/>
      <c r="N282" s="15"/>
      <c r="O282" s="15"/>
      <c r="P282" s="15">
        <f t="shared" si="33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4"/>
        <v>6.0024172991011691</v>
      </c>
      <c r="W282" s="15">
        <v>3.8412000000000002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5"/>
        <v>1353.2477376115685</v>
      </c>
      <c r="AH282" s="17">
        <v>1047.2396604996427</v>
      </c>
      <c r="AI282" s="100">
        <f t="shared" si="36"/>
        <v>3.3933050478269933</v>
      </c>
      <c r="AJ282" s="17">
        <f t="shared" si="37"/>
        <v>1.33</v>
      </c>
      <c r="AK282" s="15">
        <f t="shared" si="38"/>
        <v>0.63994217805803011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2"/>
        <v>5956.734199999999</v>
      </c>
      <c r="M283" s="15"/>
      <c r="N283" s="15"/>
      <c r="O283" s="15"/>
      <c r="P283" s="15">
        <f t="shared" si="33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4"/>
        <v>8.280673684824535</v>
      </c>
      <c r="W283" s="15">
        <v>3.6027300000000002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5"/>
        <v>920.03133640102646</v>
      </c>
      <c r="AH283" s="17">
        <v>774.36690657034842</v>
      </c>
      <c r="AI283" s="100">
        <f t="shared" si="36"/>
        <v>2.9691540337855553</v>
      </c>
      <c r="AJ283" s="17">
        <f t="shared" si="37"/>
        <v>1.67</v>
      </c>
      <c r="AK283" s="15">
        <f t="shared" si="38"/>
        <v>0.43507691972000961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2"/>
        <v>5956.734199999999</v>
      </c>
      <c r="M284" s="15"/>
      <c r="N284" s="15"/>
      <c r="O284" s="15"/>
      <c r="P284" s="15">
        <f t="shared" si="33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4"/>
        <v>11.036973934902585</v>
      </c>
      <c r="W284" s="15">
        <v>3.4462000000000002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5"/>
        <v>660.27831722686039</v>
      </c>
      <c r="AH284" s="17">
        <v>587.23834536877882</v>
      </c>
      <c r="AI284" s="100">
        <f t="shared" si="36"/>
        <v>2.7592434837256459</v>
      </c>
      <c r="AJ284" s="17">
        <f t="shared" si="37"/>
        <v>2</v>
      </c>
      <c r="AK284" s="15">
        <f t="shared" si="38"/>
        <v>0.31224138249542915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2"/>
        <v>5956.734199999999</v>
      </c>
      <c r="M285" s="15"/>
      <c r="N285" s="15"/>
      <c r="O285" s="15"/>
      <c r="P285" s="15">
        <f t="shared" si="33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4"/>
        <v>16.156501607500473</v>
      </c>
      <c r="W285" s="15">
        <v>3.3004199999999999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5"/>
        <v>431.97484417847016</v>
      </c>
      <c r="AH285" s="17">
        <v>404.62332413956238</v>
      </c>
      <c r="AI285" s="100">
        <f t="shared" si="36"/>
        <v>2.5850402572000752</v>
      </c>
      <c r="AJ285" s="17">
        <f t="shared" si="37"/>
        <v>2.5</v>
      </c>
      <c r="AK285" s="15">
        <f t="shared" si="38"/>
        <v>0.20427813397844849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2"/>
        <v>4372.38</v>
      </c>
      <c r="M286" s="15"/>
      <c r="N286" s="15"/>
      <c r="O286" s="15"/>
      <c r="P286" s="15">
        <f t="shared" si="33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4"/>
        <v>2.7431735379410425</v>
      </c>
      <c r="W286" s="15">
        <v>3.5106000000000002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5"/>
        <v>1986.43481375589</v>
      </c>
      <c r="AH286" s="17">
        <v>1541.2741945736698</v>
      </c>
      <c r="AI286" s="100">
        <f t="shared" si="36"/>
        <v>30.479705977122688</v>
      </c>
      <c r="AJ286" s="17">
        <f t="shared" si="37"/>
        <v>0.30000000000000004</v>
      </c>
      <c r="AK286" s="15">
        <f t="shared" si="38"/>
        <v>1.2797586268038181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2"/>
        <v>4372.38</v>
      </c>
      <c r="M287" s="15"/>
      <c r="N287" s="15"/>
      <c r="O287" s="15"/>
      <c r="P287" s="15">
        <f t="shared" si="33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4"/>
        <v>2.9814083581291553</v>
      </c>
      <c r="W287" s="15">
        <v>3.6818300000000002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5"/>
        <v>1916.8517231410501</v>
      </c>
      <c r="AH287" s="17">
        <v>1428.3016898637995</v>
      </c>
      <c r="AI287" s="100">
        <f t="shared" si="36"/>
        <v>11.925633432516623</v>
      </c>
      <c r="AJ287" s="17">
        <f t="shared" si="37"/>
        <v>0.5</v>
      </c>
      <c r="AK287" s="15">
        <f t="shared" si="38"/>
        <v>1.2349297908020764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2"/>
        <v>4372.38</v>
      </c>
      <c r="M288" s="15"/>
      <c r="N288" s="15"/>
      <c r="O288" s="15"/>
      <c r="P288" s="15">
        <f t="shared" si="33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4"/>
        <v>3.3767959281699285</v>
      </c>
      <c r="W288" s="15">
        <v>3.6582499999999998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5"/>
        <v>1681.5694859009122</v>
      </c>
      <c r="AH288" s="17">
        <v>1278.2236339801821</v>
      </c>
      <c r="AI288" s="100">
        <f t="shared" si="36"/>
        <v>6.0031927611909834</v>
      </c>
      <c r="AJ288" s="17">
        <f t="shared" si="37"/>
        <v>0.75</v>
      </c>
      <c r="AK288" s="15">
        <f t="shared" si="38"/>
        <v>1.0833494465810396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2"/>
        <v>4372.38</v>
      </c>
      <c r="M289" s="15"/>
      <c r="N289" s="15"/>
      <c r="O289" s="15"/>
      <c r="P289" s="15">
        <f t="shared" si="33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4"/>
        <v>3.9559304461454823</v>
      </c>
      <c r="W289" s="15">
        <v>3.6287199999999999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5"/>
        <v>1423.8068020169792</v>
      </c>
      <c r="AH289" s="17">
        <v>1112.6517344021763</v>
      </c>
      <c r="AI289" s="100">
        <f t="shared" si="36"/>
        <v>3.9559304461454827</v>
      </c>
      <c r="AJ289" s="17">
        <f t="shared" si="37"/>
        <v>1</v>
      </c>
      <c r="AK289" s="15">
        <f t="shared" si="38"/>
        <v>0.91728609726586463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2"/>
        <v>4372.38</v>
      </c>
      <c r="M290" s="15"/>
      <c r="N290" s="15"/>
      <c r="O290" s="15"/>
      <c r="P290" s="15">
        <f t="shared" si="33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4"/>
        <v>5.1132167736268945</v>
      </c>
      <c r="W290" s="15">
        <v>3.33955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5"/>
        <v>1013.7713122258571</v>
      </c>
      <c r="AH290" s="17">
        <v>885.89345278992414</v>
      </c>
      <c r="AI290" s="100">
        <f t="shared" si="36"/>
        <v>2.8906194661240843</v>
      </c>
      <c r="AJ290" s="17">
        <f t="shared" si="37"/>
        <v>1.3300000000000003</v>
      </c>
      <c r="AK290" s="15">
        <f t="shared" si="38"/>
        <v>0.6531211462077714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2"/>
        <v>4372.38</v>
      </c>
      <c r="M291" s="15"/>
      <c r="N291" s="15"/>
      <c r="O291" s="15"/>
      <c r="P291" s="15">
        <f t="shared" si="33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4"/>
        <v>6.805678519766702</v>
      </c>
      <c r="W291" s="15">
        <v>3.05362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5"/>
        <v>696.44979215099352</v>
      </c>
      <c r="AH291" s="17">
        <v>680.61378951775089</v>
      </c>
      <c r="AI291" s="100">
        <f t="shared" si="36"/>
        <v>2.4402734123728722</v>
      </c>
      <c r="AJ291" s="17">
        <f t="shared" si="37"/>
        <v>1.67</v>
      </c>
      <c r="AK291" s="15">
        <f t="shared" si="38"/>
        <v>0.44868707670086622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2"/>
        <v>4372.38</v>
      </c>
      <c r="M292" s="15"/>
      <c r="N292" s="15"/>
      <c r="O292" s="15"/>
      <c r="P292" s="15">
        <f t="shared" si="33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4"/>
        <v>8.8944325223111029</v>
      </c>
      <c r="W292" s="15">
        <v>2.8756400000000002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5"/>
        <v>501.83682107199843</v>
      </c>
      <c r="AH292" s="17">
        <v>527.71404147143915</v>
      </c>
      <c r="AI292" s="100">
        <f t="shared" si="36"/>
        <v>2.2236081305777762</v>
      </c>
      <c r="AJ292" s="17">
        <f t="shared" si="37"/>
        <v>1.9999999999999998</v>
      </c>
      <c r="AK292" s="15">
        <f t="shared" si="38"/>
        <v>0.32330786621705715</v>
      </c>
      <c r="AL292" s="5">
        <v>1.5359</v>
      </c>
    </row>
    <row r="293" spans="1:38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32"/>
        <v>4372.38</v>
      </c>
      <c r="M293" s="15"/>
      <c r="N293" s="15"/>
      <c r="O293" s="15"/>
      <c r="P293" s="15">
        <f t="shared" si="33"/>
        <v>80673246.275399998</v>
      </c>
      <c r="Q293" s="15"/>
      <c r="R293" s="15"/>
      <c r="S293" s="15">
        <v>121.11730518961791</v>
      </c>
      <c r="T293" s="15">
        <v>355</v>
      </c>
      <c r="U293" s="15">
        <v>210000</v>
      </c>
      <c r="V293" s="15">
        <f t="shared" si="34"/>
        <v>12.815632725397306</v>
      </c>
      <c r="W293" s="15">
        <v>2.7171599999999998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912</v>
      </c>
      <c r="AF293" s="22" t="s">
        <v>5</v>
      </c>
      <c r="AG293" s="17">
        <f t="shared" si="35"/>
        <v>329.09509696902217</v>
      </c>
      <c r="AH293" s="17">
        <v>370.25188473625445</v>
      </c>
      <c r="AI293" s="100">
        <f t="shared" si="36"/>
        <v>2.0505012360635688</v>
      </c>
      <c r="AJ293" s="17">
        <f t="shared" si="37"/>
        <v>2.5</v>
      </c>
      <c r="AK293" s="15">
        <f t="shared" si="38"/>
        <v>0.21201918455538163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5">
    <mergeCell ref="AQ4:AQ5"/>
    <mergeCell ref="AP4:AP5"/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AD03-67A5-4D48-8B19-446EEB390899}">
  <sheetPr codeName="Sheet1"/>
  <dimension ref="E4:I292"/>
  <sheetViews>
    <sheetView workbookViewId="0">
      <selection activeCell="L3" sqref="L3"/>
    </sheetView>
  </sheetViews>
  <sheetFormatPr defaultRowHeight="15"/>
  <sheetData>
    <row r="4" spans="5:9">
      <c r="G4" t="s">
        <v>922</v>
      </c>
      <c r="H4" t="s">
        <v>915</v>
      </c>
      <c r="I4" t="s">
        <v>931</v>
      </c>
    </row>
    <row r="5" spans="5:9">
      <c r="E5" s="118" t="s">
        <v>923</v>
      </c>
      <c r="F5">
        <v>1</v>
      </c>
      <c r="G5">
        <v>0.3</v>
      </c>
      <c r="H5">
        <v>0.83573275569877326</v>
      </c>
      <c r="I5">
        <v>1.1513392501083863</v>
      </c>
    </row>
    <row r="6" spans="5:9">
      <c r="E6" s="118"/>
      <c r="F6">
        <v>2</v>
      </c>
      <c r="G6">
        <v>0.5</v>
      </c>
      <c r="H6">
        <v>0.83958350115608693</v>
      </c>
      <c r="I6">
        <v>1.1513392501083863</v>
      </c>
    </row>
    <row r="7" spans="5:9">
      <c r="E7" s="118"/>
      <c r="F7">
        <v>3</v>
      </c>
      <c r="G7">
        <v>0.75</v>
      </c>
      <c r="H7">
        <v>0.87394191465324378</v>
      </c>
      <c r="I7">
        <v>1.1513392501083863</v>
      </c>
    </row>
    <row r="8" spans="5:9">
      <c r="E8" s="118"/>
      <c r="F8">
        <v>4</v>
      </c>
      <c r="G8">
        <v>1</v>
      </c>
      <c r="H8">
        <v>0.87698301612798524</v>
      </c>
      <c r="I8">
        <v>1.1513392501083863</v>
      </c>
    </row>
    <row r="9" spans="5:9">
      <c r="E9" s="118"/>
      <c r="F9">
        <v>5</v>
      </c>
      <c r="G9">
        <v>1.33</v>
      </c>
      <c r="H9">
        <v>0.87039574024754796</v>
      </c>
      <c r="I9">
        <v>1.1513392501083863</v>
      </c>
    </row>
    <row r="10" spans="5:9">
      <c r="E10" s="118"/>
      <c r="F10">
        <v>6</v>
      </c>
      <c r="G10">
        <v>1.67</v>
      </c>
      <c r="H10">
        <v>0.8662289031913859</v>
      </c>
      <c r="I10">
        <v>1.1513392501083863</v>
      </c>
    </row>
    <row r="11" spans="5:9">
      <c r="E11" s="118"/>
      <c r="F11">
        <v>7</v>
      </c>
      <c r="G11">
        <v>2</v>
      </c>
      <c r="H11">
        <v>0.86463555700762518</v>
      </c>
      <c r="I11">
        <v>1.1513392501083863</v>
      </c>
    </row>
    <row r="12" spans="5:9">
      <c r="E12" s="118"/>
      <c r="F12">
        <v>8</v>
      </c>
      <c r="G12">
        <v>2.5</v>
      </c>
      <c r="H12">
        <v>0.8611742522994239</v>
      </c>
      <c r="I12">
        <v>1.1513392501083863</v>
      </c>
    </row>
    <row r="13" spans="5:9">
      <c r="E13" s="118"/>
      <c r="F13">
        <v>9</v>
      </c>
      <c r="G13">
        <v>0.3</v>
      </c>
      <c r="H13">
        <v>0.92481179998245888</v>
      </c>
      <c r="I13">
        <v>1.0326179569210958</v>
      </c>
    </row>
    <row r="14" spans="5:9">
      <c r="E14" s="118"/>
      <c r="F14">
        <v>10</v>
      </c>
      <c r="G14">
        <v>0.5</v>
      </c>
      <c r="H14">
        <v>0.93476949670524334</v>
      </c>
      <c r="I14">
        <v>1.0326179569210958</v>
      </c>
    </row>
    <row r="15" spans="5:9">
      <c r="E15" s="118"/>
      <c r="F15">
        <v>11</v>
      </c>
      <c r="G15">
        <v>0.75</v>
      </c>
      <c r="H15">
        <v>0.97016048641206398</v>
      </c>
      <c r="I15">
        <v>1.0326179569210958</v>
      </c>
    </row>
    <row r="16" spans="5:9">
      <c r="E16" s="118"/>
      <c r="F16">
        <v>12</v>
      </c>
      <c r="G16">
        <v>1</v>
      </c>
      <c r="H16">
        <v>0.9755301771143805</v>
      </c>
      <c r="I16">
        <v>1.0326179569210958</v>
      </c>
    </row>
    <row r="17" spans="5:9">
      <c r="E17" s="118"/>
      <c r="F17">
        <v>13</v>
      </c>
      <c r="G17">
        <v>1.33</v>
      </c>
      <c r="H17">
        <v>0.96780304473474543</v>
      </c>
      <c r="I17">
        <v>1.0326179569210958</v>
      </c>
    </row>
    <row r="18" spans="5:9">
      <c r="E18" s="118"/>
      <c r="F18">
        <v>14</v>
      </c>
      <c r="G18">
        <v>1.67</v>
      </c>
      <c r="H18">
        <v>0.96376475504348258</v>
      </c>
      <c r="I18">
        <v>1.0326179569210958</v>
      </c>
    </row>
    <row r="19" spans="5:9">
      <c r="E19" s="118"/>
      <c r="F19">
        <v>15</v>
      </c>
      <c r="G19">
        <v>2</v>
      </c>
      <c r="H19">
        <v>0.9624009103237704</v>
      </c>
      <c r="I19">
        <v>1.0326179569210958</v>
      </c>
    </row>
    <row r="20" spans="5:9">
      <c r="E20" s="118"/>
      <c r="F20">
        <v>16</v>
      </c>
      <c r="G20">
        <v>2.5</v>
      </c>
      <c r="H20">
        <v>0.95836628325951279</v>
      </c>
      <c r="I20">
        <v>1.0326179569210958</v>
      </c>
    </row>
    <row r="21" spans="5:9">
      <c r="E21" s="118"/>
      <c r="F21">
        <v>17</v>
      </c>
      <c r="G21">
        <v>0.3</v>
      </c>
      <c r="H21">
        <v>0.93708444925492129</v>
      </c>
      <c r="I21">
        <v>1.011753934997377</v>
      </c>
    </row>
    <row r="22" spans="5:9">
      <c r="E22" s="118"/>
      <c r="F22">
        <v>18</v>
      </c>
      <c r="G22">
        <v>0.5</v>
      </c>
      <c r="H22">
        <v>0.94923693703329826</v>
      </c>
      <c r="I22">
        <v>1.011753934997377</v>
      </c>
    </row>
    <row r="23" spans="5:9">
      <c r="E23" s="118"/>
      <c r="F23">
        <v>19</v>
      </c>
      <c r="G23">
        <v>0.75</v>
      </c>
      <c r="H23">
        <v>0.99532950715100099</v>
      </c>
      <c r="I23">
        <v>1.011753934997377</v>
      </c>
    </row>
    <row r="24" spans="5:9">
      <c r="E24" s="118"/>
      <c r="F24">
        <v>20</v>
      </c>
      <c r="G24">
        <v>1</v>
      </c>
      <c r="H24">
        <v>0.9934021246471596</v>
      </c>
      <c r="I24">
        <v>1.011753934997377</v>
      </c>
    </row>
    <row r="25" spans="5:9">
      <c r="E25" s="118"/>
      <c r="F25">
        <v>21</v>
      </c>
      <c r="G25">
        <v>1.33</v>
      </c>
      <c r="H25">
        <v>0.98558080078586285</v>
      </c>
      <c r="I25">
        <v>1.011753934997377</v>
      </c>
    </row>
    <row r="26" spans="5:9">
      <c r="E26" s="118"/>
      <c r="F26">
        <v>22</v>
      </c>
      <c r="G26">
        <v>1.67</v>
      </c>
      <c r="H26">
        <v>0.98234046934903363</v>
      </c>
      <c r="I26">
        <v>1.011753934997377</v>
      </c>
    </row>
    <row r="27" spans="5:9">
      <c r="E27" s="118"/>
      <c r="F27">
        <v>23</v>
      </c>
      <c r="G27">
        <v>2</v>
      </c>
      <c r="H27">
        <v>0.98115749414995379</v>
      </c>
      <c r="I27">
        <v>1.011753934997377</v>
      </c>
    </row>
    <row r="28" spans="5:9">
      <c r="E28" s="118"/>
      <c r="F28">
        <v>24</v>
      </c>
      <c r="G28">
        <v>2.5</v>
      </c>
      <c r="H28">
        <v>0.977164138280044</v>
      </c>
      <c r="I28">
        <v>1.011753934997377</v>
      </c>
    </row>
    <row r="29" spans="5:9">
      <c r="E29" s="118"/>
      <c r="F29">
        <v>25</v>
      </c>
      <c r="G29">
        <v>0.3</v>
      </c>
      <c r="H29">
        <v>1.0030500553571471</v>
      </c>
      <c r="I29">
        <v>0.88539732001610139</v>
      </c>
    </row>
    <row r="30" spans="5:9">
      <c r="E30" s="118"/>
      <c r="F30">
        <v>26</v>
      </c>
      <c r="G30">
        <v>0.5</v>
      </c>
      <c r="H30">
        <v>1.0461504181072769</v>
      </c>
      <c r="I30">
        <v>0.88539732001610139</v>
      </c>
    </row>
    <row r="31" spans="5:9">
      <c r="E31" s="118"/>
      <c r="F31">
        <v>27</v>
      </c>
      <c r="G31">
        <v>0.75</v>
      </c>
      <c r="H31">
        <v>1.1167694034247846</v>
      </c>
      <c r="I31">
        <v>0.88539732001610139</v>
      </c>
    </row>
    <row r="32" spans="5:9">
      <c r="E32" s="118"/>
      <c r="F32">
        <v>28</v>
      </c>
      <c r="G32">
        <v>1</v>
      </c>
      <c r="H32">
        <v>1.1232110015575614</v>
      </c>
      <c r="I32">
        <v>0.88539732001610139</v>
      </c>
    </row>
    <row r="33" spans="5:9">
      <c r="E33" s="118"/>
      <c r="F33">
        <v>29</v>
      </c>
      <c r="G33">
        <v>1.33</v>
      </c>
      <c r="H33">
        <v>1.120401705403997</v>
      </c>
      <c r="I33">
        <v>0.88539732001610139</v>
      </c>
    </row>
    <row r="34" spans="5:9">
      <c r="E34" s="118"/>
      <c r="F34">
        <v>30</v>
      </c>
      <c r="G34">
        <v>1.67</v>
      </c>
      <c r="H34">
        <v>1.1190628727815295</v>
      </c>
      <c r="I34">
        <v>0.88539732001610139</v>
      </c>
    </row>
    <row r="35" spans="5:9">
      <c r="E35" s="118"/>
      <c r="F35">
        <v>31</v>
      </c>
      <c r="G35">
        <v>2</v>
      </c>
      <c r="H35">
        <v>1.1186678010135134</v>
      </c>
      <c r="I35">
        <v>0.88539732001610139</v>
      </c>
    </row>
    <row r="36" spans="5:9">
      <c r="E36" s="118"/>
      <c r="F36">
        <v>32</v>
      </c>
      <c r="G36">
        <v>2.5</v>
      </c>
      <c r="H36">
        <v>1.1155727406746716</v>
      </c>
      <c r="I36">
        <v>0.88539732001610139</v>
      </c>
    </row>
    <row r="37" spans="5:9">
      <c r="E37" s="118"/>
      <c r="F37">
        <v>33</v>
      </c>
      <c r="G37">
        <v>0.3</v>
      </c>
      <c r="H37">
        <v>0.98892643761899113</v>
      </c>
      <c r="I37">
        <v>0.81980691750807566</v>
      </c>
    </row>
    <row r="38" spans="5:9">
      <c r="E38" s="118"/>
      <c r="F38">
        <v>34</v>
      </c>
      <c r="G38">
        <v>0.5</v>
      </c>
      <c r="H38">
        <v>1.0282455922945244</v>
      </c>
      <c r="I38">
        <v>0.81980691750807566</v>
      </c>
    </row>
    <row r="39" spans="5:9">
      <c r="E39" s="118"/>
      <c r="F39">
        <v>35</v>
      </c>
      <c r="G39">
        <v>0.75</v>
      </c>
      <c r="H39">
        <v>1.1073114704521434</v>
      </c>
      <c r="I39">
        <v>0.81980691750807566</v>
      </c>
    </row>
    <row r="40" spans="5:9">
      <c r="E40" s="118"/>
      <c r="F40">
        <v>36</v>
      </c>
      <c r="G40">
        <v>1</v>
      </c>
      <c r="H40">
        <v>1.1508551166059751</v>
      </c>
      <c r="I40">
        <v>0.81980691750807566</v>
      </c>
    </row>
    <row r="41" spans="5:9">
      <c r="E41" s="118"/>
      <c r="F41">
        <v>37</v>
      </c>
      <c r="G41">
        <v>1.33</v>
      </c>
      <c r="H41">
        <v>1.1972922734217872</v>
      </c>
      <c r="I41">
        <v>0.81980691750807566</v>
      </c>
    </row>
    <row r="42" spans="5:9">
      <c r="E42" s="118"/>
      <c r="F42">
        <v>38</v>
      </c>
      <c r="G42">
        <v>1.67</v>
      </c>
      <c r="H42">
        <v>1.2038405163539616</v>
      </c>
      <c r="I42">
        <v>0.81980691750807566</v>
      </c>
    </row>
    <row r="43" spans="5:9">
      <c r="E43" s="118"/>
      <c r="F43">
        <v>39</v>
      </c>
      <c r="G43">
        <v>2</v>
      </c>
      <c r="H43">
        <v>1.2049918559937227</v>
      </c>
      <c r="I43">
        <v>0.81980691750807566</v>
      </c>
    </row>
    <row r="44" spans="5:9">
      <c r="E44" s="118"/>
      <c r="F44">
        <v>40</v>
      </c>
      <c r="G44">
        <v>2.5</v>
      </c>
      <c r="H44">
        <v>1.2051051845869043</v>
      </c>
      <c r="I44">
        <v>0.81980691750807566</v>
      </c>
    </row>
    <row r="45" spans="5:9">
      <c r="E45" s="118"/>
      <c r="F45">
        <v>41</v>
      </c>
      <c r="G45">
        <v>0.3</v>
      </c>
      <c r="H45">
        <v>0.97861977603142059</v>
      </c>
      <c r="I45">
        <v>0.81794598367806093</v>
      </c>
    </row>
    <row r="46" spans="5:9">
      <c r="E46" s="118"/>
      <c r="F46">
        <v>42</v>
      </c>
      <c r="G46">
        <v>0.5</v>
      </c>
      <c r="H46">
        <v>1.0067060303637687</v>
      </c>
      <c r="I46">
        <v>0.81794598367806093</v>
      </c>
    </row>
    <row r="47" spans="5:9">
      <c r="E47" s="118"/>
      <c r="F47">
        <v>43</v>
      </c>
      <c r="G47">
        <v>0.75</v>
      </c>
      <c r="H47">
        <v>1.0617454183345896</v>
      </c>
      <c r="I47">
        <v>0.81794598367806093</v>
      </c>
    </row>
    <row r="48" spans="5:9">
      <c r="E48" s="118"/>
      <c r="F48">
        <v>44</v>
      </c>
      <c r="G48">
        <v>1</v>
      </c>
      <c r="H48">
        <v>1.0989619391165721</v>
      </c>
      <c r="I48">
        <v>0.81794598367806093</v>
      </c>
    </row>
    <row r="49" spans="5:9">
      <c r="E49" s="118"/>
      <c r="F49">
        <v>45</v>
      </c>
      <c r="G49">
        <v>1.33</v>
      </c>
      <c r="H49">
        <v>1.174609243829341</v>
      </c>
      <c r="I49">
        <v>0.81794598367806093</v>
      </c>
    </row>
    <row r="50" spans="5:9">
      <c r="E50" s="118"/>
      <c r="F50">
        <v>46</v>
      </c>
      <c r="G50">
        <v>1.67</v>
      </c>
      <c r="H50">
        <v>1.1980226345355027</v>
      </c>
      <c r="I50">
        <v>0.81794598367806093</v>
      </c>
    </row>
    <row r="51" spans="5:9">
      <c r="E51" s="118"/>
      <c r="F51">
        <v>47</v>
      </c>
      <c r="G51">
        <v>2</v>
      </c>
      <c r="H51">
        <v>1.2036948102411857</v>
      </c>
      <c r="I51">
        <v>0.81794598367806093</v>
      </c>
    </row>
    <row r="52" spans="5:9">
      <c r="E52" s="118"/>
      <c r="F52">
        <v>48</v>
      </c>
      <c r="G52">
        <v>2.5</v>
      </c>
      <c r="H52">
        <v>1.2074691623621778</v>
      </c>
      <c r="I52">
        <v>0.81794598367806093</v>
      </c>
    </row>
    <row r="53" spans="5:9">
      <c r="E53" s="117" t="s">
        <v>924</v>
      </c>
      <c r="F53">
        <v>49</v>
      </c>
      <c r="G53">
        <v>0.3</v>
      </c>
      <c r="H53">
        <v>0.87289151915531404</v>
      </c>
      <c r="I53">
        <v>1.093434418979423</v>
      </c>
    </row>
    <row r="54" spans="5:9">
      <c r="E54" s="117"/>
      <c r="F54">
        <v>50</v>
      </c>
      <c r="G54">
        <v>0.5</v>
      </c>
      <c r="H54">
        <v>0.8853523129028783</v>
      </c>
      <c r="I54">
        <v>1.093434418979423</v>
      </c>
    </row>
    <row r="55" spans="5:9">
      <c r="E55" s="117"/>
      <c r="F55">
        <v>51</v>
      </c>
      <c r="G55">
        <v>0.75</v>
      </c>
      <c r="H55">
        <v>0.90266712960277251</v>
      </c>
      <c r="I55">
        <v>1.093434418979423</v>
      </c>
    </row>
    <row r="56" spans="5:9">
      <c r="E56" s="117"/>
      <c r="F56">
        <v>52</v>
      </c>
      <c r="G56">
        <v>1</v>
      </c>
      <c r="H56">
        <v>0.8991421724817229</v>
      </c>
      <c r="I56">
        <v>1.093434418979423</v>
      </c>
    </row>
    <row r="57" spans="5:9">
      <c r="E57" s="117"/>
      <c r="F57">
        <v>53</v>
      </c>
      <c r="G57">
        <v>1.33</v>
      </c>
      <c r="H57">
        <v>0.90554635554863661</v>
      </c>
      <c r="I57">
        <v>1.093434418979423</v>
      </c>
    </row>
    <row r="58" spans="5:9">
      <c r="E58" s="117"/>
      <c r="F58">
        <v>54</v>
      </c>
      <c r="G58">
        <v>1.67</v>
      </c>
      <c r="H58">
        <v>0.9057240408295345</v>
      </c>
      <c r="I58">
        <v>1.093434418979423</v>
      </c>
    </row>
    <row r="59" spans="5:9">
      <c r="E59" s="117"/>
      <c r="F59">
        <v>55</v>
      </c>
      <c r="G59">
        <v>2</v>
      </c>
      <c r="H59">
        <v>0.90575310680391585</v>
      </c>
      <c r="I59">
        <v>1.093434418979423</v>
      </c>
    </row>
    <row r="60" spans="5:9">
      <c r="E60" s="117"/>
      <c r="F60">
        <v>56</v>
      </c>
      <c r="G60">
        <v>2.5</v>
      </c>
      <c r="H60">
        <v>0.90653448624848376</v>
      </c>
      <c r="I60">
        <v>1.093434418979423</v>
      </c>
    </row>
    <row r="61" spans="5:9">
      <c r="E61" s="117"/>
      <c r="F61">
        <v>57</v>
      </c>
      <c r="G61">
        <v>0.3</v>
      </c>
      <c r="H61">
        <v>0.92211665552241473</v>
      </c>
      <c r="I61">
        <v>1.0166220561537915</v>
      </c>
    </row>
    <row r="62" spans="5:9">
      <c r="E62" s="117"/>
      <c r="F62">
        <v>58</v>
      </c>
      <c r="G62">
        <v>0.5</v>
      </c>
      <c r="H62">
        <v>0.96938172784610721</v>
      </c>
      <c r="I62">
        <v>1.0166220561537915</v>
      </c>
    </row>
    <row r="63" spans="5:9">
      <c r="E63" s="117"/>
      <c r="F63">
        <v>59</v>
      </c>
      <c r="G63">
        <v>0.75</v>
      </c>
      <c r="H63">
        <v>0.95914295669548744</v>
      </c>
      <c r="I63">
        <v>1.0166220561537915</v>
      </c>
    </row>
    <row r="64" spans="5:9">
      <c r="E64" s="117"/>
      <c r="F64">
        <v>60</v>
      </c>
      <c r="G64">
        <v>1</v>
      </c>
      <c r="H64">
        <v>0.95320802681564964</v>
      </c>
      <c r="I64">
        <v>1.0166220561537915</v>
      </c>
    </row>
    <row r="65" spans="5:9">
      <c r="E65" s="117"/>
      <c r="F65">
        <v>61</v>
      </c>
      <c r="G65">
        <v>1.33</v>
      </c>
      <c r="H65">
        <v>0.96611952818699298</v>
      </c>
      <c r="I65">
        <v>1.0166220561537915</v>
      </c>
    </row>
    <row r="66" spans="5:9">
      <c r="E66" s="117"/>
      <c r="F66">
        <v>62</v>
      </c>
      <c r="G66">
        <v>1.67</v>
      </c>
      <c r="H66">
        <v>0.96857363590908974</v>
      </c>
      <c r="I66">
        <v>1.0166220561537915</v>
      </c>
    </row>
    <row r="67" spans="5:9">
      <c r="E67" s="117"/>
      <c r="F67">
        <v>63</v>
      </c>
      <c r="G67">
        <v>2</v>
      </c>
      <c r="H67">
        <v>0.96931342947052057</v>
      </c>
      <c r="I67">
        <v>1.0166220561537915</v>
      </c>
    </row>
    <row r="68" spans="5:9">
      <c r="E68" s="117"/>
      <c r="F68">
        <v>64</v>
      </c>
      <c r="G68">
        <v>2.5</v>
      </c>
      <c r="H68">
        <v>0.97149634309696564</v>
      </c>
      <c r="I68">
        <v>1.0166220561537915</v>
      </c>
    </row>
    <row r="69" spans="5:9">
      <c r="E69" s="117"/>
      <c r="F69">
        <v>65</v>
      </c>
      <c r="G69">
        <v>0.3</v>
      </c>
      <c r="H69">
        <v>0.95057753033403525</v>
      </c>
      <c r="I69">
        <v>0.97094580084000337</v>
      </c>
    </row>
    <row r="70" spans="5:9">
      <c r="E70" s="117"/>
      <c r="F70">
        <v>66</v>
      </c>
      <c r="G70">
        <v>0.5</v>
      </c>
      <c r="H70">
        <v>0.99167728679837241</v>
      </c>
      <c r="I70">
        <v>0.97094580084000337</v>
      </c>
    </row>
    <row r="71" spans="5:9">
      <c r="E71" s="117"/>
      <c r="F71">
        <v>67</v>
      </c>
      <c r="G71">
        <v>0.75</v>
      </c>
      <c r="H71">
        <v>0.99186163640006553</v>
      </c>
      <c r="I71">
        <v>0.97094580084000337</v>
      </c>
    </row>
    <row r="72" spans="5:9">
      <c r="E72" s="117"/>
      <c r="F72">
        <v>68</v>
      </c>
      <c r="G72">
        <v>1</v>
      </c>
      <c r="H72">
        <v>0.98482505718835411</v>
      </c>
      <c r="I72">
        <v>0.97094580084000337</v>
      </c>
    </row>
    <row r="73" spans="5:9">
      <c r="E73" s="117"/>
      <c r="F73">
        <v>69</v>
      </c>
      <c r="G73">
        <v>1.33</v>
      </c>
      <c r="H73">
        <v>1.0041620709536518</v>
      </c>
      <c r="I73">
        <v>0.97094580084000337</v>
      </c>
    </row>
    <row r="74" spans="5:9">
      <c r="E74" s="117"/>
      <c r="F74">
        <v>70</v>
      </c>
      <c r="G74">
        <v>1.67</v>
      </c>
      <c r="H74">
        <v>1.0091222702907683</v>
      </c>
      <c r="I74">
        <v>0.97094580084000337</v>
      </c>
    </row>
    <row r="75" spans="5:9">
      <c r="E75" s="117"/>
      <c r="F75">
        <v>71</v>
      </c>
      <c r="G75">
        <v>2</v>
      </c>
      <c r="H75">
        <v>1.0107589885719299</v>
      </c>
      <c r="I75">
        <v>0.97094580084000337</v>
      </c>
    </row>
    <row r="76" spans="5:9">
      <c r="E76" s="117"/>
      <c r="F76">
        <v>72</v>
      </c>
      <c r="G76">
        <v>2.5</v>
      </c>
      <c r="H76">
        <v>1.0144089241179186</v>
      </c>
      <c r="I76">
        <v>0.97094580084000337</v>
      </c>
    </row>
    <row r="77" spans="5:9">
      <c r="E77" s="117"/>
      <c r="F77">
        <v>73</v>
      </c>
      <c r="G77">
        <v>0.3</v>
      </c>
      <c r="H77">
        <v>1.0095527533479247</v>
      </c>
      <c r="I77">
        <v>0.81482727293442681</v>
      </c>
    </row>
    <row r="78" spans="5:9">
      <c r="E78" s="117"/>
      <c r="F78">
        <v>74</v>
      </c>
      <c r="G78">
        <v>0.5</v>
      </c>
      <c r="H78">
        <v>1.0741800183280819</v>
      </c>
      <c r="I78">
        <v>0.81482727293442681</v>
      </c>
    </row>
    <row r="79" spans="5:9">
      <c r="E79" s="117"/>
      <c r="F79">
        <v>75</v>
      </c>
      <c r="G79">
        <v>0.75</v>
      </c>
      <c r="H79">
        <v>1.1070084257668173</v>
      </c>
      <c r="I79">
        <v>0.81482727293442681</v>
      </c>
    </row>
    <row r="80" spans="5:9">
      <c r="E80" s="117"/>
      <c r="F80">
        <v>76</v>
      </c>
      <c r="G80">
        <v>1</v>
      </c>
      <c r="H80">
        <v>1.1240519947733281</v>
      </c>
      <c r="I80">
        <v>0.81482727293442681</v>
      </c>
    </row>
    <row r="81" spans="5:9">
      <c r="E81" s="117"/>
      <c r="F81">
        <v>77</v>
      </c>
      <c r="G81">
        <v>1.33</v>
      </c>
      <c r="H81">
        <v>1.1642691975311368</v>
      </c>
      <c r="I81">
        <v>0.81482727293442681</v>
      </c>
    </row>
    <row r="82" spans="5:9">
      <c r="E82" s="117"/>
      <c r="F82">
        <v>78</v>
      </c>
      <c r="G82">
        <v>1.67</v>
      </c>
      <c r="H82">
        <v>1.1823656809107386</v>
      </c>
      <c r="I82">
        <v>0.81482727293442681</v>
      </c>
    </row>
    <row r="83" spans="5:9">
      <c r="E83" s="117"/>
      <c r="F83">
        <v>79</v>
      </c>
      <c r="G83">
        <v>2</v>
      </c>
      <c r="H83">
        <v>1.188610935836643</v>
      </c>
      <c r="I83">
        <v>0.81482727293442681</v>
      </c>
    </row>
    <row r="84" spans="5:9">
      <c r="E84" s="117"/>
      <c r="F84">
        <v>80</v>
      </c>
      <c r="G84">
        <v>2.5</v>
      </c>
      <c r="H84">
        <v>1.1950526707499711</v>
      </c>
      <c r="I84">
        <v>0.81482727293442681</v>
      </c>
    </row>
    <row r="85" spans="5:9">
      <c r="E85" s="117"/>
      <c r="F85">
        <v>81</v>
      </c>
      <c r="G85">
        <v>0.3</v>
      </c>
      <c r="H85">
        <v>0.97980400391029798</v>
      </c>
      <c r="I85">
        <v>0.66862420737717243</v>
      </c>
    </row>
    <row r="86" spans="5:9">
      <c r="E86" s="117"/>
      <c r="F86">
        <v>82</v>
      </c>
      <c r="G86">
        <v>0.5</v>
      </c>
      <c r="H86">
        <v>1.0205911188655339</v>
      </c>
      <c r="I86">
        <v>0.66862420737717243</v>
      </c>
    </row>
    <row r="87" spans="5:9">
      <c r="E87" s="117"/>
      <c r="F87">
        <v>83</v>
      </c>
      <c r="G87">
        <v>0.75</v>
      </c>
      <c r="H87">
        <v>1.0704030952011978</v>
      </c>
      <c r="I87">
        <v>0.66862420737717243</v>
      </c>
    </row>
    <row r="88" spans="5:9">
      <c r="E88" s="117"/>
      <c r="F88">
        <v>84</v>
      </c>
      <c r="G88">
        <v>1</v>
      </c>
      <c r="H88">
        <v>1.1102326249433569</v>
      </c>
      <c r="I88">
        <v>0.66862420737717243</v>
      </c>
    </row>
    <row r="89" spans="5:9">
      <c r="E89" s="117"/>
      <c r="F89">
        <v>85</v>
      </c>
      <c r="G89">
        <v>1.33</v>
      </c>
      <c r="H89">
        <v>1.2443519659723461</v>
      </c>
      <c r="I89">
        <v>0.66862420737717243</v>
      </c>
    </row>
    <row r="90" spans="5:9">
      <c r="E90" s="117"/>
      <c r="F90">
        <v>86</v>
      </c>
      <c r="G90">
        <v>1.67</v>
      </c>
      <c r="H90">
        <v>1.3321724578481891</v>
      </c>
      <c r="I90">
        <v>0.66862420737717243</v>
      </c>
    </row>
    <row r="91" spans="5:9">
      <c r="E91" s="117"/>
      <c r="F91">
        <v>87</v>
      </c>
      <c r="G91">
        <v>2</v>
      </c>
      <c r="H91">
        <v>1.3685131282767748</v>
      </c>
      <c r="I91">
        <v>0.66862420737717243</v>
      </c>
    </row>
    <row r="92" spans="5:9">
      <c r="E92" s="117"/>
      <c r="F92">
        <v>88</v>
      </c>
      <c r="G92">
        <v>2.5</v>
      </c>
      <c r="H92">
        <v>1.3963421087933217</v>
      </c>
      <c r="I92">
        <v>0.66862420737717243</v>
      </c>
    </row>
    <row r="93" spans="5:9">
      <c r="E93" s="117"/>
      <c r="F93">
        <v>89</v>
      </c>
      <c r="G93">
        <v>0.3</v>
      </c>
      <c r="H93">
        <v>0.94268637734571137</v>
      </c>
      <c r="I93">
        <v>0.58600394911666143</v>
      </c>
    </row>
    <row r="94" spans="5:9">
      <c r="E94" s="117"/>
      <c r="F94">
        <v>90</v>
      </c>
      <c r="G94">
        <v>0.5</v>
      </c>
      <c r="H94">
        <v>0.97497020534097545</v>
      </c>
      <c r="I94">
        <v>0.58600394911666143</v>
      </c>
    </row>
    <row r="95" spans="5:9">
      <c r="E95" s="117"/>
      <c r="F95">
        <v>91</v>
      </c>
      <c r="G95">
        <v>0.75</v>
      </c>
      <c r="H95">
        <v>0.98385264208557266</v>
      </c>
      <c r="I95">
        <v>0.58600394911666143</v>
      </c>
    </row>
    <row r="96" spans="5:9">
      <c r="E96" s="117"/>
      <c r="F96">
        <v>92</v>
      </c>
      <c r="G96">
        <v>1</v>
      </c>
      <c r="H96">
        <v>0.97378735322300991</v>
      </c>
      <c r="I96">
        <v>0.58600394911666143</v>
      </c>
    </row>
    <row r="97" spans="5:9">
      <c r="E97" s="117"/>
      <c r="F97">
        <v>93</v>
      </c>
      <c r="G97">
        <v>1.33</v>
      </c>
      <c r="H97">
        <v>1.0827948117655137</v>
      </c>
      <c r="I97">
        <v>0.58600394911666143</v>
      </c>
    </row>
    <row r="98" spans="5:9">
      <c r="E98" s="117"/>
      <c r="F98">
        <v>94</v>
      </c>
      <c r="G98">
        <v>1.67</v>
      </c>
      <c r="H98">
        <v>1.218715174879007</v>
      </c>
      <c r="I98">
        <v>0.58600394911666143</v>
      </c>
    </row>
    <row r="99" spans="5:9">
      <c r="E99" s="117"/>
      <c r="F99">
        <v>95</v>
      </c>
      <c r="G99">
        <v>2</v>
      </c>
      <c r="H99">
        <v>1.3132921918665295</v>
      </c>
      <c r="I99">
        <v>0.58600394911666143</v>
      </c>
    </row>
    <row r="100" spans="5:9">
      <c r="E100" s="117"/>
      <c r="F100">
        <v>96</v>
      </c>
      <c r="G100">
        <v>2.5</v>
      </c>
      <c r="H100">
        <v>1.4047764335741024</v>
      </c>
      <c r="I100">
        <v>0.58600394911666143</v>
      </c>
    </row>
    <row r="101" spans="5:9">
      <c r="E101" s="118" t="s">
        <v>925</v>
      </c>
      <c r="F101">
        <v>97</v>
      </c>
      <c r="G101">
        <v>0.3</v>
      </c>
      <c r="H101">
        <v>0.78822948602151488</v>
      </c>
      <c r="I101">
        <v>1.1097256933415107</v>
      </c>
    </row>
    <row r="102" spans="5:9">
      <c r="E102" s="118"/>
      <c r="F102">
        <v>98</v>
      </c>
      <c r="G102">
        <v>0.5</v>
      </c>
      <c r="H102">
        <v>0.78432670634655777</v>
      </c>
      <c r="I102">
        <v>1.1097256933415107</v>
      </c>
    </row>
    <row r="103" spans="5:9">
      <c r="E103" s="118"/>
      <c r="F103">
        <v>99</v>
      </c>
      <c r="G103">
        <v>0.75</v>
      </c>
      <c r="H103">
        <v>0.8228673022855062</v>
      </c>
      <c r="I103">
        <v>1.1097256933415107</v>
      </c>
    </row>
    <row r="104" spans="5:9">
      <c r="E104" s="118"/>
      <c r="F104">
        <v>100</v>
      </c>
      <c r="G104">
        <v>1</v>
      </c>
      <c r="H104">
        <v>0.83279933205598267</v>
      </c>
      <c r="I104">
        <v>1.1097256933415107</v>
      </c>
    </row>
    <row r="105" spans="5:9">
      <c r="E105" s="118"/>
      <c r="F105">
        <v>101</v>
      </c>
      <c r="G105">
        <v>1.33</v>
      </c>
      <c r="H105">
        <v>0.8672061156014953</v>
      </c>
      <c r="I105">
        <v>1.1097256933415107</v>
      </c>
    </row>
    <row r="106" spans="5:9">
      <c r="E106" s="118"/>
      <c r="F106">
        <v>102</v>
      </c>
      <c r="G106">
        <v>1.67</v>
      </c>
      <c r="H106">
        <v>0.8692370672908275</v>
      </c>
      <c r="I106">
        <v>1.1097256933415107</v>
      </c>
    </row>
    <row r="107" spans="5:9">
      <c r="E107" s="118"/>
      <c r="F107">
        <v>103</v>
      </c>
      <c r="G107">
        <v>2</v>
      </c>
      <c r="H107">
        <v>0.86223480703988808</v>
      </c>
      <c r="I107">
        <v>1.1097256933415107</v>
      </c>
    </row>
    <row r="108" spans="5:9">
      <c r="E108" s="118"/>
      <c r="F108">
        <v>104</v>
      </c>
      <c r="G108">
        <v>2.5</v>
      </c>
      <c r="H108">
        <v>0.86500724296577236</v>
      </c>
      <c r="I108">
        <v>1.1097256933415107</v>
      </c>
    </row>
    <row r="109" spans="5:9">
      <c r="E109" s="118"/>
      <c r="F109">
        <v>105</v>
      </c>
      <c r="G109">
        <v>0.3</v>
      </c>
      <c r="H109">
        <v>0.85009150352089891</v>
      </c>
      <c r="I109">
        <v>1.0215187844376274</v>
      </c>
    </row>
    <row r="110" spans="5:9">
      <c r="E110" s="118"/>
      <c r="F110">
        <v>106</v>
      </c>
      <c r="G110">
        <v>0.5</v>
      </c>
      <c r="H110">
        <v>0.84561901306650444</v>
      </c>
      <c r="I110">
        <v>1.0215187844376274</v>
      </c>
    </row>
    <row r="111" spans="5:9">
      <c r="E111" s="118"/>
      <c r="F111">
        <v>107</v>
      </c>
      <c r="G111">
        <v>0.75</v>
      </c>
      <c r="H111">
        <v>0.88484482325131208</v>
      </c>
      <c r="I111">
        <v>1.0215187844376274</v>
      </c>
    </row>
    <row r="112" spans="5:9">
      <c r="E112" s="118"/>
      <c r="F112">
        <v>108</v>
      </c>
      <c r="G112">
        <v>1</v>
      </c>
      <c r="H112">
        <v>0.89462727368440642</v>
      </c>
      <c r="I112">
        <v>1.0215187844376274</v>
      </c>
    </row>
    <row r="113" spans="5:9">
      <c r="E113" s="118"/>
      <c r="F113">
        <v>109</v>
      </c>
      <c r="G113">
        <v>1.33</v>
      </c>
      <c r="H113">
        <v>0.93801851460489671</v>
      </c>
      <c r="I113">
        <v>1.0215187844376274</v>
      </c>
    </row>
    <row r="114" spans="5:9">
      <c r="E114" s="118"/>
      <c r="F114">
        <v>110</v>
      </c>
      <c r="G114">
        <v>1.67</v>
      </c>
      <c r="H114">
        <v>0.94010754749194447</v>
      </c>
      <c r="I114">
        <v>1.0215187844376274</v>
      </c>
    </row>
    <row r="115" spans="5:9">
      <c r="E115" s="118"/>
      <c r="F115">
        <v>111</v>
      </c>
      <c r="G115">
        <v>2</v>
      </c>
      <c r="H115">
        <v>0.92985620685936698</v>
      </c>
      <c r="I115">
        <v>1.0215187844376274</v>
      </c>
    </row>
    <row r="116" spans="5:9">
      <c r="E116" s="118"/>
      <c r="F116">
        <v>112</v>
      </c>
      <c r="G116">
        <v>2.5</v>
      </c>
      <c r="H116">
        <v>0.93035504322121132</v>
      </c>
      <c r="I116">
        <v>1.0215187844376274</v>
      </c>
    </row>
    <row r="117" spans="5:9">
      <c r="E117" s="118"/>
      <c r="F117">
        <v>113</v>
      </c>
      <c r="G117">
        <v>0.3</v>
      </c>
      <c r="H117">
        <v>0.86165880477826873</v>
      </c>
      <c r="I117">
        <v>0.99455998951003011</v>
      </c>
    </row>
    <row r="118" spans="5:9">
      <c r="E118" s="118"/>
      <c r="F118">
        <v>114</v>
      </c>
      <c r="G118">
        <v>0.5</v>
      </c>
      <c r="H118">
        <v>0.86221131904132309</v>
      </c>
      <c r="I118">
        <v>0.99455998951003011</v>
      </c>
    </row>
    <row r="119" spans="5:9">
      <c r="E119" s="118"/>
      <c r="F119">
        <v>115</v>
      </c>
      <c r="G119">
        <v>0.75</v>
      </c>
      <c r="H119">
        <v>0.8989387394905255</v>
      </c>
      <c r="I119">
        <v>0.99455998951003011</v>
      </c>
    </row>
    <row r="120" spans="5:9">
      <c r="E120" s="118"/>
      <c r="F120">
        <v>116</v>
      </c>
      <c r="G120">
        <v>1</v>
      </c>
      <c r="H120">
        <v>0.91169290174034723</v>
      </c>
      <c r="I120">
        <v>0.99455998951003011</v>
      </c>
    </row>
    <row r="121" spans="5:9">
      <c r="E121" s="118"/>
      <c r="F121">
        <v>117</v>
      </c>
      <c r="G121">
        <v>1.33</v>
      </c>
      <c r="H121">
        <v>0.96037152408315418</v>
      </c>
      <c r="I121">
        <v>0.99455998951003011</v>
      </c>
    </row>
    <row r="122" spans="5:9">
      <c r="E122" s="118"/>
      <c r="F122">
        <v>118</v>
      </c>
      <c r="G122">
        <v>1.67</v>
      </c>
      <c r="H122">
        <v>0.96332947814817604</v>
      </c>
      <c r="I122">
        <v>0.99455998951003011</v>
      </c>
    </row>
    <row r="123" spans="5:9">
      <c r="E123" s="118"/>
      <c r="F123">
        <v>119</v>
      </c>
      <c r="G123">
        <v>2</v>
      </c>
      <c r="H123">
        <v>0.95112042473177072</v>
      </c>
      <c r="I123">
        <v>0.99455998951003011</v>
      </c>
    </row>
    <row r="124" spans="5:9">
      <c r="E124" s="118"/>
      <c r="F124">
        <v>120</v>
      </c>
      <c r="G124">
        <v>2.5</v>
      </c>
      <c r="H124">
        <v>0.95037100071941527</v>
      </c>
      <c r="I124">
        <v>0.99455998951003011</v>
      </c>
    </row>
    <row r="125" spans="5:9">
      <c r="E125" s="118"/>
      <c r="F125">
        <v>121</v>
      </c>
      <c r="G125">
        <v>0.3</v>
      </c>
      <c r="H125">
        <v>0.87019082342736032</v>
      </c>
      <c r="I125">
        <v>0.8964760272778769</v>
      </c>
    </row>
    <row r="126" spans="5:9">
      <c r="E126" s="118"/>
      <c r="F126">
        <v>122</v>
      </c>
      <c r="G126">
        <v>0.5</v>
      </c>
      <c r="H126">
        <v>0.90522229116932607</v>
      </c>
      <c r="I126">
        <v>0.8964760272778769</v>
      </c>
    </row>
    <row r="127" spans="5:9">
      <c r="E127" s="118"/>
      <c r="F127">
        <v>123</v>
      </c>
      <c r="G127">
        <v>0.75</v>
      </c>
      <c r="H127">
        <v>0.96200992089599024</v>
      </c>
      <c r="I127">
        <v>0.8964760272778769</v>
      </c>
    </row>
    <row r="128" spans="5:9">
      <c r="E128" s="118"/>
      <c r="F128">
        <v>124</v>
      </c>
      <c r="G128">
        <v>1</v>
      </c>
      <c r="H128">
        <v>0.99188947409077644</v>
      </c>
      <c r="I128">
        <v>0.8964760272778769</v>
      </c>
    </row>
    <row r="129" spans="5:9">
      <c r="E129" s="118"/>
      <c r="F129">
        <v>125</v>
      </c>
      <c r="G129">
        <v>1.33</v>
      </c>
      <c r="H129">
        <v>1.0578184149745795</v>
      </c>
      <c r="I129">
        <v>0.8964760272778769</v>
      </c>
    </row>
    <row r="130" spans="5:9">
      <c r="E130" s="118"/>
      <c r="F130">
        <v>126</v>
      </c>
      <c r="G130">
        <v>1.67</v>
      </c>
      <c r="H130">
        <v>1.0648419888525475</v>
      </c>
      <c r="I130">
        <v>0.8964760272778769</v>
      </c>
    </row>
    <row r="131" spans="5:9">
      <c r="E131" s="118"/>
      <c r="F131">
        <v>127</v>
      </c>
      <c r="G131">
        <v>2</v>
      </c>
      <c r="H131">
        <v>1.0488344921021784</v>
      </c>
      <c r="I131">
        <v>0.8964760272778769</v>
      </c>
    </row>
    <row r="132" spans="5:9">
      <c r="E132" s="118"/>
      <c r="F132">
        <v>128</v>
      </c>
      <c r="G132">
        <v>2.5</v>
      </c>
      <c r="H132">
        <v>1.0455624762831761</v>
      </c>
      <c r="I132">
        <v>0.8964760272778769</v>
      </c>
    </row>
    <row r="133" spans="5:9">
      <c r="E133" s="118"/>
      <c r="F133">
        <v>129</v>
      </c>
      <c r="G133">
        <v>0.3</v>
      </c>
      <c r="H133">
        <v>0.86397130024629065</v>
      </c>
      <c r="I133">
        <v>0.87128800210660096</v>
      </c>
    </row>
    <row r="134" spans="5:9">
      <c r="E134" s="118"/>
      <c r="F134">
        <v>130</v>
      </c>
      <c r="G134">
        <v>0.5</v>
      </c>
      <c r="H134">
        <v>0.87469619546463095</v>
      </c>
      <c r="I134">
        <v>0.87128800210660096</v>
      </c>
    </row>
    <row r="135" spans="5:9">
      <c r="E135" s="118"/>
      <c r="F135">
        <v>131</v>
      </c>
      <c r="G135">
        <v>0.75</v>
      </c>
      <c r="H135">
        <v>0.91608055835076618</v>
      </c>
      <c r="I135">
        <v>0.87128800210660096</v>
      </c>
    </row>
    <row r="136" spans="5:9">
      <c r="E136" s="118"/>
      <c r="F136">
        <v>132</v>
      </c>
      <c r="G136">
        <v>1</v>
      </c>
      <c r="H136">
        <v>0.97062842091001766</v>
      </c>
      <c r="I136">
        <v>0.87128800210660096</v>
      </c>
    </row>
    <row r="137" spans="5:9">
      <c r="E137" s="118"/>
      <c r="F137">
        <v>133</v>
      </c>
      <c r="G137">
        <v>1.33</v>
      </c>
      <c r="H137">
        <v>1.0743794227667074</v>
      </c>
      <c r="I137">
        <v>0.87128800210660096</v>
      </c>
    </row>
    <row r="138" spans="5:9">
      <c r="E138" s="118"/>
      <c r="F138">
        <v>134</v>
      </c>
      <c r="G138">
        <v>1.67</v>
      </c>
      <c r="H138">
        <v>1.0925934508158242</v>
      </c>
      <c r="I138">
        <v>0.87128800210660096</v>
      </c>
    </row>
    <row r="139" spans="5:9">
      <c r="E139" s="118"/>
      <c r="F139">
        <v>135</v>
      </c>
      <c r="G139">
        <v>2</v>
      </c>
      <c r="H139">
        <v>1.0744024041475393</v>
      </c>
      <c r="I139">
        <v>0.87128800210660096</v>
      </c>
    </row>
    <row r="140" spans="5:9">
      <c r="E140" s="118"/>
      <c r="F140">
        <v>136</v>
      </c>
      <c r="G140">
        <v>2.5</v>
      </c>
      <c r="H140">
        <v>1.0691109869829696</v>
      </c>
      <c r="I140">
        <v>0.87128800210660096</v>
      </c>
    </row>
    <row r="141" spans="5:9">
      <c r="E141" s="118"/>
      <c r="F141">
        <v>137</v>
      </c>
      <c r="G141">
        <v>0.3</v>
      </c>
      <c r="H141">
        <v>0.86194494040745717</v>
      </c>
      <c r="I141">
        <v>0.86587161690105752</v>
      </c>
    </row>
    <row r="142" spans="5:9">
      <c r="E142" s="118"/>
      <c r="F142">
        <v>138</v>
      </c>
      <c r="G142">
        <v>0.5</v>
      </c>
      <c r="H142">
        <v>0.86133079136215129</v>
      </c>
      <c r="I142">
        <v>0.86587161690105752</v>
      </c>
    </row>
    <row r="143" spans="5:9">
      <c r="E143" s="118"/>
      <c r="F143">
        <v>139</v>
      </c>
      <c r="G143">
        <v>0.75</v>
      </c>
      <c r="H143">
        <v>0.87814700841647442</v>
      </c>
      <c r="I143">
        <v>0.86587161690105752</v>
      </c>
    </row>
    <row r="144" spans="5:9">
      <c r="E144" s="118"/>
      <c r="F144">
        <v>140</v>
      </c>
      <c r="G144">
        <v>1</v>
      </c>
      <c r="H144">
        <v>0.93199503520191707</v>
      </c>
      <c r="I144">
        <v>0.86587161690105752</v>
      </c>
    </row>
    <row r="145" spans="5:9">
      <c r="E145" s="118"/>
      <c r="F145">
        <v>141</v>
      </c>
      <c r="G145">
        <v>1.33</v>
      </c>
      <c r="H145">
        <v>1.0541571986381719</v>
      </c>
      <c r="I145">
        <v>0.86587161690105752</v>
      </c>
    </row>
    <row r="146" spans="5:9">
      <c r="E146" s="118"/>
      <c r="F146">
        <v>142</v>
      </c>
      <c r="G146">
        <v>1.67</v>
      </c>
      <c r="H146">
        <v>1.0947671563347796</v>
      </c>
      <c r="I146">
        <v>0.86587161690105752</v>
      </c>
    </row>
    <row r="147" spans="5:9">
      <c r="E147" s="118"/>
      <c r="F147">
        <v>143</v>
      </c>
      <c r="G147">
        <v>2</v>
      </c>
      <c r="H147">
        <v>1.077313042277523</v>
      </c>
      <c r="I147">
        <v>0.86587161690105752</v>
      </c>
    </row>
    <row r="148" spans="5:9">
      <c r="E148" s="118"/>
      <c r="F148">
        <v>144</v>
      </c>
      <c r="G148">
        <v>2.5</v>
      </c>
      <c r="H148">
        <v>1.070714315594522</v>
      </c>
      <c r="I148">
        <v>0.86587161690105752</v>
      </c>
    </row>
    <row r="149" spans="5:9">
      <c r="E149" s="117" t="s">
        <v>926</v>
      </c>
      <c r="F149">
        <v>145</v>
      </c>
      <c r="G149">
        <v>0.3</v>
      </c>
      <c r="H149">
        <v>0.84684422631016165</v>
      </c>
      <c r="I149">
        <v>1.0341744345176882</v>
      </c>
    </row>
    <row r="150" spans="5:9">
      <c r="E150" s="117"/>
      <c r="F150">
        <v>146</v>
      </c>
      <c r="G150">
        <v>0.5</v>
      </c>
      <c r="H150">
        <v>0.82449627689330829</v>
      </c>
      <c r="I150">
        <v>1.0341744345176882</v>
      </c>
    </row>
    <row r="151" spans="5:9">
      <c r="E151" s="117"/>
      <c r="F151">
        <v>147</v>
      </c>
      <c r="G151">
        <v>0.75</v>
      </c>
      <c r="H151">
        <v>0.81299629170261567</v>
      </c>
      <c r="I151">
        <v>1.0341744345176882</v>
      </c>
    </row>
    <row r="152" spans="5:9">
      <c r="E152" s="117"/>
      <c r="F152">
        <v>148</v>
      </c>
      <c r="G152">
        <v>1</v>
      </c>
      <c r="H152">
        <v>0.84351067639237653</v>
      </c>
      <c r="I152">
        <v>1.0341744345176882</v>
      </c>
    </row>
    <row r="153" spans="5:9">
      <c r="E153" s="117"/>
      <c r="F153">
        <v>149</v>
      </c>
      <c r="G153">
        <v>1.33</v>
      </c>
      <c r="H153">
        <v>0.91048107651651589</v>
      </c>
      <c r="I153">
        <v>1.0341744345176882</v>
      </c>
    </row>
    <row r="154" spans="5:9">
      <c r="E154" s="117"/>
      <c r="F154">
        <v>150</v>
      </c>
      <c r="G154">
        <v>1.67</v>
      </c>
      <c r="H154">
        <v>0.92060676694830446</v>
      </c>
      <c r="I154">
        <v>1.0341744345176882</v>
      </c>
    </row>
    <row r="155" spans="5:9">
      <c r="E155" s="117"/>
      <c r="F155">
        <v>151</v>
      </c>
      <c r="G155">
        <v>2</v>
      </c>
      <c r="H155">
        <v>0.90142636768629991</v>
      </c>
      <c r="I155">
        <v>1.0341744345176882</v>
      </c>
    </row>
    <row r="156" spans="5:9">
      <c r="E156" s="117"/>
      <c r="F156">
        <v>152</v>
      </c>
      <c r="G156">
        <v>2.5</v>
      </c>
      <c r="H156">
        <v>0.89389105588166096</v>
      </c>
      <c r="I156">
        <v>1.0341744345176882</v>
      </c>
    </row>
    <row r="157" spans="5:9">
      <c r="E157" s="117"/>
      <c r="F157">
        <v>153</v>
      </c>
      <c r="G157">
        <v>0.3</v>
      </c>
      <c r="H157">
        <v>0.84785998401553264</v>
      </c>
      <c r="I157">
        <v>0.99750509680050548</v>
      </c>
    </row>
    <row r="158" spans="5:9">
      <c r="E158" s="117"/>
      <c r="F158">
        <v>154</v>
      </c>
      <c r="G158">
        <v>0.5</v>
      </c>
      <c r="H158">
        <v>0.8370664959912163</v>
      </c>
      <c r="I158">
        <v>0.99750509680050548</v>
      </c>
    </row>
    <row r="159" spans="5:9">
      <c r="E159" s="117"/>
      <c r="F159">
        <v>155</v>
      </c>
      <c r="G159">
        <v>0.75</v>
      </c>
      <c r="H159">
        <v>0.83134174970147201</v>
      </c>
      <c r="I159">
        <v>0.99750509680050548</v>
      </c>
    </row>
    <row r="160" spans="5:9">
      <c r="E160" s="117"/>
      <c r="F160">
        <v>156</v>
      </c>
      <c r="G160">
        <v>1</v>
      </c>
      <c r="H160">
        <v>0.8595863736103504</v>
      </c>
      <c r="I160">
        <v>0.99750509680050548</v>
      </c>
    </row>
    <row r="161" spans="5:9">
      <c r="E161" s="117"/>
      <c r="F161">
        <v>157</v>
      </c>
      <c r="G161">
        <v>1.33</v>
      </c>
      <c r="H161">
        <v>0.93139066087684375</v>
      </c>
      <c r="I161">
        <v>0.99750509680050548</v>
      </c>
    </row>
    <row r="162" spans="5:9">
      <c r="E162" s="117"/>
      <c r="F162">
        <v>158</v>
      </c>
      <c r="G162">
        <v>1.67</v>
      </c>
      <c r="H162">
        <v>0.94704799604412504</v>
      </c>
      <c r="I162">
        <v>0.99750509680050548</v>
      </c>
    </row>
    <row r="163" spans="5:9">
      <c r="E163" s="117"/>
      <c r="F163">
        <v>159</v>
      </c>
      <c r="G163">
        <v>2</v>
      </c>
      <c r="H163">
        <v>0.92879527232714976</v>
      </c>
      <c r="I163">
        <v>0.99750509680050548</v>
      </c>
    </row>
    <row r="164" spans="5:9">
      <c r="E164" s="117"/>
      <c r="F164">
        <v>160</v>
      </c>
      <c r="G164">
        <v>2.5</v>
      </c>
      <c r="H164">
        <v>0.92186553134495353</v>
      </c>
      <c r="I164">
        <v>0.99750509680050548</v>
      </c>
    </row>
    <row r="165" spans="5:9">
      <c r="E165" s="117"/>
      <c r="F165">
        <v>161</v>
      </c>
      <c r="G165">
        <v>0.3</v>
      </c>
      <c r="H165">
        <v>0.84706245057966556</v>
      </c>
      <c r="I165">
        <v>0.9426544378140097</v>
      </c>
    </row>
    <row r="166" spans="5:9">
      <c r="E166" s="117"/>
      <c r="F166">
        <v>162</v>
      </c>
      <c r="G166">
        <v>0.5</v>
      </c>
      <c r="H166">
        <v>0.85567071240966586</v>
      </c>
      <c r="I166">
        <v>0.9426544378140097</v>
      </c>
    </row>
    <row r="167" spans="5:9">
      <c r="E167" s="117"/>
      <c r="F167">
        <v>163</v>
      </c>
      <c r="G167">
        <v>0.75</v>
      </c>
      <c r="H167">
        <v>0.86520348219316823</v>
      </c>
      <c r="I167">
        <v>0.9426544378140097</v>
      </c>
    </row>
    <row r="168" spans="5:9">
      <c r="E168" s="117"/>
      <c r="F168">
        <v>164</v>
      </c>
      <c r="G168">
        <v>1</v>
      </c>
      <c r="H168">
        <v>0.89383974865964633</v>
      </c>
      <c r="I168">
        <v>0.9426544378140097</v>
      </c>
    </row>
    <row r="169" spans="5:9">
      <c r="E169" s="117"/>
      <c r="F169">
        <v>165</v>
      </c>
      <c r="G169">
        <v>1.33</v>
      </c>
      <c r="H169">
        <v>0.97367220460602155</v>
      </c>
      <c r="I169">
        <v>0.9426544378140097</v>
      </c>
    </row>
    <row r="170" spans="5:9">
      <c r="E170" s="117"/>
      <c r="F170">
        <v>166</v>
      </c>
      <c r="G170">
        <v>1.67</v>
      </c>
      <c r="H170">
        <v>0.99576978757300949</v>
      </c>
      <c r="I170">
        <v>0.9426544378140097</v>
      </c>
    </row>
    <row r="171" spans="5:9">
      <c r="E171" s="117"/>
      <c r="F171">
        <v>167</v>
      </c>
      <c r="G171">
        <v>2</v>
      </c>
      <c r="H171">
        <v>0.97814217998978514</v>
      </c>
      <c r="I171">
        <v>0.9426544378140097</v>
      </c>
    </row>
    <row r="172" spans="5:9">
      <c r="E172" s="117"/>
      <c r="F172">
        <v>168</v>
      </c>
      <c r="G172">
        <v>2.5</v>
      </c>
      <c r="H172">
        <v>0.97139913814416157</v>
      </c>
      <c r="I172">
        <v>0.9426544378140097</v>
      </c>
    </row>
    <row r="173" spans="5:9">
      <c r="E173" s="117"/>
      <c r="F173">
        <v>169</v>
      </c>
      <c r="G173">
        <v>0.3</v>
      </c>
      <c r="H173">
        <v>0.84596454413262578</v>
      </c>
      <c r="I173">
        <v>0.79953283252729768</v>
      </c>
    </row>
    <row r="174" spans="5:9">
      <c r="E174" s="117"/>
      <c r="F174">
        <v>170</v>
      </c>
      <c r="G174">
        <v>0.5</v>
      </c>
      <c r="H174">
        <v>0.88257937452915725</v>
      </c>
      <c r="I174">
        <v>0.79953283252729768</v>
      </c>
    </row>
    <row r="175" spans="5:9">
      <c r="E175" s="117"/>
      <c r="F175">
        <v>171</v>
      </c>
      <c r="G175">
        <v>0.75</v>
      </c>
      <c r="H175">
        <v>0.93576123694296987</v>
      </c>
      <c r="I175">
        <v>0.79953283252729768</v>
      </c>
    </row>
    <row r="176" spans="5:9">
      <c r="E176" s="117"/>
      <c r="F176">
        <v>172</v>
      </c>
      <c r="G176">
        <v>1</v>
      </c>
      <c r="H176">
        <v>0.98238690576220455</v>
      </c>
      <c r="I176">
        <v>0.79953283252729768</v>
      </c>
    </row>
    <row r="177" spans="5:9">
      <c r="E177" s="117"/>
      <c r="F177">
        <v>173</v>
      </c>
      <c r="G177">
        <v>1.33</v>
      </c>
      <c r="H177">
        <v>1.0974482125569518</v>
      </c>
      <c r="I177">
        <v>0.79953283252729768</v>
      </c>
    </row>
    <row r="178" spans="5:9">
      <c r="E178" s="117"/>
      <c r="F178">
        <v>174</v>
      </c>
      <c r="G178">
        <v>1.67</v>
      </c>
      <c r="H178">
        <v>1.1480209872637253</v>
      </c>
      <c r="I178">
        <v>0.79953283252729768</v>
      </c>
    </row>
    <row r="179" spans="5:9">
      <c r="E179" s="117"/>
      <c r="F179">
        <v>175</v>
      </c>
      <c r="G179">
        <v>2</v>
      </c>
      <c r="H179">
        <v>1.1357394122621103</v>
      </c>
      <c r="I179">
        <v>0.79953283252729768</v>
      </c>
    </row>
    <row r="180" spans="5:9">
      <c r="E180" s="117"/>
      <c r="F180">
        <v>176</v>
      </c>
      <c r="G180">
        <v>2.5</v>
      </c>
      <c r="H180">
        <v>1.1304768205433189</v>
      </c>
      <c r="I180">
        <v>0.79953283252729768</v>
      </c>
    </row>
    <row r="181" spans="5:9">
      <c r="E181" s="117"/>
      <c r="F181">
        <v>177</v>
      </c>
      <c r="G181">
        <v>0.3</v>
      </c>
      <c r="H181">
        <v>0.83314956468108226</v>
      </c>
      <c r="I181">
        <v>0.66206942736160623</v>
      </c>
    </row>
    <row r="182" spans="5:9">
      <c r="E182" s="117"/>
      <c r="F182">
        <v>178</v>
      </c>
      <c r="G182">
        <v>0.5</v>
      </c>
      <c r="H182">
        <v>0.85352107158563217</v>
      </c>
      <c r="I182">
        <v>0.66206942736160623</v>
      </c>
    </row>
    <row r="183" spans="5:9">
      <c r="E183" s="117"/>
      <c r="F183">
        <v>179</v>
      </c>
      <c r="G183">
        <v>0.75</v>
      </c>
      <c r="H183">
        <v>0.87736375873089634</v>
      </c>
      <c r="I183">
        <v>0.66206942736160623</v>
      </c>
    </row>
    <row r="184" spans="5:9">
      <c r="E184" s="117"/>
      <c r="F184">
        <v>180</v>
      </c>
      <c r="G184">
        <v>1</v>
      </c>
      <c r="H184">
        <v>0.92525670234520063</v>
      </c>
      <c r="I184">
        <v>0.66206942736160623</v>
      </c>
    </row>
    <row r="185" spans="5:9">
      <c r="E185" s="117"/>
      <c r="F185">
        <v>181</v>
      </c>
      <c r="G185">
        <v>1.33</v>
      </c>
      <c r="H185">
        <v>1.0917282721502326</v>
      </c>
      <c r="I185">
        <v>0.66206942736160623</v>
      </c>
    </row>
    <row r="186" spans="5:9">
      <c r="E186" s="117"/>
      <c r="F186">
        <v>182</v>
      </c>
      <c r="G186">
        <v>1.67</v>
      </c>
      <c r="H186">
        <v>1.2223474736185891</v>
      </c>
      <c r="I186">
        <v>0.66206942736160623</v>
      </c>
    </row>
    <row r="187" spans="5:9">
      <c r="E187" s="117"/>
      <c r="F187">
        <v>183</v>
      </c>
      <c r="G187">
        <v>2</v>
      </c>
      <c r="H187">
        <v>1.2692385897168403</v>
      </c>
      <c r="I187">
        <v>0.66206942736160623</v>
      </c>
    </row>
    <row r="188" spans="5:9">
      <c r="E188" s="117"/>
      <c r="F188">
        <v>184</v>
      </c>
      <c r="G188">
        <v>2.5</v>
      </c>
      <c r="H188">
        <v>1.2906260520306219</v>
      </c>
      <c r="I188">
        <v>0.66206942736160623</v>
      </c>
    </row>
    <row r="189" spans="5:9">
      <c r="E189" s="117"/>
      <c r="F189">
        <v>185</v>
      </c>
      <c r="G189">
        <v>0.3</v>
      </c>
      <c r="H189">
        <v>0.82133822462154926</v>
      </c>
      <c r="I189">
        <v>0.58036876948907201</v>
      </c>
    </row>
    <row r="190" spans="5:9">
      <c r="E190" s="117"/>
      <c r="F190">
        <v>186</v>
      </c>
      <c r="G190">
        <v>0.5</v>
      </c>
      <c r="H190">
        <v>0.84477386040973035</v>
      </c>
      <c r="I190">
        <v>0.58036876948907201</v>
      </c>
    </row>
    <row r="191" spans="5:9">
      <c r="E191" s="117"/>
      <c r="F191">
        <v>187</v>
      </c>
      <c r="G191">
        <v>0.75</v>
      </c>
      <c r="H191">
        <v>0.8286195718191105</v>
      </c>
      <c r="I191">
        <v>0.58036876948907201</v>
      </c>
    </row>
    <row r="192" spans="5:9">
      <c r="E192" s="117"/>
      <c r="F192">
        <v>188</v>
      </c>
      <c r="G192">
        <v>1</v>
      </c>
      <c r="H192">
        <v>0.8223863969000359</v>
      </c>
      <c r="I192">
        <v>0.58036876948907201</v>
      </c>
    </row>
    <row r="193" spans="5:9">
      <c r="E193" s="117"/>
      <c r="F193">
        <v>189</v>
      </c>
      <c r="G193">
        <v>1.33</v>
      </c>
      <c r="H193">
        <v>0.93291259228828505</v>
      </c>
      <c r="I193">
        <v>0.58036876948907201</v>
      </c>
    </row>
    <row r="194" spans="5:9">
      <c r="E194" s="117"/>
      <c r="F194">
        <v>190</v>
      </c>
      <c r="G194">
        <v>1.67</v>
      </c>
      <c r="H194">
        <v>1.0572664948872892</v>
      </c>
      <c r="I194">
        <v>0.58036876948907201</v>
      </c>
    </row>
    <row r="195" spans="5:9">
      <c r="E195" s="117"/>
      <c r="F195">
        <v>191</v>
      </c>
      <c r="G195">
        <v>2</v>
      </c>
      <c r="H195">
        <v>1.1382879242426307</v>
      </c>
      <c r="I195">
        <v>0.58036876948907201</v>
      </c>
    </row>
    <row r="196" spans="5:9">
      <c r="E196" s="117"/>
      <c r="F196">
        <v>192</v>
      </c>
      <c r="G196">
        <v>2.5</v>
      </c>
      <c r="H196">
        <v>1.2161616816880965</v>
      </c>
      <c r="I196">
        <v>0.58036876948907201</v>
      </c>
    </row>
    <row r="197" spans="5:9">
      <c r="E197" s="118" t="s">
        <v>927</v>
      </c>
      <c r="F197">
        <v>193</v>
      </c>
      <c r="G197">
        <v>0.3</v>
      </c>
      <c r="H197">
        <v>0.89590123199620175</v>
      </c>
      <c r="I197">
        <v>1.0598341778761915</v>
      </c>
    </row>
    <row r="198" spans="5:9">
      <c r="E198" s="118"/>
      <c r="F198">
        <v>194</v>
      </c>
      <c r="G198">
        <v>0.5</v>
      </c>
      <c r="H198">
        <v>0.89126471711312749</v>
      </c>
      <c r="I198">
        <v>1.0598341778761915</v>
      </c>
    </row>
    <row r="199" spans="5:9">
      <c r="E199" s="118"/>
      <c r="F199">
        <v>195</v>
      </c>
      <c r="G199">
        <v>0.75</v>
      </c>
      <c r="H199">
        <v>0.98156200977668562</v>
      </c>
      <c r="I199">
        <v>1.0598341778761915</v>
      </c>
    </row>
    <row r="200" spans="5:9">
      <c r="E200" s="118"/>
      <c r="F200">
        <v>196</v>
      </c>
      <c r="G200">
        <v>1</v>
      </c>
      <c r="H200">
        <v>0.99420048998826238</v>
      </c>
      <c r="I200">
        <v>1.0598341778761915</v>
      </c>
    </row>
    <row r="201" spans="5:9">
      <c r="E201" s="118"/>
      <c r="F201">
        <v>197</v>
      </c>
      <c r="G201">
        <v>1.33</v>
      </c>
      <c r="H201">
        <v>0.96472956746318728</v>
      </c>
      <c r="I201">
        <v>1.0598341778761915</v>
      </c>
    </row>
    <row r="202" spans="5:9">
      <c r="E202" s="118"/>
      <c r="F202">
        <v>198</v>
      </c>
      <c r="G202">
        <v>1.67</v>
      </c>
      <c r="H202">
        <v>0.96276174571254525</v>
      </c>
      <c r="I202">
        <v>1.0598341778761915</v>
      </c>
    </row>
    <row r="203" spans="5:9">
      <c r="E203" s="118"/>
      <c r="F203">
        <v>199</v>
      </c>
      <c r="G203">
        <v>2</v>
      </c>
      <c r="H203">
        <v>0.99798867004350678</v>
      </c>
      <c r="I203">
        <v>1.0598341778761915</v>
      </c>
    </row>
    <row r="204" spans="5:9">
      <c r="E204" s="118"/>
      <c r="F204">
        <v>200</v>
      </c>
      <c r="G204">
        <v>2.5</v>
      </c>
      <c r="H204">
        <v>1.0246496441711372</v>
      </c>
      <c r="I204">
        <v>1.0598341778761915</v>
      </c>
    </row>
    <row r="205" spans="5:9">
      <c r="E205" s="118"/>
      <c r="F205">
        <v>201</v>
      </c>
      <c r="G205">
        <v>0.3</v>
      </c>
      <c r="H205">
        <v>0.92564800800691716</v>
      </c>
      <c r="I205">
        <v>1.0163686273422265</v>
      </c>
    </row>
    <row r="206" spans="5:9">
      <c r="E206" s="118"/>
      <c r="F206">
        <v>202</v>
      </c>
      <c r="G206">
        <v>0.5</v>
      </c>
      <c r="H206">
        <v>0.93237394901727189</v>
      </c>
      <c r="I206">
        <v>1.0163686273422265</v>
      </c>
    </row>
    <row r="207" spans="5:9">
      <c r="E207" s="118"/>
      <c r="F207">
        <v>203</v>
      </c>
      <c r="G207">
        <v>0.75</v>
      </c>
      <c r="H207">
        <v>1.0178065995708752</v>
      </c>
      <c r="I207">
        <v>1.0163686273422265</v>
      </c>
    </row>
    <row r="208" spans="5:9">
      <c r="E208" s="118"/>
      <c r="F208">
        <v>204</v>
      </c>
      <c r="G208">
        <v>1</v>
      </c>
      <c r="H208">
        <v>1.0260653090109739</v>
      </c>
      <c r="I208">
        <v>1.0163686273422265</v>
      </c>
    </row>
    <row r="209" spans="5:9">
      <c r="E209" s="118"/>
      <c r="F209">
        <v>205</v>
      </c>
      <c r="G209">
        <v>1.33</v>
      </c>
      <c r="H209">
        <v>1.0013591878646941</v>
      </c>
      <c r="I209">
        <v>1.0163686273422265</v>
      </c>
    </row>
    <row r="210" spans="5:9">
      <c r="E210" s="118"/>
      <c r="F210">
        <v>206</v>
      </c>
      <c r="G210">
        <v>1.67</v>
      </c>
      <c r="H210">
        <v>0.99551076415674766</v>
      </c>
      <c r="I210">
        <v>1.0163686273422265</v>
      </c>
    </row>
    <row r="211" spans="5:9">
      <c r="E211" s="118"/>
      <c r="F211">
        <v>207</v>
      </c>
      <c r="G211">
        <v>2</v>
      </c>
      <c r="H211">
        <v>1.0234111022040302</v>
      </c>
      <c r="I211">
        <v>1.0163686273422265</v>
      </c>
    </row>
    <row r="212" spans="5:9">
      <c r="E212" s="118"/>
      <c r="F212">
        <v>208</v>
      </c>
      <c r="G212">
        <v>2.5</v>
      </c>
      <c r="H212">
        <v>1.0438346064004513</v>
      </c>
      <c r="I212">
        <v>1.0163686273422265</v>
      </c>
    </row>
    <row r="213" spans="5:9">
      <c r="E213" s="118"/>
      <c r="F213">
        <v>209</v>
      </c>
      <c r="G213">
        <v>0.3</v>
      </c>
      <c r="H213">
        <v>0.93833769965854519</v>
      </c>
      <c r="I213">
        <v>0.98460415584026495</v>
      </c>
    </row>
    <row r="214" spans="5:9">
      <c r="E214" s="118"/>
      <c r="F214">
        <v>210</v>
      </c>
      <c r="G214">
        <v>0.5</v>
      </c>
      <c r="H214">
        <v>0.96378207424253404</v>
      </c>
      <c r="I214">
        <v>0.98460415584026495</v>
      </c>
    </row>
    <row r="215" spans="5:9">
      <c r="E215" s="118"/>
      <c r="F215">
        <v>211</v>
      </c>
      <c r="G215">
        <v>0.75</v>
      </c>
      <c r="H215">
        <v>1.04311164590338</v>
      </c>
      <c r="I215">
        <v>0.98460415584026495</v>
      </c>
    </row>
    <row r="216" spans="5:9">
      <c r="E216" s="118"/>
      <c r="F216">
        <v>212</v>
      </c>
      <c r="G216">
        <v>1</v>
      </c>
      <c r="H216">
        <v>1.0503976865290658</v>
      </c>
      <c r="I216">
        <v>0.98460415584026495</v>
      </c>
    </row>
    <row r="217" spans="5:9">
      <c r="E217" s="118"/>
      <c r="F217">
        <v>213</v>
      </c>
      <c r="G217">
        <v>1.33</v>
      </c>
      <c r="H217">
        <v>1.0284211916956814</v>
      </c>
      <c r="I217">
        <v>0.98460415584026495</v>
      </c>
    </row>
    <row r="218" spans="5:9">
      <c r="E218" s="118"/>
      <c r="F218">
        <v>214</v>
      </c>
      <c r="G218">
        <v>1.67</v>
      </c>
      <c r="H218">
        <v>1.02254722835955</v>
      </c>
      <c r="I218">
        <v>0.98460415584026495</v>
      </c>
    </row>
    <row r="219" spans="5:9">
      <c r="E219" s="118"/>
      <c r="F219">
        <v>215</v>
      </c>
      <c r="G219">
        <v>2</v>
      </c>
      <c r="H219">
        <v>1.0458773686793514</v>
      </c>
      <c r="I219">
        <v>0.98460415584026495</v>
      </c>
    </row>
    <row r="220" spans="5:9">
      <c r="E220" s="118"/>
      <c r="F220">
        <v>216</v>
      </c>
      <c r="G220">
        <v>2.5</v>
      </c>
      <c r="H220">
        <v>1.0628278106967588</v>
      </c>
      <c r="I220">
        <v>0.98460415584026495</v>
      </c>
    </row>
    <row r="221" spans="5:9">
      <c r="E221" s="118"/>
      <c r="F221">
        <v>217</v>
      </c>
      <c r="G221">
        <v>0.3</v>
      </c>
      <c r="H221">
        <v>0.94351114235224676</v>
      </c>
      <c r="I221">
        <v>0.90992969508953903</v>
      </c>
    </row>
    <row r="222" spans="5:9">
      <c r="E222" s="118"/>
      <c r="F222">
        <v>218</v>
      </c>
      <c r="G222">
        <v>0.5</v>
      </c>
      <c r="H222">
        <v>1.012714394352777</v>
      </c>
      <c r="I222">
        <v>0.90992969508953903</v>
      </c>
    </row>
    <row r="223" spans="5:9">
      <c r="E223" s="118"/>
      <c r="F223">
        <v>219</v>
      </c>
      <c r="G223">
        <v>0.75</v>
      </c>
      <c r="H223">
        <v>1.1020313006750613</v>
      </c>
      <c r="I223">
        <v>0.90992969508953903</v>
      </c>
    </row>
    <row r="224" spans="5:9">
      <c r="E224" s="118"/>
      <c r="F224">
        <v>220</v>
      </c>
      <c r="G224">
        <v>1</v>
      </c>
      <c r="H224">
        <v>1.118016388816679</v>
      </c>
      <c r="I224">
        <v>0.90992969508953903</v>
      </c>
    </row>
    <row r="225" spans="5:9">
      <c r="E225" s="118"/>
      <c r="F225">
        <v>221</v>
      </c>
      <c r="G225">
        <v>1.33</v>
      </c>
      <c r="H225">
        <v>1.1044012593785235</v>
      </c>
      <c r="I225">
        <v>0.90992969508953903</v>
      </c>
    </row>
    <row r="226" spans="5:9">
      <c r="E226" s="118"/>
      <c r="F226">
        <v>222</v>
      </c>
      <c r="G226">
        <v>1.67</v>
      </c>
      <c r="H226">
        <v>1.1004039066269315</v>
      </c>
      <c r="I226">
        <v>0.90992969508953903</v>
      </c>
    </row>
    <row r="227" spans="5:9">
      <c r="E227" s="118"/>
      <c r="F227">
        <v>223</v>
      </c>
      <c r="G227">
        <v>2</v>
      </c>
      <c r="H227">
        <v>1.1195897775821431</v>
      </c>
      <c r="I227">
        <v>0.90992969508953903</v>
      </c>
    </row>
    <row r="228" spans="5:9">
      <c r="E228" s="118"/>
      <c r="F228">
        <v>224</v>
      </c>
      <c r="G228">
        <v>2.5</v>
      </c>
      <c r="H228">
        <v>1.1331585102993571</v>
      </c>
      <c r="I228">
        <v>0.90992969508953903</v>
      </c>
    </row>
    <row r="229" spans="5:9">
      <c r="E229" s="118"/>
      <c r="F229">
        <v>225</v>
      </c>
      <c r="G229">
        <v>0.3</v>
      </c>
      <c r="H229">
        <v>0.93847947525215347</v>
      </c>
      <c r="I229">
        <v>0.8869245612332064</v>
      </c>
    </row>
    <row r="230" spans="5:9">
      <c r="E230" s="118"/>
      <c r="F230">
        <v>226</v>
      </c>
      <c r="G230">
        <v>0.5</v>
      </c>
      <c r="H230">
        <v>0.98862744420548465</v>
      </c>
      <c r="I230">
        <v>0.8869245612332064</v>
      </c>
    </row>
    <row r="231" spans="5:9">
      <c r="E231" s="118"/>
      <c r="F231">
        <v>227</v>
      </c>
      <c r="G231">
        <v>0.75</v>
      </c>
      <c r="H231">
        <v>1.0653015435735493</v>
      </c>
      <c r="I231">
        <v>0.8869245612332064</v>
      </c>
    </row>
    <row r="232" spans="5:9">
      <c r="E232" s="118"/>
      <c r="F232">
        <v>228</v>
      </c>
      <c r="G232">
        <v>1</v>
      </c>
      <c r="H232">
        <v>1.0964597040050403</v>
      </c>
      <c r="I232">
        <v>0.8869245612332064</v>
      </c>
    </row>
    <row r="233" spans="5:9">
      <c r="E233" s="118"/>
      <c r="F233">
        <v>229</v>
      </c>
      <c r="G233">
        <v>1.33</v>
      </c>
      <c r="H233">
        <v>1.1167466385637022</v>
      </c>
      <c r="I233">
        <v>0.8869245612332064</v>
      </c>
    </row>
    <row r="234" spans="5:9">
      <c r="E234" s="118"/>
      <c r="F234">
        <v>230</v>
      </c>
      <c r="G234">
        <v>1.67</v>
      </c>
      <c r="H234">
        <v>1.1240117618866656</v>
      </c>
      <c r="I234">
        <v>0.8869245612332064</v>
      </c>
    </row>
    <row r="235" spans="5:9">
      <c r="E235" s="118"/>
      <c r="F235">
        <v>231</v>
      </c>
      <c r="G235">
        <v>2</v>
      </c>
      <c r="H235">
        <v>1.1391435181259117</v>
      </c>
      <c r="I235">
        <v>0.8869245612332064</v>
      </c>
    </row>
    <row r="236" spans="5:9">
      <c r="E236" s="118"/>
      <c r="F236">
        <v>232</v>
      </c>
      <c r="G236">
        <v>2.5</v>
      </c>
      <c r="H236">
        <v>1.1492786070576391</v>
      </c>
      <c r="I236">
        <v>0.8869245612332064</v>
      </c>
    </row>
    <row r="237" spans="5:9">
      <c r="E237" s="118"/>
      <c r="F237">
        <v>233</v>
      </c>
      <c r="G237">
        <v>0.3</v>
      </c>
      <c r="H237">
        <v>0.93693946977928155</v>
      </c>
      <c r="I237">
        <v>0.88162604206864925</v>
      </c>
    </row>
    <row r="238" spans="5:9">
      <c r="E238" s="118"/>
      <c r="F238">
        <v>234</v>
      </c>
      <c r="G238">
        <v>0.5</v>
      </c>
      <c r="H238">
        <v>0.97950184719836975</v>
      </c>
      <c r="I238">
        <v>0.88162604206864925</v>
      </c>
    </row>
    <row r="239" spans="5:9">
      <c r="E239" s="118"/>
      <c r="F239">
        <v>235</v>
      </c>
      <c r="G239">
        <v>0.75</v>
      </c>
      <c r="H239">
        <v>1.0385534410869524</v>
      </c>
      <c r="I239">
        <v>0.88162604206864925</v>
      </c>
    </row>
    <row r="240" spans="5:9">
      <c r="E240" s="118"/>
      <c r="F240">
        <v>236</v>
      </c>
      <c r="G240">
        <v>1</v>
      </c>
      <c r="H240">
        <v>1.0632239308499436</v>
      </c>
      <c r="I240">
        <v>0.88162604206864925</v>
      </c>
    </row>
    <row r="241" spans="5:9">
      <c r="E241" s="118"/>
      <c r="F241">
        <v>237</v>
      </c>
      <c r="G241">
        <v>1.33</v>
      </c>
      <c r="H241">
        <v>1.0995847929737468</v>
      </c>
      <c r="I241">
        <v>0.88162604206864925</v>
      </c>
    </row>
    <row r="242" spans="5:9">
      <c r="E242" s="118"/>
      <c r="F242">
        <v>238</v>
      </c>
      <c r="G242">
        <v>1.67</v>
      </c>
      <c r="H242">
        <v>1.1249801196397238</v>
      </c>
      <c r="I242">
        <v>0.88162604206864925</v>
      </c>
    </row>
    <row r="243" spans="5:9">
      <c r="E243" s="118"/>
      <c r="F243">
        <v>239</v>
      </c>
      <c r="G243">
        <v>2</v>
      </c>
      <c r="H243">
        <v>1.1391353240320332</v>
      </c>
      <c r="I243">
        <v>0.88162604206864925</v>
      </c>
    </row>
    <row r="244" spans="5:9">
      <c r="E244" s="118"/>
      <c r="F244">
        <v>240</v>
      </c>
      <c r="G244">
        <v>2.5</v>
      </c>
      <c r="H244">
        <v>1.1470478771454244</v>
      </c>
      <c r="I244">
        <v>0.88162604206864925</v>
      </c>
    </row>
    <row r="245" spans="5:9">
      <c r="E245" s="117" t="s">
        <v>928</v>
      </c>
      <c r="F245">
        <v>241</v>
      </c>
      <c r="G245">
        <v>0.3</v>
      </c>
      <c r="H245">
        <v>0.92049283031901918</v>
      </c>
      <c r="I245">
        <v>1.0238961113393781</v>
      </c>
    </row>
    <row r="246" spans="5:9">
      <c r="E246" s="117"/>
      <c r="F246">
        <v>242</v>
      </c>
      <c r="G246">
        <v>0.5</v>
      </c>
      <c r="H246">
        <v>0.93483771478174127</v>
      </c>
      <c r="I246">
        <v>1.0238961113393781</v>
      </c>
    </row>
    <row r="247" spans="5:9">
      <c r="E247" s="117"/>
      <c r="F247">
        <v>243</v>
      </c>
      <c r="G247">
        <v>0.75</v>
      </c>
      <c r="H247">
        <v>0.98958977592293884</v>
      </c>
      <c r="I247">
        <v>1.0238961113393781</v>
      </c>
    </row>
    <row r="248" spans="5:9">
      <c r="E248" s="117"/>
      <c r="F248">
        <v>244</v>
      </c>
      <c r="G248">
        <v>1</v>
      </c>
      <c r="H248">
        <v>0.97895187433665853</v>
      </c>
      <c r="I248">
        <v>1.0238961113393781</v>
      </c>
    </row>
    <row r="249" spans="5:9">
      <c r="E249" s="117"/>
      <c r="F249">
        <v>245</v>
      </c>
      <c r="G249">
        <v>1.33</v>
      </c>
      <c r="H249">
        <v>0.9696908010021813</v>
      </c>
      <c r="I249">
        <v>1.0238961113393781</v>
      </c>
    </row>
    <row r="250" spans="5:9">
      <c r="E250" s="117"/>
      <c r="F250">
        <v>246</v>
      </c>
      <c r="G250">
        <v>1.67</v>
      </c>
      <c r="H250">
        <v>0.96881287773722113</v>
      </c>
      <c r="I250">
        <v>1.0238961113393781</v>
      </c>
    </row>
    <row r="251" spans="5:9">
      <c r="E251" s="117"/>
      <c r="F251">
        <v>247</v>
      </c>
      <c r="G251">
        <v>2</v>
      </c>
      <c r="H251">
        <v>0.97698480468864513</v>
      </c>
      <c r="I251">
        <v>1.0238961113393781</v>
      </c>
    </row>
    <row r="252" spans="5:9">
      <c r="E252" s="117"/>
      <c r="F252">
        <v>248</v>
      </c>
      <c r="G252">
        <v>2.5</v>
      </c>
      <c r="H252">
        <v>0.98284201874430033</v>
      </c>
      <c r="I252">
        <v>1.0238961113393781</v>
      </c>
    </row>
    <row r="253" spans="5:9">
      <c r="E253" s="117"/>
      <c r="F253">
        <v>249</v>
      </c>
      <c r="G253">
        <v>0.3</v>
      </c>
      <c r="H253">
        <v>0.92166768178591219</v>
      </c>
      <c r="I253">
        <v>0.99229698518122766</v>
      </c>
    </row>
    <row r="254" spans="5:9">
      <c r="E254" s="117"/>
      <c r="F254">
        <v>250</v>
      </c>
      <c r="G254">
        <v>0.5</v>
      </c>
      <c r="H254">
        <v>0.94242058924416172</v>
      </c>
      <c r="I254">
        <v>0.99229698518122766</v>
      </c>
    </row>
    <row r="255" spans="5:9">
      <c r="E255" s="117"/>
      <c r="F255">
        <v>251</v>
      </c>
      <c r="G255">
        <v>0.75</v>
      </c>
      <c r="H255">
        <v>1.006973222345221</v>
      </c>
      <c r="I255">
        <v>0.99229698518122766</v>
      </c>
    </row>
    <row r="256" spans="5:9">
      <c r="E256" s="117"/>
      <c r="F256">
        <v>252</v>
      </c>
      <c r="G256">
        <v>1</v>
      </c>
      <c r="H256">
        <v>0.99278992592970972</v>
      </c>
      <c r="I256">
        <v>0.99229698518122766</v>
      </c>
    </row>
    <row r="257" spans="5:9">
      <c r="E257" s="117"/>
      <c r="F257">
        <v>253</v>
      </c>
      <c r="G257">
        <v>1.33</v>
      </c>
      <c r="H257">
        <v>0.98697263397425183</v>
      </c>
      <c r="I257">
        <v>0.99229698518122766</v>
      </c>
    </row>
    <row r="258" spans="5:9">
      <c r="E258" s="117"/>
      <c r="F258">
        <v>254</v>
      </c>
      <c r="G258">
        <v>1.67</v>
      </c>
      <c r="H258">
        <v>0.99202000335418505</v>
      </c>
      <c r="I258">
        <v>0.99229698518122766</v>
      </c>
    </row>
    <row r="259" spans="5:9">
      <c r="E259" s="117"/>
      <c r="F259">
        <v>255</v>
      </c>
      <c r="G259">
        <v>2</v>
      </c>
      <c r="H259">
        <v>1.0017132469377052</v>
      </c>
      <c r="I259">
        <v>0.99229698518122766</v>
      </c>
    </row>
    <row r="260" spans="5:9">
      <c r="E260" s="117"/>
      <c r="F260">
        <v>256</v>
      </c>
      <c r="G260">
        <v>2.5</v>
      </c>
      <c r="H260">
        <v>1.0079239117261005</v>
      </c>
      <c r="I260">
        <v>0.99229698518122766</v>
      </c>
    </row>
    <row r="261" spans="5:9">
      <c r="E261" s="117"/>
      <c r="F261">
        <v>257</v>
      </c>
      <c r="G261">
        <v>0.3</v>
      </c>
      <c r="H261">
        <v>0.91777932371063076</v>
      </c>
      <c r="I261">
        <v>0.93814976278525242</v>
      </c>
    </row>
    <row r="262" spans="5:9">
      <c r="E262" s="117"/>
      <c r="F262">
        <v>258</v>
      </c>
      <c r="G262">
        <v>0.5</v>
      </c>
      <c r="H262">
        <v>0.96056536692138594</v>
      </c>
      <c r="I262">
        <v>0.93814976278525242</v>
      </c>
    </row>
    <row r="263" spans="5:9">
      <c r="E263" s="117"/>
      <c r="F263">
        <v>259</v>
      </c>
      <c r="G263">
        <v>0.75</v>
      </c>
      <c r="H263">
        <v>1.0467202973612959</v>
      </c>
      <c r="I263">
        <v>0.93814976278525242</v>
      </c>
    </row>
    <row r="264" spans="5:9">
      <c r="E264" s="117"/>
      <c r="F264">
        <v>260</v>
      </c>
      <c r="G264">
        <v>1</v>
      </c>
      <c r="H264">
        <v>1.0300213026055376</v>
      </c>
      <c r="I264">
        <v>0.93814976278525242</v>
      </c>
    </row>
    <row r="265" spans="5:9">
      <c r="E265" s="117"/>
      <c r="F265">
        <v>261</v>
      </c>
      <c r="G265">
        <v>1.33</v>
      </c>
      <c r="H265">
        <v>1.029700439437472</v>
      </c>
      <c r="I265">
        <v>0.93814976278525242</v>
      </c>
    </row>
    <row r="266" spans="5:9">
      <c r="E266" s="117"/>
      <c r="F266">
        <v>262</v>
      </c>
      <c r="G266">
        <v>1.67</v>
      </c>
      <c r="H266">
        <v>1.0414833685872376</v>
      </c>
      <c r="I266">
        <v>0.93814976278525242</v>
      </c>
    </row>
    <row r="267" spans="5:9">
      <c r="E267" s="117"/>
      <c r="F267">
        <v>263</v>
      </c>
      <c r="G267">
        <v>2</v>
      </c>
      <c r="H267">
        <v>1.0532056816853614</v>
      </c>
      <c r="I267">
        <v>0.93814976278525242</v>
      </c>
    </row>
    <row r="268" spans="5:9">
      <c r="E268" s="117"/>
      <c r="F268">
        <v>264</v>
      </c>
      <c r="G268">
        <v>2.5</v>
      </c>
      <c r="H268">
        <v>1.0602730202836754</v>
      </c>
      <c r="I268">
        <v>0.93814976278525242</v>
      </c>
    </row>
    <row r="269" spans="5:9">
      <c r="E269" s="117"/>
      <c r="F269">
        <v>265</v>
      </c>
      <c r="G269">
        <v>0.3</v>
      </c>
      <c r="H269">
        <v>0.91635642729348599</v>
      </c>
      <c r="I269">
        <v>0.79819398974097666</v>
      </c>
    </row>
    <row r="270" spans="5:9">
      <c r="E270" s="117"/>
      <c r="F270">
        <v>266</v>
      </c>
      <c r="G270">
        <v>0.5</v>
      </c>
      <c r="H270">
        <v>0.98629337369463688</v>
      </c>
      <c r="I270">
        <v>0.79819398974097666</v>
      </c>
    </row>
    <row r="271" spans="5:9">
      <c r="E271" s="117"/>
      <c r="F271">
        <v>267</v>
      </c>
      <c r="G271">
        <v>0.75</v>
      </c>
      <c r="H271">
        <v>1.1231194383044436</v>
      </c>
      <c r="I271">
        <v>0.79819398974097666</v>
      </c>
    </row>
    <row r="272" spans="5:9">
      <c r="E272" s="117"/>
      <c r="F272">
        <v>268</v>
      </c>
      <c r="G272">
        <v>1</v>
      </c>
      <c r="H272">
        <v>1.1242063653776238</v>
      </c>
      <c r="I272">
        <v>0.79819398974097666</v>
      </c>
    </row>
    <row r="273" spans="5:9">
      <c r="E273" s="117"/>
      <c r="F273">
        <v>269</v>
      </c>
      <c r="G273">
        <v>1.33</v>
      </c>
      <c r="H273">
        <v>1.1520124340321165</v>
      </c>
      <c r="I273">
        <v>0.79819398974097666</v>
      </c>
    </row>
    <row r="274" spans="5:9">
      <c r="E274" s="117"/>
      <c r="F274">
        <v>270</v>
      </c>
      <c r="G274">
        <v>1.67</v>
      </c>
      <c r="H274">
        <v>1.1925998574674825</v>
      </c>
      <c r="I274">
        <v>0.79819398974097666</v>
      </c>
    </row>
    <row r="275" spans="5:9">
      <c r="E275" s="117"/>
      <c r="F275">
        <v>271</v>
      </c>
      <c r="G275">
        <v>2</v>
      </c>
      <c r="H275">
        <v>1.214742640324906</v>
      </c>
      <c r="I275">
        <v>0.79819398974097666</v>
      </c>
    </row>
    <row r="276" spans="5:9">
      <c r="E276" s="117"/>
      <c r="F276">
        <v>272</v>
      </c>
      <c r="G276">
        <v>2.5</v>
      </c>
      <c r="H276">
        <v>1.2260389029208716</v>
      </c>
      <c r="I276">
        <v>0.79819398974097666</v>
      </c>
    </row>
    <row r="277" spans="5:9">
      <c r="E277" s="117"/>
      <c r="F277">
        <v>273</v>
      </c>
      <c r="G277">
        <v>0.3</v>
      </c>
      <c r="H277">
        <v>0.9035324720711867</v>
      </c>
      <c r="I277">
        <v>0.66500225422673287</v>
      </c>
    </row>
    <row r="278" spans="5:9">
      <c r="E278" s="117"/>
      <c r="F278">
        <v>274</v>
      </c>
      <c r="G278">
        <v>0.5</v>
      </c>
      <c r="H278">
        <v>0.95471008280857828</v>
      </c>
      <c r="I278">
        <v>0.66500225422673287</v>
      </c>
    </row>
    <row r="279" spans="5:9">
      <c r="E279" s="117"/>
      <c r="F279">
        <v>275</v>
      </c>
      <c r="G279">
        <v>0.75</v>
      </c>
      <c r="H279">
        <v>1.0659703277222221</v>
      </c>
      <c r="I279">
        <v>0.66500225422673287</v>
      </c>
    </row>
    <row r="280" spans="5:9">
      <c r="E280" s="117"/>
      <c r="F280">
        <v>276</v>
      </c>
      <c r="G280">
        <v>1</v>
      </c>
      <c r="H280">
        <v>1.0649548146904824</v>
      </c>
      <c r="I280">
        <v>0.66500225422673287</v>
      </c>
    </row>
    <row r="281" spans="5:9">
      <c r="E281" s="117"/>
      <c r="F281">
        <v>277</v>
      </c>
      <c r="G281">
        <v>1.33</v>
      </c>
      <c r="H281">
        <v>1.1451899920653652</v>
      </c>
      <c r="I281">
        <v>0.66500225422673287</v>
      </c>
    </row>
    <row r="282" spans="5:9">
      <c r="E282" s="117"/>
      <c r="F282">
        <v>278</v>
      </c>
      <c r="G282">
        <v>1.67</v>
      </c>
      <c r="H282">
        <v>1.2624826177411099</v>
      </c>
      <c r="I282">
        <v>0.66500225422673287</v>
      </c>
    </row>
    <row r="283" spans="5:9">
      <c r="E283" s="117"/>
      <c r="F283">
        <v>279</v>
      </c>
      <c r="G283">
        <v>2</v>
      </c>
      <c r="H283">
        <v>1.3402610346866022</v>
      </c>
      <c r="I283">
        <v>0.66500225422673287</v>
      </c>
    </row>
    <row r="284" spans="5:9">
      <c r="E284" s="117"/>
      <c r="F284">
        <v>280</v>
      </c>
      <c r="G284">
        <v>2.5</v>
      </c>
      <c r="H284">
        <v>1.381056009325754</v>
      </c>
      <c r="I284">
        <v>0.66500225422673287</v>
      </c>
    </row>
    <row r="285" spans="5:9">
      <c r="E285" s="117"/>
      <c r="F285">
        <v>281</v>
      </c>
      <c r="G285">
        <v>0.3</v>
      </c>
      <c r="H285">
        <v>0.88835673589373487</v>
      </c>
      <c r="I285">
        <v>0.57989073631813981</v>
      </c>
    </row>
    <row r="286" spans="5:9">
      <c r="E286" s="117"/>
      <c r="F286">
        <v>282</v>
      </c>
      <c r="G286">
        <v>0.5</v>
      </c>
      <c r="H286">
        <v>0.94337482669613149</v>
      </c>
      <c r="I286">
        <v>0.57989073631813981</v>
      </c>
    </row>
    <row r="287" spans="5:9">
      <c r="E287" s="117"/>
      <c r="F287">
        <v>283</v>
      </c>
      <c r="G287">
        <v>0.75</v>
      </c>
      <c r="H287">
        <v>1.0000146676122608</v>
      </c>
      <c r="I287">
        <v>0.57989073631813981</v>
      </c>
    </row>
    <row r="288" spans="5:9">
      <c r="E288" s="117"/>
      <c r="F288">
        <v>284</v>
      </c>
      <c r="G288">
        <v>1</v>
      </c>
      <c r="H288">
        <v>0.95174144385102488</v>
      </c>
      <c r="I288">
        <v>0.57989073631813981</v>
      </c>
    </row>
    <row r="289" spans="5:9">
      <c r="E289" s="117"/>
      <c r="F289">
        <v>285</v>
      </c>
      <c r="G289">
        <v>1.33</v>
      </c>
      <c r="H289">
        <v>0.98834589686798691</v>
      </c>
      <c r="I289">
        <v>0.57989073631813981</v>
      </c>
    </row>
    <row r="290" spans="5:9">
      <c r="E290" s="117"/>
      <c r="F290">
        <v>286</v>
      </c>
      <c r="G290">
        <v>1.67</v>
      </c>
      <c r="H290">
        <v>1.100992707579211</v>
      </c>
      <c r="I290">
        <v>0.57989073631813981</v>
      </c>
    </row>
    <row r="291" spans="5:9">
      <c r="E291" s="117"/>
      <c r="F291">
        <v>287</v>
      </c>
      <c r="G291">
        <v>2</v>
      </c>
      <c r="H291">
        <v>1.2067395141170196</v>
      </c>
      <c r="I291">
        <v>0.57989073631813981</v>
      </c>
    </row>
    <row r="292" spans="5:9">
      <c r="E292" s="117"/>
      <c r="F292">
        <v>288</v>
      </c>
      <c r="G292">
        <v>2.5</v>
      </c>
      <c r="H292">
        <v>1.2987572866233761</v>
      </c>
      <c r="I292">
        <v>0.57989073631813981</v>
      </c>
    </row>
  </sheetData>
  <mergeCells count="6">
    <mergeCell ref="E245:E292"/>
    <mergeCell ref="E5:E52"/>
    <mergeCell ref="E53:E100"/>
    <mergeCell ref="E101:E148"/>
    <mergeCell ref="E149:E196"/>
    <mergeCell ref="E197:E24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5BB3-A878-44DB-82E0-DAD35518E7C7}">
  <sheetPr codeName="Sheet7"/>
  <dimension ref="A1:AR297"/>
  <sheetViews>
    <sheetView topLeftCell="N279" zoomScaleNormal="100" workbookViewId="0">
      <selection activeCell="AA5" sqref="AA5:AA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37" width="10.42578125" style="5" bestFit="1" customWidth="1"/>
    <col min="38" max="38" width="9.140625" style="5"/>
    <col min="39" max="39" width="13.28515625" style="5" bestFit="1" customWidth="1"/>
    <col min="40" max="40" width="13.28515625" style="5" customWidth="1"/>
    <col min="41" max="41" width="11.42578125" style="5" bestFit="1" customWidth="1"/>
    <col min="42" max="42" width="50.5703125" style="5" bestFit="1" customWidth="1"/>
    <col min="43" max="43" width="9.140625" style="5"/>
    <col min="44" max="44" width="31" style="5" bestFit="1" customWidth="1"/>
    <col min="45" max="16384" width="9.140625" style="5"/>
  </cols>
  <sheetData>
    <row r="1" spans="1:44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4" s="1" customFormat="1" ht="14.65" customHeight="1">
      <c r="I2" s="111" t="s">
        <v>0</v>
      </c>
      <c r="J2" s="112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N2" s="1">
        <f>AM6*S6</f>
        <v>88906.306621827855</v>
      </c>
    </row>
    <row r="3" spans="1:44" s="1" customFormat="1" ht="15.4" customHeight="1">
      <c r="I3" s="113" t="s">
        <v>1</v>
      </c>
      <c r="J3" s="114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4" ht="29.25" customHeight="1">
      <c r="A4" s="25"/>
      <c r="B4" s="110" t="s">
        <v>26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26" t="s">
        <v>27</v>
      </c>
      <c r="T4" s="115" t="s">
        <v>30</v>
      </c>
      <c r="U4" s="115"/>
      <c r="V4" s="115" t="s">
        <v>515</v>
      </c>
      <c r="W4" s="115"/>
      <c r="X4" s="115"/>
      <c r="Y4" s="115"/>
      <c r="Z4" s="115"/>
      <c r="AA4" s="115"/>
      <c r="AB4" s="115"/>
      <c r="AC4" s="115"/>
      <c r="AD4" s="115"/>
      <c r="AE4" s="110" t="s">
        <v>3</v>
      </c>
      <c r="AF4" s="110" t="s">
        <v>4</v>
      </c>
      <c r="AG4" s="110" t="s">
        <v>224</v>
      </c>
      <c r="AH4" s="110" t="s">
        <v>225</v>
      </c>
      <c r="AI4" s="110" t="s">
        <v>223</v>
      </c>
      <c r="AJ4" s="110" t="s">
        <v>525</v>
      </c>
      <c r="AK4" s="110" t="s">
        <v>921</v>
      </c>
      <c r="AL4" s="110" t="s">
        <v>914</v>
      </c>
      <c r="AM4" s="110" t="s">
        <v>929</v>
      </c>
      <c r="AN4" s="66"/>
    </row>
    <row r="5" spans="1:44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62" t="s">
        <v>920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0"/>
      <c r="AF5" s="110"/>
      <c r="AG5" s="110"/>
      <c r="AH5" s="110"/>
      <c r="AI5" s="110"/>
      <c r="AJ5" s="110"/>
      <c r="AK5" s="110"/>
      <c r="AL5" s="110"/>
      <c r="AM5" s="110"/>
      <c r="AN5" s="29" t="s">
        <v>930</v>
      </c>
      <c r="AO5" s="5" t="s">
        <v>915</v>
      </c>
    </row>
    <row r="6" spans="1:44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3603.2384948459048</v>
      </c>
      <c r="T6" s="15">
        <v>690</v>
      </c>
      <c r="U6" s="15">
        <v>210000</v>
      </c>
      <c r="V6" s="15">
        <f>L6*T6/(S6*1000)</f>
        <v>3.4306222076839359</v>
      </c>
      <c r="W6" s="63">
        <v>3.9498099999999998</v>
      </c>
      <c r="X6" s="15">
        <f>AK6</f>
        <v>1.1513392501083863</v>
      </c>
      <c r="Y6" s="15">
        <f>'Global Only'!Y6</f>
        <v>1.0187131143735495</v>
      </c>
      <c r="Z6" s="15">
        <f>X6*Y6</f>
        <v>1.1728843931784212</v>
      </c>
      <c r="AA6" s="16">
        <v>1.0067908962997172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 t="shared" ref="AG6:AG12" si="0">W6*S6</f>
        <v>14232.107439327303</v>
      </c>
      <c r="AH6" s="17">
        <v>11732.748093205439</v>
      </c>
      <c r="AI6" s="15">
        <f>(PI()^2*U6*P6/K6^2)/(S6*1000)</f>
        <v>38.118024529821504</v>
      </c>
      <c r="AJ6" s="17">
        <f>(V6/AI6)^0.5</f>
        <v>0.30000000000000004</v>
      </c>
      <c r="AK6" s="15">
        <f>W6/V6</f>
        <v>1.1513392501083863</v>
      </c>
      <c r="AL6" s="56">
        <v>26.521000000000001</v>
      </c>
      <c r="AM6" s="56">
        <v>24.673999999999999</v>
      </c>
      <c r="AN6" s="56">
        <f>(V6/AM6)^0.5</f>
        <v>0.37287791981449947</v>
      </c>
      <c r="AO6" s="5">
        <f>AA6/Z6</f>
        <v>0.85838885925610775</v>
      </c>
      <c r="AP6" t="str">
        <f>IF(AND(AK6&gt;=1.03,AK6&lt;=1.16),"Classe 1",IF(AND(AK6&gt;=0.88,AK6&lt;=1.01),"Classe 2",IF(AND(AK6&gt;=0.8179,AK6&lt;=0.819),"Classe 3","Hors classe")))</f>
        <v>Classe 1</v>
      </c>
      <c r="AR6" s="15"/>
    </row>
    <row r="7" spans="1:44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3603.2384948459048</v>
      </c>
      <c r="T7" s="15">
        <v>690</v>
      </c>
      <c r="U7" s="15">
        <v>210000</v>
      </c>
      <c r="V7" s="15">
        <f>L7*T7/(S7*1000)</f>
        <v>3.4306222076839359</v>
      </c>
      <c r="W7" s="63">
        <v>3.9498099999999998</v>
      </c>
      <c r="X7" s="15">
        <f t="shared" ref="X7:X70" si="3">AK7</f>
        <v>1.1513392501083863</v>
      </c>
      <c r="Y7" s="15">
        <f>'Global Only'!Y7</f>
        <v>0.97062766669684031</v>
      </c>
      <c r="Z7" s="15">
        <f t="shared" ref="Z7:Z70" si="4">X7*Y7</f>
        <v>1.1175217299091929</v>
      </c>
      <c r="AA7" s="16">
        <v>0.96515006472961806</v>
      </c>
      <c r="AB7" s="15">
        <v>0.35247653168269572</v>
      </c>
      <c r="AC7" s="17">
        <v>0.5</v>
      </c>
      <c r="AD7" s="15"/>
      <c r="AE7" s="15"/>
      <c r="AF7" s="22" t="s">
        <v>5</v>
      </c>
      <c r="AG7" s="17">
        <f t="shared" si="0"/>
        <v>14232.107439327303</v>
      </c>
      <c r="AH7" s="17">
        <v>10420.507171923251</v>
      </c>
      <c r="AI7" s="15">
        <f t="shared" ref="AI7:AI70" si="5">(PI()^2*U7*P7/K7^2)/(S7*1000)</f>
        <v>13.722488830735742</v>
      </c>
      <c r="AJ7" s="17">
        <f t="shared" ref="AJ7:AJ70" si="6">(V7/AI7)^0.5</f>
        <v>0.5</v>
      </c>
      <c r="AK7" s="15">
        <f t="shared" ref="AK7:AK12" si="7">W7/V7</f>
        <v>1.1513392501083863</v>
      </c>
      <c r="AL7" s="5">
        <v>26.521000000000001</v>
      </c>
      <c r="AM7" s="5">
        <v>24.673999999999999</v>
      </c>
      <c r="AN7" s="5">
        <f t="shared" ref="AN7:AN70" si="8">(V7/AM7)^0.5</f>
        <v>0.37287791981449947</v>
      </c>
      <c r="AO7" s="5">
        <f t="shared" ref="AO7:AO70" si="9">AA7/Z7</f>
        <v>0.86365216791627297</v>
      </c>
      <c r="AP7" t="str">
        <f t="shared" ref="AP7:AP29" si="10">IF(AND(AK7&gt;=1.03,AK7&lt;=1.16),"Classe 1",IF(AND(AK7&gt;=0.88,AK7&lt;=1.01),"Classe 2",IF(AND(AK7&gt;=0.8179,AK7&lt;=0.819),"Classe 3","Hors classe")))</f>
        <v>Classe 1</v>
      </c>
      <c r="AR7" s="15"/>
    </row>
    <row r="8" spans="1:44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3603.2384948459048</v>
      </c>
      <c r="T8" s="15">
        <v>690</v>
      </c>
      <c r="U8" s="15">
        <v>210000</v>
      </c>
      <c r="V8" s="15">
        <f t="shared" ref="V8:V70" si="11">L8*T8/(S8*1000)</f>
        <v>3.4306222076839359</v>
      </c>
      <c r="W8" s="63">
        <v>3.9498099999999998</v>
      </c>
      <c r="X8" s="15">
        <f t="shared" si="3"/>
        <v>1.1513392501083863</v>
      </c>
      <c r="Y8" s="15">
        <f>'Global Only'!Y8</f>
        <v>0.78891982356499668</v>
      </c>
      <c r="Z8" s="15">
        <f t="shared" si="4"/>
        <v>0.90831435805896377</v>
      </c>
      <c r="AA8" s="16">
        <v>0.89541064436446482</v>
      </c>
      <c r="AB8" s="15">
        <v>0.35247653168269572</v>
      </c>
      <c r="AC8" s="17">
        <v>0.75</v>
      </c>
      <c r="AD8" s="15"/>
      <c r="AE8" s="15"/>
      <c r="AF8" s="22" t="s">
        <v>5</v>
      </c>
      <c r="AG8" s="17">
        <f t="shared" si="0"/>
        <v>14232.107439327303</v>
      </c>
      <c r="AH8" s="17">
        <v>8573.0430095072952</v>
      </c>
      <c r="AI8" s="15">
        <f t="shared" si="5"/>
        <v>6.0988839247714406</v>
      </c>
      <c r="AJ8" s="17">
        <f t="shared" si="6"/>
        <v>0.75000000000000011</v>
      </c>
      <c r="AK8" s="15">
        <f t="shared" si="7"/>
        <v>1.1513392501083863</v>
      </c>
      <c r="AL8" s="5">
        <v>26.521000000000001</v>
      </c>
      <c r="AM8" s="5">
        <v>24.673999999999999</v>
      </c>
      <c r="AN8" s="5">
        <f t="shared" si="8"/>
        <v>0.37287791981449947</v>
      </c>
      <c r="AO8" s="5">
        <f t="shared" si="9"/>
        <v>0.98579377989568095</v>
      </c>
      <c r="AP8" t="str">
        <f t="shared" si="10"/>
        <v>Classe 1</v>
      </c>
      <c r="AR8" s="15"/>
    </row>
    <row r="9" spans="1:44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3603.2384948459048</v>
      </c>
      <c r="T9" s="15">
        <v>690</v>
      </c>
      <c r="U9" s="15">
        <v>210000</v>
      </c>
      <c r="V9" s="15">
        <f t="shared" si="11"/>
        <v>3.4306222076839359</v>
      </c>
      <c r="W9" s="63">
        <v>3.9498099999999998</v>
      </c>
      <c r="X9" s="15">
        <f t="shared" si="3"/>
        <v>1.1513392501083863</v>
      </c>
      <c r="Y9" s="15">
        <f>'Global Only'!Y9</f>
        <v>0.65887451745853198</v>
      </c>
      <c r="Z9" s="15">
        <f t="shared" si="4"/>
        <v>0.75858809284623108</v>
      </c>
      <c r="AA9" s="16">
        <v>0.75820552227174076</v>
      </c>
      <c r="AB9" s="15">
        <v>0.35247653168269572</v>
      </c>
      <c r="AC9" s="17">
        <v>1</v>
      </c>
      <c r="AD9" s="15"/>
      <c r="AE9" s="15"/>
      <c r="AF9" s="22" t="s">
        <v>5</v>
      </c>
      <c r="AG9" s="17">
        <f t="shared" si="0"/>
        <v>14232.107439327303</v>
      </c>
      <c r="AH9" s="17">
        <v>6674.3752941734201</v>
      </c>
      <c r="AI9" s="15">
        <f t="shared" si="5"/>
        <v>3.4306222076839354</v>
      </c>
      <c r="AJ9" s="17">
        <f t="shared" si="6"/>
        <v>1</v>
      </c>
      <c r="AK9" s="15">
        <f t="shared" si="7"/>
        <v>1.1513392501083863</v>
      </c>
      <c r="AL9" s="5">
        <v>26.521000000000001</v>
      </c>
      <c r="AM9" s="5">
        <v>24.673999999999999</v>
      </c>
      <c r="AN9" s="5">
        <f t="shared" si="8"/>
        <v>0.37287791981449947</v>
      </c>
      <c r="AO9" s="5">
        <f t="shared" si="9"/>
        <v>0.99949568075468342</v>
      </c>
      <c r="AP9" t="str">
        <f t="shared" si="10"/>
        <v>Classe 1</v>
      </c>
      <c r="AR9" s="15"/>
    </row>
    <row r="10" spans="1:44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3603.2384948459048</v>
      </c>
      <c r="T10" s="15">
        <v>690</v>
      </c>
      <c r="U10" s="15">
        <v>210000</v>
      </c>
      <c r="V10" s="15">
        <f t="shared" si="11"/>
        <v>3.4306222076839359</v>
      </c>
      <c r="W10" s="63">
        <v>3.9498099999999998</v>
      </c>
      <c r="X10" s="15">
        <f t="shared" si="3"/>
        <v>1.1513392501083863</v>
      </c>
      <c r="Y10" s="15">
        <f>'Global Only'!Y10</f>
        <v>0.48486349588664168</v>
      </c>
      <c r="Z10" s="15">
        <f t="shared" si="4"/>
        <v>0.55824237375905672</v>
      </c>
      <c r="AA10" s="16">
        <v>0.52086100830288262</v>
      </c>
      <c r="AB10" s="15">
        <v>0.35247653168269572</v>
      </c>
      <c r="AC10" s="17">
        <v>1.33</v>
      </c>
      <c r="AD10" s="15"/>
      <c r="AE10" s="15"/>
      <c r="AF10" s="22" t="s">
        <v>5</v>
      </c>
      <c r="AG10" s="17">
        <f t="shared" si="0"/>
        <v>14232.107439327303</v>
      </c>
      <c r="AH10" s="17">
        <v>4652.7235706153424</v>
      </c>
      <c r="AI10" s="15">
        <f t="shared" si="5"/>
        <v>1.939409920110766</v>
      </c>
      <c r="AJ10" s="17">
        <f t="shared" si="6"/>
        <v>1.3300000000000003</v>
      </c>
      <c r="AK10" s="15">
        <f t="shared" si="7"/>
        <v>1.1513392501083863</v>
      </c>
      <c r="AL10" s="5">
        <v>26.521000000000001</v>
      </c>
      <c r="AM10" s="5">
        <v>24.673999999999999</v>
      </c>
      <c r="AN10" s="5">
        <f t="shared" si="8"/>
        <v>0.37287791981449947</v>
      </c>
      <c r="AO10" s="5">
        <f t="shared" si="9"/>
        <v>0.93303739161816424</v>
      </c>
      <c r="AP10" t="str">
        <f t="shared" si="10"/>
        <v>Classe 1</v>
      </c>
      <c r="AR10" s="15"/>
    </row>
    <row r="11" spans="1:44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3603.2384948459048</v>
      </c>
      <c r="T11" s="15">
        <v>690</v>
      </c>
      <c r="U11" s="15">
        <v>210000</v>
      </c>
      <c r="V11" s="15">
        <f t="shared" si="11"/>
        <v>3.4306222076839359</v>
      </c>
      <c r="W11" s="63">
        <v>3.9498099999999998</v>
      </c>
      <c r="X11" s="15">
        <f t="shared" si="3"/>
        <v>1.1513392501083863</v>
      </c>
      <c r="Y11" s="15">
        <f>'Global Only'!Y11</f>
        <v>0.32695239054596464</v>
      </c>
      <c r="Z11" s="15">
        <f t="shared" si="4"/>
        <v>0.37643312015233521</v>
      </c>
      <c r="AA11" s="16">
        <v>0.34823805558162985</v>
      </c>
      <c r="AB11" s="15">
        <v>0.35247653168269572</v>
      </c>
      <c r="AC11" s="17">
        <v>1.67</v>
      </c>
      <c r="AD11" s="15"/>
      <c r="AE11" s="15"/>
      <c r="AF11" s="22" t="s">
        <v>5</v>
      </c>
      <c r="AG11" s="17">
        <f t="shared" si="0"/>
        <v>14232.107439327303</v>
      </c>
      <c r="AH11" s="17">
        <v>3279.480145244263</v>
      </c>
      <c r="AI11" s="15">
        <f t="shared" si="5"/>
        <v>1.2300986796528866</v>
      </c>
      <c r="AJ11" s="17">
        <f t="shared" si="6"/>
        <v>1.6700000000000002</v>
      </c>
      <c r="AK11" s="15">
        <f t="shared" si="7"/>
        <v>1.1513392501083863</v>
      </c>
      <c r="AL11" s="5">
        <v>26.521000000000001</v>
      </c>
      <c r="AM11" s="5">
        <v>24.673999999999999</v>
      </c>
      <c r="AN11" s="5">
        <f t="shared" si="8"/>
        <v>0.37287791981449947</v>
      </c>
      <c r="AO11" s="5">
        <f t="shared" si="9"/>
        <v>0.92509940528268242</v>
      </c>
      <c r="AP11" t="str">
        <f t="shared" si="10"/>
        <v>Classe 1</v>
      </c>
      <c r="AR11" s="15"/>
    </row>
    <row r="12" spans="1:44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3603.2384948459048</v>
      </c>
      <c r="T12" s="15">
        <v>690</v>
      </c>
      <c r="U12" s="15">
        <v>210000</v>
      </c>
      <c r="V12" s="15">
        <f t="shared" si="11"/>
        <v>3.4306222076839359</v>
      </c>
      <c r="W12" s="63">
        <v>3.9498099999999998</v>
      </c>
      <c r="X12" s="15">
        <f t="shared" si="3"/>
        <v>1.1513392501083863</v>
      </c>
      <c r="Y12" s="15">
        <f>'Global Only'!Y12</f>
        <v>0.22306637278196431</v>
      </c>
      <c r="Z12" s="15">
        <f t="shared" si="4"/>
        <v>0.25682507036318453</v>
      </c>
      <c r="AA12" s="16">
        <v>0.24788024543680795</v>
      </c>
      <c r="AB12" s="15">
        <v>0.35247653168269572</v>
      </c>
      <c r="AC12" s="17">
        <v>2</v>
      </c>
      <c r="AD12" s="15"/>
      <c r="AE12" s="15"/>
      <c r="AF12" s="22" t="s">
        <v>5</v>
      </c>
      <c r="AG12" s="17">
        <f t="shared" si="0"/>
        <v>14232.107439327303</v>
      </c>
      <c r="AH12" s="17">
        <v>2425.0943858851406</v>
      </c>
      <c r="AI12" s="15">
        <f t="shared" si="5"/>
        <v>0.85765555192098386</v>
      </c>
      <c r="AJ12" s="17">
        <f t="shared" si="6"/>
        <v>2</v>
      </c>
      <c r="AK12" s="15">
        <f t="shared" si="7"/>
        <v>1.1513392501083863</v>
      </c>
      <c r="AL12" s="5">
        <v>26.521000000000001</v>
      </c>
      <c r="AM12" s="5">
        <v>24.673999999999999</v>
      </c>
      <c r="AN12" s="5">
        <f t="shared" si="8"/>
        <v>0.37287791981449947</v>
      </c>
      <c r="AO12" s="5">
        <f t="shared" si="9"/>
        <v>0.96517152739906809</v>
      </c>
      <c r="AP12" t="str">
        <f t="shared" si="10"/>
        <v>Classe 1</v>
      </c>
      <c r="AR12" s="15"/>
    </row>
    <row r="13" spans="1:44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3603.2384948459048</v>
      </c>
      <c r="T13" s="15">
        <v>690</v>
      </c>
      <c r="U13" s="15">
        <v>210000</v>
      </c>
      <c r="V13" s="15">
        <f t="shared" si="11"/>
        <v>3.4306222076839359</v>
      </c>
      <c r="W13" s="63">
        <v>3.9498099999999998</v>
      </c>
      <c r="X13" s="15">
        <f t="shared" si="3"/>
        <v>1.1513392501083863</v>
      </c>
      <c r="Y13" s="15">
        <f>'Global Only'!Y13</f>
        <v>0.13866724567052971</v>
      </c>
      <c r="Z13" s="15">
        <f t="shared" si="4"/>
        <v>0.15965304264490307</v>
      </c>
      <c r="AA13" s="16">
        <v>0.16028394513750838</v>
      </c>
      <c r="AB13" s="15">
        <v>0.35247653168269572</v>
      </c>
      <c r="AC13" s="17">
        <v>2.5</v>
      </c>
      <c r="AD13" s="15"/>
      <c r="AE13" s="15"/>
      <c r="AF13" s="22" t="s">
        <v>5</v>
      </c>
      <c r="AG13" s="17">
        <f t="shared" ref="AG13:AG70" si="12">W13*S13</f>
        <v>14232.107439327303</v>
      </c>
      <c r="AH13" s="17">
        <v>1637.4633253654408</v>
      </c>
      <c r="AI13" s="15">
        <f t="shared" si="5"/>
        <v>0.54889955322942963</v>
      </c>
      <c r="AJ13" s="17">
        <f t="shared" si="6"/>
        <v>2.5</v>
      </c>
      <c r="AK13" s="15">
        <f t="shared" ref="AK13:AK70" si="13">W13/V13</f>
        <v>1.1513392501083863</v>
      </c>
      <c r="AL13" s="5">
        <v>26.521000000000001</v>
      </c>
      <c r="AM13" s="5">
        <v>24.673999999999999</v>
      </c>
      <c r="AN13" s="5">
        <f t="shared" si="8"/>
        <v>0.37287791981449947</v>
      </c>
      <c r="AO13" s="5">
        <f t="shared" si="9"/>
        <v>1.0039517097961519</v>
      </c>
      <c r="AP13" t="str">
        <f t="shared" si="10"/>
        <v>Classe 1</v>
      </c>
      <c r="AR13" s="15"/>
    </row>
    <row r="14" spans="1:44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2789.6913162435312</v>
      </c>
      <c r="T14" s="15">
        <v>690</v>
      </c>
      <c r="U14" s="15">
        <v>210000</v>
      </c>
      <c r="V14" s="15">
        <f t="shared" si="11"/>
        <v>3.4162489392672422</v>
      </c>
      <c r="W14" s="63">
        <v>3.5276800000000001</v>
      </c>
      <c r="X14" s="15">
        <f t="shared" si="3"/>
        <v>1.0326179569210958</v>
      </c>
      <c r="Y14" s="15">
        <f>'Global Only'!Y14</f>
        <v>1.0233385779101531</v>
      </c>
      <c r="Z14" s="15">
        <f t="shared" si="4"/>
        <v>1.056717791560122</v>
      </c>
      <c r="AA14" s="16"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12"/>
        <v>9841.1382624859798</v>
      </c>
      <c r="AH14" s="23">
        <v>9045.6442457914309</v>
      </c>
      <c r="AI14" s="15">
        <f t="shared" si="5"/>
        <v>37.958321547413789</v>
      </c>
      <c r="AJ14" s="17">
        <f t="shared" si="6"/>
        <v>0.30000000000000004</v>
      </c>
      <c r="AK14" s="15">
        <f t="shared" si="13"/>
        <v>1.0326179569210958</v>
      </c>
      <c r="AL14" s="56">
        <v>15.672000000000001</v>
      </c>
      <c r="AM14" s="56">
        <v>14.519</v>
      </c>
      <c r="AN14" s="56">
        <f t="shared" si="8"/>
        <v>0.48507221880909546</v>
      </c>
      <c r="AO14" s="5">
        <f t="shared" si="9"/>
        <v>0.94779990662922653</v>
      </c>
      <c r="AP14" t="str">
        <f t="shared" si="10"/>
        <v>Classe 1</v>
      </c>
      <c r="AR14" s="15"/>
    </row>
    <row r="15" spans="1:44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2789.6913162435312</v>
      </c>
      <c r="T15" s="15">
        <v>690</v>
      </c>
      <c r="U15" s="15">
        <v>210000</v>
      </c>
      <c r="V15" s="15">
        <f t="shared" si="11"/>
        <v>3.4162489392672422</v>
      </c>
      <c r="W15" s="63">
        <v>3.5276800000000001</v>
      </c>
      <c r="X15" s="15">
        <f t="shared" si="3"/>
        <v>1.0326179569210958</v>
      </c>
      <c r="Y15" s="15">
        <f>'Global Only'!Y15</f>
        <v>0.96401337423408162</v>
      </c>
      <c r="Z15" s="15">
        <f t="shared" si="4"/>
        <v>0.9954575209462091</v>
      </c>
      <c r="AA15" s="16">
        <v>0.95651061094233814</v>
      </c>
      <c r="AB15" s="15">
        <v>0.50090177114795964</v>
      </c>
      <c r="AC15" s="17">
        <v>0.5</v>
      </c>
      <c r="AD15" s="15"/>
      <c r="AE15" s="15"/>
      <c r="AF15" s="22" t="s">
        <v>5</v>
      </c>
      <c r="AG15" s="17">
        <f t="shared" si="12"/>
        <v>9841.1382624859798</v>
      </c>
      <c r="AH15" s="17">
        <v>8033.9405558807684</v>
      </c>
      <c r="AI15" s="15">
        <f t="shared" si="5"/>
        <v>13.664995757068967</v>
      </c>
      <c r="AJ15" s="17">
        <f t="shared" si="6"/>
        <v>0.5</v>
      </c>
      <c r="AK15" s="15">
        <f t="shared" si="13"/>
        <v>1.0326179569210958</v>
      </c>
      <c r="AL15" s="5">
        <v>15.672000000000001</v>
      </c>
      <c r="AM15" s="5">
        <v>14.519</v>
      </c>
      <c r="AN15" s="5">
        <f t="shared" si="8"/>
        <v>0.48507221880909546</v>
      </c>
      <c r="AO15" s="5">
        <f t="shared" si="9"/>
        <v>0.96087536717101607</v>
      </c>
      <c r="AP15" t="str">
        <f t="shared" si="10"/>
        <v>Classe 1</v>
      </c>
      <c r="AR15" s="15"/>
    </row>
    <row r="16" spans="1:44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2789.6913162435312</v>
      </c>
      <c r="T16" s="15">
        <v>690</v>
      </c>
      <c r="U16" s="15">
        <v>210000</v>
      </c>
      <c r="V16" s="15">
        <f t="shared" si="11"/>
        <v>3.4162489392672422</v>
      </c>
      <c r="W16" s="63">
        <v>3.5276800000000001</v>
      </c>
      <c r="X16" s="15">
        <f t="shared" si="3"/>
        <v>1.0326179569210958</v>
      </c>
      <c r="Y16" s="15">
        <f>'Global Only'!Y16</f>
        <v>0.77751656818976944</v>
      </c>
      <c r="Z16" s="15">
        <f t="shared" si="4"/>
        <v>0.80287757011642158</v>
      </c>
      <c r="AA16" s="16">
        <v>0.88305777487985138</v>
      </c>
      <c r="AB16" s="15">
        <v>0.50090177114795964</v>
      </c>
      <c r="AC16" s="17">
        <v>0.75</v>
      </c>
      <c r="AD16" s="15"/>
      <c r="AE16" s="15"/>
      <c r="AF16" s="22" t="s">
        <v>5</v>
      </c>
      <c r="AG16" s="17">
        <f t="shared" si="12"/>
        <v>9841.1382624859798</v>
      </c>
      <c r="AH16" s="17">
        <v>6609.5936392584281</v>
      </c>
      <c r="AI16" s="15">
        <f t="shared" si="5"/>
        <v>6.0733314475862068</v>
      </c>
      <c r="AJ16" s="17">
        <f t="shared" si="6"/>
        <v>0.75000000000000011</v>
      </c>
      <c r="AK16" s="15">
        <f t="shared" si="13"/>
        <v>1.0326179569210958</v>
      </c>
      <c r="AL16" s="5">
        <v>15.672000000000001</v>
      </c>
      <c r="AM16" s="5">
        <v>14.519</v>
      </c>
      <c r="AN16" s="5">
        <f t="shared" si="8"/>
        <v>0.48507221880909546</v>
      </c>
      <c r="AO16" s="5">
        <f t="shared" si="9"/>
        <v>1.0998660415333352</v>
      </c>
      <c r="AP16" t="str">
        <f t="shared" si="10"/>
        <v>Classe 1</v>
      </c>
      <c r="AR16" s="15"/>
    </row>
    <row r="17" spans="1:44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2789.6913162435312</v>
      </c>
      <c r="T17" s="15">
        <v>690</v>
      </c>
      <c r="U17" s="15">
        <v>210000</v>
      </c>
      <c r="V17" s="15">
        <f t="shared" si="11"/>
        <v>3.4162489392672422</v>
      </c>
      <c r="W17" s="63">
        <v>3.5276800000000001</v>
      </c>
      <c r="X17" s="15">
        <f t="shared" si="3"/>
        <v>1.0326179569210958</v>
      </c>
      <c r="Y17" s="15">
        <f>'Global Only'!Y17</f>
        <v>0.65661007238766389</v>
      </c>
      <c r="Z17" s="15">
        <f t="shared" si="4"/>
        <v>0.67802735144276227</v>
      </c>
      <c r="AA17" s="16">
        <v>0.75206410150780345</v>
      </c>
      <c r="AB17" s="15">
        <v>0.50090177114795964</v>
      </c>
      <c r="AC17" s="17">
        <v>1</v>
      </c>
      <c r="AD17" s="15"/>
      <c r="AE17" s="15"/>
      <c r="AF17" s="22" t="s">
        <v>5</v>
      </c>
      <c r="AG17" s="17">
        <f t="shared" si="12"/>
        <v>9841.1382624859798</v>
      </c>
      <c r="AH17" s="17">
        <v>5145.7701123708239</v>
      </c>
      <c r="AI17" s="15">
        <f t="shared" si="5"/>
        <v>3.4162489392672417</v>
      </c>
      <c r="AJ17" s="17">
        <f t="shared" si="6"/>
        <v>1</v>
      </c>
      <c r="AK17" s="15">
        <f t="shared" si="13"/>
        <v>1.0326179569210958</v>
      </c>
      <c r="AL17" s="5">
        <v>15.672000000000001</v>
      </c>
      <c r="AM17" s="5">
        <v>14.519</v>
      </c>
      <c r="AN17" s="5">
        <f t="shared" si="8"/>
        <v>0.48507221880909546</v>
      </c>
      <c r="AO17" s="5">
        <f t="shared" si="9"/>
        <v>1.1091943413602707</v>
      </c>
      <c r="AP17" t="str">
        <f t="shared" si="10"/>
        <v>Classe 1</v>
      </c>
      <c r="AR17" s="15"/>
    </row>
    <row r="18" spans="1:44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2789.6913162435312</v>
      </c>
      <c r="T18" s="15">
        <v>690</v>
      </c>
      <c r="U18" s="15">
        <v>210000</v>
      </c>
      <c r="V18" s="15">
        <f t="shared" si="11"/>
        <v>3.4162489392672422</v>
      </c>
      <c r="W18" s="63">
        <v>3.5276800000000001</v>
      </c>
      <c r="X18" s="15">
        <f t="shared" si="3"/>
        <v>1.0326179569210958</v>
      </c>
      <c r="Y18" s="15">
        <f>'Global Only'!Y18</f>
        <v>0.48427405088631992</v>
      </c>
      <c r="Z18" s="15">
        <f t="shared" si="4"/>
        <v>0.50007008101613448</v>
      </c>
      <c r="AA18" s="16">
        <v>0.51755412839560466</v>
      </c>
      <c r="AB18" s="15">
        <v>0.50090177114795964</v>
      </c>
      <c r="AC18" s="17">
        <v>1.33</v>
      </c>
      <c r="AD18" s="15"/>
      <c r="AE18" s="15"/>
      <c r="AF18" s="22" t="s">
        <v>5</v>
      </c>
      <c r="AG18" s="17">
        <f t="shared" si="12"/>
        <v>9841.1382624859798</v>
      </c>
      <c r="AH18" s="17">
        <v>3587.129107303329</v>
      </c>
      <c r="AI18" s="15">
        <f t="shared" si="5"/>
        <v>1.9312843797089951</v>
      </c>
      <c r="AJ18" s="17">
        <f t="shared" si="6"/>
        <v>1.33</v>
      </c>
      <c r="AK18" s="15">
        <f t="shared" si="13"/>
        <v>1.0326179569210958</v>
      </c>
      <c r="AL18" s="5">
        <v>15.672000000000001</v>
      </c>
      <c r="AM18" s="5">
        <v>14.519</v>
      </c>
      <c r="AN18" s="5">
        <f t="shared" si="8"/>
        <v>0.48507221880909546</v>
      </c>
      <c r="AO18" s="5">
        <f t="shared" si="9"/>
        <v>1.0349631942465802</v>
      </c>
      <c r="AP18" t="str">
        <f t="shared" si="10"/>
        <v>Classe 1</v>
      </c>
      <c r="AR18" s="15"/>
    </row>
    <row r="19" spans="1:44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2789.6913162435312</v>
      </c>
      <c r="T19" s="15">
        <v>690</v>
      </c>
      <c r="U19" s="15">
        <v>210000</v>
      </c>
      <c r="V19" s="15">
        <f t="shared" si="11"/>
        <v>3.4162489392672422</v>
      </c>
      <c r="W19" s="63">
        <v>3.5276800000000001</v>
      </c>
      <c r="X19" s="15">
        <f t="shared" si="3"/>
        <v>1.0326179569210958</v>
      </c>
      <c r="Y19" s="15">
        <f>'Global Only'!Y19</f>
        <v>0.32685023119358075</v>
      </c>
      <c r="Z19" s="15">
        <f t="shared" si="4"/>
        <v>0.33751141795430317</v>
      </c>
      <c r="AA19" s="16">
        <v>0.34580789721458771</v>
      </c>
      <c r="AB19" s="15">
        <v>0.50090177114795964</v>
      </c>
      <c r="AC19" s="17">
        <v>1.67</v>
      </c>
      <c r="AD19" s="15"/>
      <c r="AE19" s="15"/>
      <c r="AF19" s="22" t="s">
        <v>5</v>
      </c>
      <c r="AG19" s="17">
        <f t="shared" si="12"/>
        <v>9841.1382624859798</v>
      </c>
      <c r="AH19" s="17">
        <v>2528.3940701151973</v>
      </c>
      <c r="AI19" s="15">
        <f t="shared" si="5"/>
        <v>1.2249449386020448</v>
      </c>
      <c r="AJ19" s="17">
        <f t="shared" si="6"/>
        <v>1.67</v>
      </c>
      <c r="AK19" s="15">
        <f t="shared" si="13"/>
        <v>1.0326179569210958</v>
      </c>
      <c r="AL19" s="5">
        <v>15.672000000000001</v>
      </c>
      <c r="AM19" s="5">
        <v>14.519</v>
      </c>
      <c r="AN19" s="5">
        <f t="shared" si="8"/>
        <v>0.48507221880909546</v>
      </c>
      <c r="AO19" s="5">
        <f t="shared" si="9"/>
        <v>1.0245813291608636</v>
      </c>
      <c r="AP19" t="str">
        <f t="shared" si="10"/>
        <v>Classe 1</v>
      </c>
      <c r="AR19" s="15"/>
    </row>
    <row r="20" spans="1:44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2789.6913162435312</v>
      </c>
      <c r="T20" s="15">
        <v>690</v>
      </c>
      <c r="U20" s="15">
        <v>210000</v>
      </c>
      <c r="V20" s="15">
        <f t="shared" si="11"/>
        <v>3.4162489392672422</v>
      </c>
      <c r="W20" s="63">
        <v>3.5276800000000001</v>
      </c>
      <c r="X20" s="15">
        <f t="shared" si="3"/>
        <v>1.0326179569210958</v>
      </c>
      <c r="Y20" s="15">
        <f>'Global Only'!Y20</f>
        <v>0.22333458317710916</v>
      </c>
      <c r="Z20" s="15">
        <f t="shared" si="4"/>
        <v>0.230619300990171</v>
      </c>
      <c r="AA20" s="16">
        <v>0.24605854039785843</v>
      </c>
      <c r="AB20" s="15">
        <v>0.50090177114795964</v>
      </c>
      <c r="AC20" s="17">
        <v>2</v>
      </c>
      <c r="AD20" s="15"/>
      <c r="AE20" s="15"/>
      <c r="AF20" s="22" t="s">
        <v>5</v>
      </c>
      <c r="AG20" s="17">
        <f t="shared" si="12"/>
        <v>9841.1382624859798</v>
      </c>
      <c r="AH20" s="17">
        <v>1869.6848260031022</v>
      </c>
      <c r="AI20" s="15">
        <f t="shared" si="5"/>
        <v>0.85406223481681043</v>
      </c>
      <c r="AJ20" s="17">
        <f t="shared" si="6"/>
        <v>2</v>
      </c>
      <c r="AK20" s="15">
        <f t="shared" si="13"/>
        <v>1.0326179569210958</v>
      </c>
      <c r="AL20" s="5">
        <v>15.672000000000001</v>
      </c>
      <c r="AM20" s="5">
        <v>14.519</v>
      </c>
      <c r="AN20" s="5">
        <f t="shared" si="8"/>
        <v>0.48507221880909546</v>
      </c>
      <c r="AO20" s="5">
        <f t="shared" si="9"/>
        <v>1.066946865858142</v>
      </c>
      <c r="AP20" t="str">
        <f t="shared" si="10"/>
        <v>Classe 1</v>
      </c>
      <c r="AR20" s="15"/>
    </row>
    <row r="21" spans="1:44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2789.6913162435312</v>
      </c>
      <c r="T21" s="15">
        <v>690</v>
      </c>
      <c r="U21" s="15">
        <v>210000</v>
      </c>
      <c r="V21" s="15">
        <f t="shared" si="11"/>
        <v>3.4162489392672422</v>
      </c>
      <c r="W21" s="63">
        <v>3.5276800000000001</v>
      </c>
      <c r="X21" s="15">
        <f t="shared" si="3"/>
        <v>1.0326179569210958</v>
      </c>
      <c r="Y21" s="15">
        <f>'Global Only'!Y21</f>
        <v>0.13921663099944792</v>
      </c>
      <c r="Z21" s="15">
        <f>X21*Y21</f>
        <v>0.14375759307208802</v>
      </c>
      <c r="AA21" s="16">
        <v>0.15897214946893162</v>
      </c>
      <c r="AB21" s="15">
        <v>0.50090177114795964</v>
      </c>
      <c r="AC21" s="17">
        <v>2.5</v>
      </c>
      <c r="AD21" s="15"/>
      <c r="AE21" s="15"/>
      <c r="AF21" s="22" t="s">
        <v>5</v>
      </c>
      <c r="AG21" s="17">
        <f t="shared" si="12"/>
        <v>9841.1382624859798</v>
      </c>
      <c r="AH21" s="17">
        <v>1262.4417220177211</v>
      </c>
      <c r="AI21" s="15">
        <f t="shared" si="5"/>
        <v>0.54659983028275871</v>
      </c>
      <c r="AJ21" s="17">
        <f t="shared" si="6"/>
        <v>2.5</v>
      </c>
      <c r="AK21" s="15">
        <f t="shared" si="13"/>
        <v>1.0326179569210958</v>
      </c>
      <c r="AL21" s="5">
        <v>15.672000000000001</v>
      </c>
      <c r="AM21" s="5">
        <v>14.519</v>
      </c>
      <c r="AN21" s="5">
        <f t="shared" si="8"/>
        <v>0.48507221880909546</v>
      </c>
      <c r="AO21" s="5">
        <f t="shared" si="9"/>
        <v>1.1058348019865232</v>
      </c>
      <c r="AP21" t="str">
        <f t="shared" si="10"/>
        <v>Classe 1</v>
      </c>
      <c r="AR21" s="15"/>
    </row>
    <row r="22" spans="1:44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2441.3379598150127</v>
      </c>
      <c r="T22" s="15">
        <v>690</v>
      </c>
      <c r="U22" s="15">
        <v>210000</v>
      </c>
      <c r="V22" s="15">
        <f t="shared" si="11"/>
        <v>3.4082298874468324</v>
      </c>
      <c r="W22" s="63">
        <v>3.4482900000000001</v>
      </c>
      <c r="X22" s="15">
        <f t="shared" si="3"/>
        <v>1.011753934997377</v>
      </c>
      <c r="Y22" s="15">
        <f>'Global Only'!Y22</f>
        <v>1.0257399576536981</v>
      </c>
      <c r="Z22" s="15">
        <f t="shared" si="4"/>
        <v>1.0377964384401719</v>
      </c>
      <c r="AA22" s="16"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12"/>
        <v>8418.4412734505095</v>
      </c>
      <c r="AH22" s="17">
        <v>7897.5180564418115</v>
      </c>
      <c r="AI22" s="15">
        <f t="shared" si="5"/>
        <v>37.869220971631457</v>
      </c>
      <c r="AJ22" s="17">
        <f t="shared" si="6"/>
        <v>0.30000000000000004</v>
      </c>
      <c r="AK22" s="15">
        <f t="shared" si="13"/>
        <v>1.011753934997377</v>
      </c>
      <c r="AL22" s="56">
        <v>10.936</v>
      </c>
      <c r="AM22" s="56">
        <v>10.108000000000001</v>
      </c>
      <c r="AN22" s="56">
        <f t="shared" si="8"/>
        <v>0.58067325520309199</v>
      </c>
      <c r="AO22" s="5">
        <f t="shared" si="9"/>
        <v>0.95912519954361308</v>
      </c>
      <c r="AP22" t="str">
        <f t="shared" si="10"/>
        <v>Hors classe</v>
      </c>
      <c r="AR22" s="15"/>
    </row>
    <row r="23" spans="1:44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2441.3379598150127</v>
      </c>
      <c r="T23" s="15">
        <v>690</v>
      </c>
      <c r="U23" s="15">
        <v>210000</v>
      </c>
      <c r="V23" s="15">
        <f t="shared" si="11"/>
        <v>3.4082298874468324</v>
      </c>
      <c r="W23" s="63">
        <v>3.4482900000000001</v>
      </c>
      <c r="X23" s="15">
        <f t="shared" si="3"/>
        <v>1.011753934997377</v>
      </c>
      <c r="Y23" s="15">
        <f>'Global Only'!Y23</f>
        <v>0.95851784854839284</v>
      </c>
      <c r="Z23" s="15">
        <f t="shared" si="4"/>
        <v>0.96978420503405627</v>
      </c>
      <c r="AA23" s="16">
        <v>0.94942226065073898</v>
      </c>
      <c r="AB23" s="15">
        <v>0.60431763065185862</v>
      </c>
      <c r="AC23" s="17">
        <v>0.5</v>
      </c>
      <c r="AD23" s="15"/>
      <c r="AE23" s="15"/>
      <c r="AF23" s="22" t="s">
        <v>5</v>
      </c>
      <c r="AG23" s="17">
        <f t="shared" si="12"/>
        <v>8418.4412734505095</v>
      </c>
      <c r="AH23" s="17">
        <v>7014.2257290262514</v>
      </c>
      <c r="AI23" s="15">
        <f t="shared" si="5"/>
        <v>13.632919549787326</v>
      </c>
      <c r="AJ23" s="17">
        <f t="shared" si="6"/>
        <v>0.5</v>
      </c>
      <c r="AK23" s="15">
        <f t="shared" si="13"/>
        <v>1.011753934997377</v>
      </c>
      <c r="AL23" s="5">
        <v>10.936</v>
      </c>
      <c r="AM23" s="5">
        <v>10.108000000000001</v>
      </c>
      <c r="AN23" s="5">
        <f t="shared" si="8"/>
        <v>0.58067325520309199</v>
      </c>
      <c r="AO23" s="5">
        <f t="shared" si="9"/>
        <v>0.9790036337180783</v>
      </c>
      <c r="AP23" t="str">
        <f t="shared" si="10"/>
        <v>Hors classe</v>
      </c>
      <c r="AR23" s="15"/>
    </row>
    <row r="24" spans="1:44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2441.3379598150127</v>
      </c>
      <c r="T24" s="15">
        <v>690</v>
      </c>
      <c r="U24" s="15">
        <v>210000</v>
      </c>
      <c r="V24" s="15">
        <f t="shared" si="11"/>
        <v>3.4082298874468324</v>
      </c>
      <c r="W24" s="63">
        <v>3.4482900000000001</v>
      </c>
      <c r="X24" s="15">
        <f t="shared" si="3"/>
        <v>1.011753934997377</v>
      </c>
      <c r="Y24" s="15">
        <f>'Global Only'!Y24</f>
        <v>0.77094407819179489</v>
      </c>
      <c r="Z24" s="15">
        <f t="shared" si="4"/>
        <v>0.78000570477347397</v>
      </c>
      <c r="AA24" s="16">
        <v>0.87443612984816188</v>
      </c>
      <c r="AB24" s="15">
        <v>0.60431763065185862</v>
      </c>
      <c r="AC24" s="17">
        <v>0.75</v>
      </c>
      <c r="AD24" s="15"/>
      <c r="AE24" s="15"/>
      <c r="AF24" s="22" t="s">
        <v>5</v>
      </c>
      <c r="AG24" s="17">
        <f t="shared" si="12"/>
        <v>8418.4412734505095</v>
      </c>
      <c r="AH24" s="17">
        <v>5770.6652719702761</v>
      </c>
      <c r="AI24" s="15">
        <f t="shared" si="5"/>
        <v>6.0590753554610339</v>
      </c>
      <c r="AJ24" s="17">
        <f t="shared" si="6"/>
        <v>0.75000000000000011</v>
      </c>
      <c r="AK24" s="15">
        <f t="shared" si="13"/>
        <v>1.011753934997377</v>
      </c>
      <c r="AL24" s="5">
        <v>10.936</v>
      </c>
      <c r="AM24" s="5">
        <v>10.108000000000001</v>
      </c>
      <c r="AN24" s="5">
        <f t="shared" si="8"/>
        <v>0.58067325520309199</v>
      </c>
      <c r="AO24" s="5">
        <f t="shared" si="9"/>
        <v>1.1210637620940376</v>
      </c>
      <c r="AP24" t="str">
        <f t="shared" si="10"/>
        <v>Hors classe</v>
      </c>
      <c r="AR24" s="15"/>
    </row>
    <row r="25" spans="1:44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2441.3379598150127</v>
      </c>
      <c r="T25" s="15">
        <v>690</v>
      </c>
      <c r="U25" s="15">
        <v>210000</v>
      </c>
      <c r="V25" s="15">
        <f t="shared" si="11"/>
        <v>3.4082298874468324</v>
      </c>
      <c r="W25" s="63">
        <v>3.4482900000000001</v>
      </c>
      <c r="X25" s="15">
        <f t="shared" si="3"/>
        <v>1.011753934997377</v>
      </c>
      <c r="Y25" s="15">
        <f>'Global Only'!Y25</f>
        <v>0.65572973243286881</v>
      </c>
      <c r="Z25" s="15">
        <f t="shared" si="4"/>
        <v>0.6634371370837322</v>
      </c>
      <c r="AA25" s="16">
        <v>0.74831383929299977</v>
      </c>
      <c r="AB25" s="15">
        <v>0.60431763065185862</v>
      </c>
      <c r="AC25" s="17">
        <v>1</v>
      </c>
      <c r="AD25" s="15"/>
      <c r="AE25" s="15"/>
      <c r="AF25" s="22" t="s">
        <v>5</v>
      </c>
      <c r="AG25" s="17">
        <f t="shared" si="12"/>
        <v>8418.4412734505095</v>
      </c>
      <c r="AH25" s="17">
        <v>4492.6388074188026</v>
      </c>
      <c r="AI25" s="15">
        <f t="shared" si="5"/>
        <v>3.4082298874468315</v>
      </c>
      <c r="AJ25" s="17">
        <f t="shared" si="6"/>
        <v>1</v>
      </c>
      <c r="AK25" s="15">
        <f t="shared" si="13"/>
        <v>1.011753934997377</v>
      </c>
      <c r="AL25" s="5">
        <v>10.936</v>
      </c>
      <c r="AM25" s="5">
        <v>10.108000000000001</v>
      </c>
      <c r="AN25" s="5">
        <f t="shared" si="8"/>
        <v>0.58067325520309199</v>
      </c>
      <c r="AO25" s="5">
        <f t="shared" si="9"/>
        <v>1.1279348071806166</v>
      </c>
      <c r="AP25" t="str">
        <f t="shared" si="10"/>
        <v>Hors classe</v>
      </c>
      <c r="AR25" s="15"/>
    </row>
    <row r="26" spans="1:44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2441.3379598150127</v>
      </c>
      <c r="T26" s="15">
        <v>690</v>
      </c>
      <c r="U26" s="15">
        <v>210000</v>
      </c>
      <c r="V26" s="15">
        <f t="shared" si="11"/>
        <v>3.4082298874468324</v>
      </c>
      <c r="W26" s="63">
        <v>3.4482900000000001</v>
      </c>
      <c r="X26" s="15">
        <f t="shared" si="3"/>
        <v>1.011753934997377</v>
      </c>
      <c r="Y26" s="15">
        <f>'Global Only'!Y26</f>
        <v>0.48455797800243861</v>
      </c>
      <c r="Z26" s="15">
        <f t="shared" si="4"/>
        <v>0.49025344097833967</v>
      </c>
      <c r="AA26" s="16">
        <v>0.51561086595903483</v>
      </c>
      <c r="AB26" s="15">
        <v>0.60431763065185862</v>
      </c>
      <c r="AC26" s="17">
        <v>1.33</v>
      </c>
      <c r="AD26" s="15"/>
      <c r="AE26" s="15"/>
      <c r="AF26" s="22" t="s">
        <v>5</v>
      </c>
      <c r="AG26" s="17">
        <f t="shared" si="12"/>
        <v>8418.4412734505095</v>
      </c>
      <c r="AH26" s="17">
        <v>3131.8296547972859</v>
      </c>
      <c r="AI26" s="15">
        <f t="shared" si="5"/>
        <v>1.9267510246180288</v>
      </c>
      <c r="AJ26" s="17">
        <f t="shared" si="6"/>
        <v>1.3300000000000003</v>
      </c>
      <c r="AK26" s="15">
        <f t="shared" si="13"/>
        <v>1.011753934997377</v>
      </c>
      <c r="AL26" s="5">
        <v>10.936</v>
      </c>
      <c r="AM26" s="5">
        <v>10.108000000000001</v>
      </c>
      <c r="AN26" s="5">
        <f t="shared" si="8"/>
        <v>0.58067325520309199</v>
      </c>
      <c r="AO26" s="5">
        <f t="shared" si="9"/>
        <v>1.0517230943450238</v>
      </c>
      <c r="AP26" t="str">
        <f t="shared" si="10"/>
        <v>Hors classe</v>
      </c>
      <c r="AR26" s="15"/>
    </row>
    <row r="27" spans="1:44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2441.3379598150127</v>
      </c>
      <c r="T27" s="15">
        <v>690</v>
      </c>
      <c r="U27" s="15">
        <v>210000</v>
      </c>
      <c r="V27" s="15">
        <f t="shared" si="11"/>
        <v>3.4082298874468324</v>
      </c>
      <c r="W27" s="63">
        <v>3.4482900000000001</v>
      </c>
      <c r="X27" s="15">
        <f t="shared" si="3"/>
        <v>1.011753934997377</v>
      </c>
      <c r="Y27" s="15">
        <f>'Global Only'!Y27</f>
        <v>0.32688312133401404</v>
      </c>
      <c r="Z27" s="15">
        <f t="shared" si="4"/>
        <v>0.33072528429391373</v>
      </c>
      <c r="AA27" s="16">
        <v>0.3444480394134416</v>
      </c>
      <c r="AB27" s="15">
        <v>0.60431763065185862</v>
      </c>
      <c r="AC27" s="17">
        <v>1.67</v>
      </c>
      <c r="AD27" s="15"/>
      <c r="AE27" s="15"/>
      <c r="AF27" s="22" t="s">
        <v>5</v>
      </c>
      <c r="AG27" s="17">
        <f t="shared" si="12"/>
        <v>8418.4412734505095</v>
      </c>
      <c r="AH27" s="17">
        <v>2207.4754743782323</v>
      </c>
      <c r="AI27" s="15">
        <f t="shared" si="5"/>
        <v>1.2220695928311636</v>
      </c>
      <c r="AJ27" s="17">
        <f t="shared" si="6"/>
        <v>1.6700000000000002</v>
      </c>
      <c r="AK27" s="15">
        <f t="shared" si="13"/>
        <v>1.011753934997377</v>
      </c>
      <c r="AL27" s="5">
        <v>10.936</v>
      </c>
      <c r="AM27" s="5">
        <v>10.108000000000001</v>
      </c>
      <c r="AN27" s="5">
        <f t="shared" si="8"/>
        <v>0.58067325520309199</v>
      </c>
      <c r="AO27" s="5">
        <f t="shared" si="9"/>
        <v>1.0414929120064873</v>
      </c>
      <c r="AP27" t="str">
        <f t="shared" si="10"/>
        <v>Hors classe</v>
      </c>
      <c r="AR27" s="15"/>
    </row>
    <row r="28" spans="1:44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2441.3379598150127</v>
      </c>
      <c r="T28" s="15">
        <v>690</v>
      </c>
      <c r="U28" s="15">
        <v>210000</v>
      </c>
      <c r="V28" s="15">
        <f t="shared" si="11"/>
        <v>3.4082298874468324</v>
      </c>
      <c r="W28" s="63">
        <v>3.4482900000000001</v>
      </c>
      <c r="X28" s="15">
        <f t="shared" si="3"/>
        <v>1.011753934997377</v>
      </c>
      <c r="Y28" s="15">
        <f>'Global Only'!Y28</f>
        <v>0.22357801411718653</v>
      </c>
      <c r="Z28" s="15">
        <f t="shared" si="4"/>
        <v>0.22620593556196258</v>
      </c>
      <c r="AA28" s="16">
        <v>0.24502437246036229</v>
      </c>
      <c r="AB28" s="15">
        <v>0.60431763065185862</v>
      </c>
      <c r="AC28" s="17">
        <v>2</v>
      </c>
      <c r="AD28" s="15"/>
      <c r="AE28" s="15"/>
      <c r="AF28" s="22" t="s">
        <v>5</v>
      </c>
      <c r="AG28" s="17">
        <f t="shared" si="12"/>
        <v>8418.4412734505095</v>
      </c>
      <c r="AH28" s="17">
        <v>1632.3734685989571</v>
      </c>
      <c r="AI28" s="15">
        <f t="shared" si="5"/>
        <v>0.85205747186170788</v>
      </c>
      <c r="AJ28" s="17">
        <f t="shared" si="6"/>
        <v>2</v>
      </c>
      <c r="AK28" s="15">
        <f t="shared" si="13"/>
        <v>1.011753934997377</v>
      </c>
      <c r="AL28" s="5">
        <v>10.936</v>
      </c>
      <c r="AM28" s="5">
        <v>10.108000000000001</v>
      </c>
      <c r="AN28" s="5">
        <f t="shared" si="8"/>
        <v>0.58067325520309199</v>
      </c>
      <c r="AO28" s="5">
        <f t="shared" si="9"/>
        <v>1.0831916140999975</v>
      </c>
      <c r="AP28" t="str">
        <f t="shared" si="10"/>
        <v>Hors classe</v>
      </c>
      <c r="AR28" s="15"/>
    </row>
    <row r="29" spans="1:44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2441.3379598150127</v>
      </c>
      <c r="T29" s="15">
        <v>690</v>
      </c>
      <c r="U29" s="15">
        <v>210000</v>
      </c>
      <c r="V29" s="15">
        <f t="shared" si="11"/>
        <v>3.4082298874468324</v>
      </c>
      <c r="W29" s="63">
        <v>3.4482900000000001</v>
      </c>
      <c r="X29" s="15">
        <f t="shared" si="3"/>
        <v>1.011753934997377</v>
      </c>
      <c r="Y29" s="15">
        <f>'Global Only'!Y29</f>
        <v>0.13958488480899567</v>
      </c>
      <c r="Z29" s="15">
        <f t="shared" si="4"/>
        <v>0.14122555647165697</v>
      </c>
      <c r="AA29" s="16">
        <v>0.15827159153975226</v>
      </c>
      <c r="AB29" s="15">
        <v>0.60431763065185862</v>
      </c>
      <c r="AC29" s="17">
        <v>2.5</v>
      </c>
      <c r="AD29" s="15"/>
      <c r="AE29" s="15"/>
      <c r="AF29" s="22" t="s">
        <v>5</v>
      </c>
      <c r="AG29" s="17">
        <f t="shared" si="12"/>
        <v>8418.4412734505095</v>
      </c>
      <c r="AH29" s="17">
        <v>1102.2052187691497</v>
      </c>
      <c r="AI29" s="15">
        <f t="shared" si="5"/>
        <v>0.54531678199149314</v>
      </c>
      <c r="AJ29" s="17">
        <f t="shared" si="6"/>
        <v>2.5</v>
      </c>
      <c r="AK29" s="15">
        <f t="shared" si="13"/>
        <v>1.011753934997377</v>
      </c>
      <c r="AL29" s="5">
        <v>10.936</v>
      </c>
      <c r="AM29" s="5">
        <v>10.108000000000001</v>
      </c>
      <c r="AN29" s="5">
        <f t="shared" si="8"/>
        <v>0.58067325520309199</v>
      </c>
      <c r="AO29" s="5">
        <f t="shared" si="9"/>
        <v>1.1207007817421226</v>
      </c>
      <c r="AP29" t="str">
        <f t="shared" si="10"/>
        <v>Hors classe</v>
      </c>
      <c r="AR29" s="15"/>
    </row>
    <row r="30" spans="1:44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1973.3653319709713</v>
      </c>
      <c r="T30" s="15">
        <v>690</v>
      </c>
      <c r="U30" s="15">
        <v>210000</v>
      </c>
      <c r="V30" s="15">
        <f t="shared" si="11"/>
        <v>3.3948148837239973</v>
      </c>
      <c r="W30" s="63">
        <v>3.00576</v>
      </c>
      <c r="X30" s="15">
        <f t="shared" si="3"/>
        <v>0.88539732001610139</v>
      </c>
      <c r="Y30" s="15">
        <f>'Global Only'!Y30</f>
        <v>1.0302345937397397</v>
      </c>
      <c r="Z30" s="15">
        <f t="shared" si="4"/>
        <v>0.91216694828504252</v>
      </c>
      <c r="AA30" s="16"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12"/>
        <v>5931.4625802250666</v>
      </c>
      <c r="AH30" s="17">
        <v>6358.5403983774268</v>
      </c>
      <c r="AI30" s="15">
        <f t="shared" si="5"/>
        <v>37.72016537471108</v>
      </c>
      <c r="AJ30" s="17">
        <f t="shared" si="6"/>
        <v>0.30000000000000004</v>
      </c>
      <c r="AK30" s="15">
        <f t="shared" si="13"/>
        <v>0.88539732001610139</v>
      </c>
      <c r="AL30" s="56">
        <v>6.1308999999999996</v>
      </c>
      <c r="AM30" s="56">
        <v>5.6441999999999997</v>
      </c>
      <c r="AN30" s="56">
        <f t="shared" si="8"/>
        <v>0.77554473092109466</v>
      </c>
      <c r="AO30" s="5">
        <f t="shared" si="9"/>
        <v>1.0231825429357921</v>
      </c>
      <c r="AP30" t="str">
        <f t="shared" ref="AP30:AP70" si="14">IF(AND(AK30&gt;=1.03,AK30&lt;=1.15),"Classe 1",IF(AND(AK30&gt;=0.88,AK30&lt;=1.01),"Classe 2",IF(AND(AK30&gt;=0.8179,AK30&lt;=0.819),"Classe 3","Hors classe")))</f>
        <v>Classe 2</v>
      </c>
      <c r="AR30" s="15"/>
    </row>
    <row r="31" spans="1:44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1973.3653319709713</v>
      </c>
      <c r="T31" s="15">
        <v>690</v>
      </c>
      <c r="U31" s="15">
        <v>210000</v>
      </c>
      <c r="V31" s="15">
        <f t="shared" si="11"/>
        <v>3.3948148837239973</v>
      </c>
      <c r="W31" s="63">
        <v>3.00576</v>
      </c>
      <c r="X31" s="15">
        <f t="shared" si="3"/>
        <v>0.88539732001610139</v>
      </c>
      <c r="Y31" s="15">
        <f>'Global Only'!Y31</f>
        <v>0.94050476498925339</v>
      </c>
      <c r="Z31" s="15">
        <f t="shared" si="4"/>
        <v>0.83272039838385825</v>
      </c>
      <c r="AA31" s="16">
        <v>0.90905985012181756</v>
      </c>
      <c r="AB31" s="15">
        <v>0.80783434531025655</v>
      </c>
      <c r="AC31" s="17">
        <v>0.5</v>
      </c>
      <c r="AD31" s="15"/>
      <c r="AE31" s="15"/>
      <c r="AF31" s="22" t="s">
        <v>5</v>
      </c>
      <c r="AG31" s="17">
        <f t="shared" si="12"/>
        <v>5931.4625802250666</v>
      </c>
      <c r="AH31" s="17">
        <v>5647.3739398382841</v>
      </c>
      <c r="AI31" s="15">
        <f t="shared" si="5"/>
        <v>13.579259534895989</v>
      </c>
      <c r="AJ31" s="17">
        <f t="shared" si="6"/>
        <v>0.5</v>
      </c>
      <c r="AK31" s="15">
        <f t="shared" si="13"/>
        <v>0.88539732001610139</v>
      </c>
      <c r="AL31" s="5">
        <v>6.1308999999999996</v>
      </c>
      <c r="AM31" s="5">
        <v>5.6441999999999997</v>
      </c>
      <c r="AN31" s="5">
        <f t="shared" si="8"/>
        <v>0.77554473092109466</v>
      </c>
      <c r="AO31" s="5">
        <f t="shared" si="9"/>
        <v>1.0916747708908281</v>
      </c>
      <c r="AP31" t="str">
        <f t="shared" si="14"/>
        <v>Classe 2</v>
      </c>
      <c r="AR31" s="15"/>
    </row>
    <row r="32" spans="1:44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1973.3653319709713</v>
      </c>
      <c r="T32" s="15">
        <v>690</v>
      </c>
      <c r="U32" s="15">
        <v>210000</v>
      </c>
      <c r="V32" s="15">
        <f t="shared" si="11"/>
        <v>3.3948148837239973</v>
      </c>
      <c r="W32" s="63">
        <v>3.00576</v>
      </c>
      <c r="X32" s="15">
        <f t="shared" si="3"/>
        <v>0.88539732001610139</v>
      </c>
      <c r="Y32" s="15">
        <f>'Global Only'!Y32</f>
        <v>0.75881747966484991</v>
      </c>
      <c r="Z32" s="15">
        <f t="shared" si="4"/>
        <v>0.6718549628766306</v>
      </c>
      <c r="AA32" s="16">
        <v>0.84886049840159417</v>
      </c>
      <c r="AB32" s="15">
        <v>0.80783434531025655</v>
      </c>
      <c r="AC32" s="17">
        <v>0.75</v>
      </c>
      <c r="AD32" s="15"/>
      <c r="AE32" s="15"/>
      <c r="AF32" s="22" t="s">
        <v>5</v>
      </c>
      <c r="AG32" s="17">
        <f t="shared" si="12"/>
        <v>5931.4625802250666</v>
      </c>
      <c r="AH32" s="17">
        <v>4646.1442690095619</v>
      </c>
      <c r="AI32" s="15">
        <f t="shared" si="5"/>
        <v>6.0352264599537726</v>
      </c>
      <c r="AJ32" s="17">
        <f t="shared" si="6"/>
        <v>0.75</v>
      </c>
      <c r="AK32" s="15">
        <f t="shared" si="13"/>
        <v>0.88539732001610139</v>
      </c>
      <c r="AL32" s="5">
        <v>6.1308999999999996</v>
      </c>
      <c r="AM32" s="5">
        <v>5.6441999999999997</v>
      </c>
      <c r="AN32" s="5">
        <f t="shared" si="8"/>
        <v>0.77554473092109466</v>
      </c>
      <c r="AO32" s="5">
        <f t="shared" si="9"/>
        <v>1.2634579564123369</v>
      </c>
      <c r="AP32" t="str">
        <f t="shared" si="14"/>
        <v>Classe 2</v>
      </c>
      <c r="AR32" s="15"/>
    </row>
    <row r="33" spans="1:44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1973.3653319709713</v>
      </c>
      <c r="T33" s="15">
        <v>690</v>
      </c>
      <c r="U33" s="15">
        <v>210000</v>
      </c>
      <c r="V33" s="15">
        <f t="shared" si="11"/>
        <v>3.3948148837239973</v>
      </c>
      <c r="W33" s="63">
        <v>3.00576</v>
      </c>
      <c r="X33" s="15">
        <f t="shared" si="3"/>
        <v>0.88539732001610139</v>
      </c>
      <c r="Y33" s="15">
        <f>'Global Only'!Y33</f>
        <v>0.6552230796265035</v>
      </c>
      <c r="Z33" s="15">
        <f t="shared" si="4"/>
        <v>0.58013275871400283</v>
      </c>
      <c r="AA33" s="16">
        <v>0.73814447338597267</v>
      </c>
      <c r="AB33" s="15">
        <v>0.80783434531025655</v>
      </c>
      <c r="AC33" s="17">
        <v>1</v>
      </c>
      <c r="AD33" s="15"/>
      <c r="AE33" s="15"/>
      <c r="AF33" s="22" t="s">
        <v>5</v>
      </c>
      <c r="AG33" s="17">
        <f t="shared" si="12"/>
        <v>5931.4625802250666</v>
      </c>
      <c r="AH33" s="17">
        <v>3617.1649305682245</v>
      </c>
      <c r="AI33" s="15">
        <f t="shared" si="5"/>
        <v>3.3948148837239973</v>
      </c>
      <c r="AJ33" s="17">
        <f t="shared" si="6"/>
        <v>1</v>
      </c>
      <c r="AK33" s="15">
        <f t="shared" si="13"/>
        <v>0.88539732001610139</v>
      </c>
      <c r="AL33" s="5">
        <v>6.1308999999999996</v>
      </c>
      <c r="AM33" s="5">
        <v>5.6441999999999997</v>
      </c>
      <c r="AN33" s="5">
        <f t="shared" si="8"/>
        <v>0.77554473092109466</v>
      </c>
      <c r="AO33" s="5">
        <f t="shared" si="9"/>
        <v>1.2723716464869852</v>
      </c>
      <c r="AP33" t="str">
        <f t="shared" si="14"/>
        <v>Classe 2</v>
      </c>
      <c r="AR33" s="15"/>
    </row>
    <row r="34" spans="1:44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1973.3653319709713</v>
      </c>
      <c r="T34" s="15">
        <v>690</v>
      </c>
      <c r="U34" s="15">
        <v>210000</v>
      </c>
      <c r="V34" s="15">
        <f t="shared" si="11"/>
        <v>3.3948148837239973</v>
      </c>
      <c r="W34" s="63">
        <v>3.00576</v>
      </c>
      <c r="X34" s="15">
        <f t="shared" si="3"/>
        <v>0.88539732001610139</v>
      </c>
      <c r="Y34" s="15">
        <f>'Global Only'!Y34</f>
        <v>0.48547353406011506</v>
      </c>
      <c r="Z34" s="15">
        <f t="shared" si="4"/>
        <v>0.42983696599557142</v>
      </c>
      <c r="AA34" s="16">
        <v>0.51157593476810537</v>
      </c>
      <c r="AB34" s="15">
        <v>0.80783434531025655</v>
      </c>
      <c r="AC34" s="17">
        <v>1.33</v>
      </c>
      <c r="AD34" s="15"/>
      <c r="AE34" s="15"/>
      <c r="AF34" s="22" t="s">
        <v>5</v>
      </c>
      <c r="AG34" s="17">
        <f t="shared" si="12"/>
        <v>5931.4625802250666</v>
      </c>
      <c r="AH34" s="17">
        <v>2521.5346439913133</v>
      </c>
      <c r="AI34" s="15">
        <f t="shared" si="5"/>
        <v>1.919167213366497</v>
      </c>
      <c r="AJ34" s="17">
        <f t="shared" si="6"/>
        <v>1.33</v>
      </c>
      <c r="AK34" s="15">
        <f t="shared" si="13"/>
        <v>0.88539732001610139</v>
      </c>
      <c r="AL34" s="5">
        <v>6.1308999999999996</v>
      </c>
      <c r="AM34" s="5">
        <v>5.6441999999999997</v>
      </c>
      <c r="AN34" s="5">
        <f t="shared" si="8"/>
        <v>0.77554473092109466</v>
      </c>
      <c r="AO34" s="5">
        <f t="shared" si="9"/>
        <v>1.190162725030439</v>
      </c>
      <c r="AP34" t="str">
        <f t="shared" si="14"/>
        <v>Classe 2</v>
      </c>
      <c r="AR34" s="15"/>
    </row>
    <row r="35" spans="1:44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1973.3653319709713</v>
      </c>
      <c r="T35" s="15">
        <v>690</v>
      </c>
      <c r="U35" s="15">
        <v>210000</v>
      </c>
      <c r="V35" s="15">
        <f t="shared" si="11"/>
        <v>3.3948148837239973</v>
      </c>
      <c r="W35" s="63">
        <v>3.00576</v>
      </c>
      <c r="X35" s="15">
        <f t="shared" si="3"/>
        <v>0.88539732001610139</v>
      </c>
      <c r="Y35" s="15">
        <f>'Global Only'!Y35</f>
        <v>0.32708673484558348</v>
      </c>
      <c r="Z35" s="15">
        <f t="shared" si="4"/>
        <v>0.2896017184450968</v>
      </c>
      <c r="AA35" s="16">
        <v>0.34188295647081196</v>
      </c>
      <c r="AB35" s="15">
        <v>0.80783434531025655</v>
      </c>
      <c r="AC35" s="17">
        <v>1.67</v>
      </c>
      <c r="AD35" s="15"/>
      <c r="AE35" s="15"/>
      <c r="AF35" s="22" t="s">
        <v>5</v>
      </c>
      <c r="AG35" s="17">
        <f t="shared" si="12"/>
        <v>5931.4625802250666</v>
      </c>
      <c r="AH35" s="17">
        <v>1777.3079949861317</v>
      </c>
      <c r="AI35" s="15">
        <f t="shared" si="5"/>
        <v>1.2172594512976433</v>
      </c>
      <c r="AJ35" s="17">
        <f t="shared" si="6"/>
        <v>1.67</v>
      </c>
      <c r="AK35" s="15">
        <f t="shared" si="13"/>
        <v>0.88539732001610139</v>
      </c>
      <c r="AL35" s="5">
        <v>6.1308999999999996</v>
      </c>
      <c r="AM35" s="5">
        <v>5.6441999999999997</v>
      </c>
      <c r="AN35" s="5">
        <f t="shared" si="8"/>
        <v>0.77554473092109466</v>
      </c>
      <c r="AO35" s="5">
        <f t="shared" si="9"/>
        <v>1.1805280656013328</v>
      </c>
      <c r="AP35" t="str">
        <f t="shared" si="14"/>
        <v>Classe 2</v>
      </c>
      <c r="AR35" s="15"/>
    </row>
    <row r="36" spans="1:44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1973.3653319709713</v>
      </c>
      <c r="T36" s="15">
        <v>690</v>
      </c>
      <c r="U36" s="15">
        <v>210000</v>
      </c>
      <c r="V36" s="15">
        <f t="shared" si="11"/>
        <v>3.3948148837239973</v>
      </c>
      <c r="W36" s="63">
        <v>3.00576</v>
      </c>
      <c r="X36" s="15">
        <f t="shared" si="3"/>
        <v>0.88539732001610139</v>
      </c>
      <c r="Y36" s="15">
        <f>'Global Only'!Y36</f>
        <v>0.22408244584621367</v>
      </c>
      <c r="Z36" s="15">
        <f t="shared" si="4"/>
        <v>0.19840199701489075</v>
      </c>
      <c r="AA36" s="16">
        <v>0.24322004368486122</v>
      </c>
      <c r="AB36" s="15">
        <v>0.80783434531025655</v>
      </c>
      <c r="AC36" s="17">
        <v>2</v>
      </c>
      <c r="AD36" s="15"/>
      <c r="AE36" s="15"/>
      <c r="AF36" s="22" t="s">
        <v>5</v>
      </c>
      <c r="AG36" s="17">
        <f t="shared" si="12"/>
        <v>5931.4625802250666</v>
      </c>
      <c r="AH36" s="17">
        <v>1314.2752661210623</v>
      </c>
      <c r="AI36" s="15">
        <f t="shared" si="5"/>
        <v>0.84870372093099933</v>
      </c>
      <c r="AJ36" s="17">
        <f t="shared" si="6"/>
        <v>2</v>
      </c>
      <c r="AK36" s="15">
        <f t="shared" si="13"/>
        <v>0.88539732001610139</v>
      </c>
      <c r="AL36" s="5">
        <v>6.1308999999999996</v>
      </c>
      <c r="AM36" s="5">
        <v>5.6441999999999997</v>
      </c>
      <c r="AN36" s="5">
        <f t="shared" si="8"/>
        <v>0.77554473092109466</v>
      </c>
      <c r="AO36" s="5">
        <f t="shared" si="9"/>
        <v>1.2258951388811208</v>
      </c>
      <c r="AP36" t="str">
        <f t="shared" si="14"/>
        <v>Classe 2</v>
      </c>
      <c r="AR36" s="15"/>
    </row>
    <row r="37" spans="1:44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1973.3653319709713</v>
      </c>
      <c r="T37" s="15">
        <v>690</v>
      </c>
      <c r="U37" s="15">
        <v>210000</v>
      </c>
      <c r="V37" s="15">
        <f t="shared" si="11"/>
        <v>3.3948148837239973</v>
      </c>
      <c r="W37" s="63">
        <v>3.00576</v>
      </c>
      <c r="X37" s="15">
        <f t="shared" si="3"/>
        <v>0.88539732001610139</v>
      </c>
      <c r="Y37" s="15">
        <f>'Global Only'!Y37</f>
        <v>0.1403061107710572</v>
      </c>
      <c r="Z37" s="15">
        <f t="shared" si="4"/>
        <v>0.12422665445857631</v>
      </c>
      <c r="AA37" s="16">
        <v>0.15717741921492379</v>
      </c>
      <c r="AB37" s="15">
        <v>0.80783434531025655</v>
      </c>
      <c r="AC37" s="17">
        <v>2.5</v>
      </c>
      <c r="AD37" s="15"/>
      <c r="AE37" s="15"/>
      <c r="AF37" s="22" t="s">
        <v>5</v>
      </c>
      <c r="AG37" s="17">
        <f t="shared" si="12"/>
        <v>5931.4625802250666</v>
      </c>
      <c r="AH37" s="17">
        <v>887.42011867000087</v>
      </c>
      <c r="AI37" s="15">
        <f t="shared" si="5"/>
        <v>0.54317038139583951</v>
      </c>
      <c r="AJ37" s="17">
        <f t="shared" si="6"/>
        <v>2.5</v>
      </c>
      <c r="AK37" s="15">
        <f t="shared" si="13"/>
        <v>0.88539732001610139</v>
      </c>
      <c r="AL37" s="5">
        <v>6.1308999999999996</v>
      </c>
      <c r="AM37" s="5">
        <v>5.6441999999999997</v>
      </c>
      <c r="AN37" s="5">
        <f t="shared" si="8"/>
        <v>0.77554473092109466</v>
      </c>
      <c r="AO37" s="5">
        <f t="shared" si="9"/>
        <v>1.2652471395930169</v>
      </c>
      <c r="AP37" t="str">
        <f t="shared" si="14"/>
        <v>Classe 2</v>
      </c>
      <c r="AR37" s="15"/>
    </row>
    <row r="38" spans="1:44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1638.1075923880519</v>
      </c>
      <c r="T38" s="15">
        <v>690</v>
      </c>
      <c r="U38" s="15">
        <v>210000</v>
      </c>
      <c r="V38" s="15">
        <f t="shared" si="11"/>
        <v>3.3825891692023733</v>
      </c>
      <c r="W38" s="63">
        <v>2.7730700000000001</v>
      </c>
      <c r="X38" s="15">
        <f t="shared" si="3"/>
        <v>0.81980691750807566</v>
      </c>
      <c r="Y38" s="15">
        <f>'Global Only'!Y38</f>
        <v>1.0319713566839466</v>
      </c>
      <c r="Z38" s="15">
        <f t="shared" si="4"/>
        <v>0.84601725687969309</v>
      </c>
      <c r="AA38" s="16"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12"/>
        <v>4542.587021223535</v>
      </c>
      <c r="AH38" s="17">
        <v>5259.2706426171508</v>
      </c>
      <c r="AI38" s="15">
        <f t="shared" si="5"/>
        <v>37.58432410224858</v>
      </c>
      <c r="AJ38" s="17">
        <f t="shared" si="6"/>
        <v>0.30000000000000004</v>
      </c>
      <c r="AK38" s="15">
        <f t="shared" si="13"/>
        <v>0.81980691750807566</v>
      </c>
      <c r="AL38" s="56">
        <v>3.2757000000000001</v>
      </c>
      <c r="AM38" s="56">
        <v>3.0047999999999999</v>
      </c>
      <c r="AN38" s="56">
        <f t="shared" si="8"/>
        <v>1.0610035614340119</v>
      </c>
      <c r="AO38" s="5">
        <f t="shared" si="9"/>
        <v>1.004640106773933</v>
      </c>
      <c r="AP38" t="str">
        <f t="shared" si="14"/>
        <v>Hors classe</v>
      </c>
      <c r="AR38" s="15"/>
    </row>
    <row r="39" spans="1:44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1638.1075923880519</v>
      </c>
      <c r="T39" s="15">
        <v>690</v>
      </c>
      <c r="U39" s="15">
        <v>210000</v>
      </c>
      <c r="V39" s="15">
        <f t="shared" si="11"/>
        <v>3.3825891692023733</v>
      </c>
      <c r="W39" s="63">
        <v>2.7730700000000001</v>
      </c>
      <c r="X39" s="15">
        <f t="shared" si="3"/>
        <v>0.81980691750807566</v>
      </c>
      <c r="Y39" s="15">
        <f>'Global Only'!Y39</f>
        <v>0.91738473900089201</v>
      </c>
      <c r="Z39" s="15">
        <f t="shared" si="4"/>
        <v>0.75207835504927179</v>
      </c>
      <c r="AA39" s="16">
        <v>0.82151402735625823</v>
      </c>
      <c r="AB39" s="15">
        <v>1.107313728755202</v>
      </c>
      <c r="AC39" s="17">
        <v>0.5</v>
      </c>
      <c r="AD39" s="15"/>
      <c r="AE39" s="15"/>
      <c r="AF39" s="22" t="s">
        <v>5</v>
      </c>
      <c r="AG39" s="17">
        <f t="shared" si="12"/>
        <v>4542.587021223535</v>
      </c>
      <c r="AH39" s="17">
        <v>4671.0512332754497</v>
      </c>
      <c r="AI39" s="15">
        <f t="shared" si="5"/>
        <v>13.530356676809488</v>
      </c>
      <c r="AJ39" s="17">
        <f t="shared" si="6"/>
        <v>0.50000000000000011</v>
      </c>
      <c r="AK39" s="15">
        <f t="shared" si="13"/>
        <v>0.81980691750807566</v>
      </c>
      <c r="AL39" s="5">
        <v>3.2757000000000001</v>
      </c>
      <c r="AM39" s="5">
        <v>3.0047999999999999</v>
      </c>
      <c r="AN39" s="5">
        <f t="shared" si="8"/>
        <v>1.0610035614340119</v>
      </c>
      <c r="AO39" s="5">
        <f t="shared" si="9"/>
        <v>1.092325050762081</v>
      </c>
      <c r="AP39" t="str">
        <f t="shared" si="14"/>
        <v>Hors classe</v>
      </c>
      <c r="AR39" s="15"/>
    </row>
    <row r="40" spans="1:44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1638.1075923880519</v>
      </c>
      <c r="T40" s="15">
        <v>690</v>
      </c>
      <c r="U40" s="15">
        <v>210000</v>
      </c>
      <c r="V40" s="15">
        <f t="shared" si="11"/>
        <v>3.3825891692023733</v>
      </c>
      <c r="W40" s="63">
        <v>2.7730700000000001</v>
      </c>
      <c r="X40" s="15">
        <f t="shared" si="3"/>
        <v>0.81980691750807566</v>
      </c>
      <c r="Y40" s="15">
        <f>'Global Only'!Y40</f>
        <v>0.74652945451564967</v>
      </c>
      <c r="Z40" s="15">
        <f t="shared" si="4"/>
        <v>0.61201001093545992</v>
      </c>
      <c r="AA40" s="16">
        <v>0.7732313727007224</v>
      </c>
      <c r="AB40" s="15">
        <v>1.107313728755202</v>
      </c>
      <c r="AC40" s="17">
        <v>0.75</v>
      </c>
      <c r="AD40" s="15"/>
      <c r="AE40" s="15"/>
      <c r="AF40" s="22" t="s">
        <v>5</v>
      </c>
      <c r="AG40" s="17">
        <f t="shared" si="12"/>
        <v>4542.587021223535</v>
      </c>
      <c r="AH40" s="17">
        <v>3842.9149811804809</v>
      </c>
      <c r="AI40" s="15">
        <f t="shared" si="5"/>
        <v>6.0134918563597743</v>
      </c>
      <c r="AJ40" s="17">
        <f t="shared" si="6"/>
        <v>0.75</v>
      </c>
      <c r="AK40" s="15">
        <f t="shared" si="13"/>
        <v>0.81980691750807566</v>
      </c>
      <c r="AL40" s="5">
        <v>3.2757000000000001</v>
      </c>
      <c r="AM40" s="5">
        <v>3.0047999999999999</v>
      </c>
      <c r="AN40" s="5">
        <f t="shared" si="8"/>
        <v>1.0610035614340119</v>
      </c>
      <c r="AO40" s="5">
        <f t="shared" si="9"/>
        <v>1.2634292885484584</v>
      </c>
      <c r="AP40" t="str">
        <f t="shared" si="14"/>
        <v>Hors classe</v>
      </c>
      <c r="AR40" s="15"/>
    </row>
    <row r="41" spans="1:44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1638.1075923880519</v>
      </c>
      <c r="T41" s="15">
        <v>690</v>
      </c>
      <c r="U41" s="15">
        <v>210000</v>
      </c>
      <c r="V41" s="15">
        <f t="shared" si="11"/>
        <v>3.3825891692023733</v>
      </c>
      <c r="W41" s="63">
        <v>2.7730700000000001</v>
      </c>
      <c r="X41" s="15">
        <f t="shared" si="3"/>
        <v>0.81980691750807566</v>
      </c>
      <c r="Y41" s="15">
        <f>'Global Only'!Y41</f>
        <v>0.65531485436110493</v>
      </c>
      <c r="Z41" s="15">
        <f t="shared" si="4"/>
        <v>0.53723165075103096</v>
      </c>
      <c r="AA41" s="16">
        <v>0.6985036926901329</v>
      </c>
      <c r="AB41" s="15">
        <v>1.107313728755202</v>
      </c>
      <c r="AC41" s="17">
        <v>1</v>
      </c>
      <c r="AD41" s="15"/>
      <c r="AE41" s="15"/>
      <c r="AF41" s="22" t="s">
        <v>5</v>
      </c>
      <c r="AG41" s="17">
        <f t="shared" si="12"/>
        <v>4542.587021223535</v>
      </c>
      <c r="AH41" s="17">
        <v>2991.8264471035236</v>
      </c>
      <c r="AI41" s="15">
        <f t="shared" si="5"/>
        <v>3.382589169202372</v>
      </c>
      <c r="AJ41" s="17">
        <f t="shared" si="6"/>
        <v>1.0000000000000002</v>
      </c>
      <c r="AK41" s="15">
        <f t="shared" si="13"/>
        <v>0.81980691750807566</v>
      </c>
      <c r="AL41" s="5">
        <v>3.2757000000000001</v>
      </c>
      <c r="AM41" s="5">
        <v>3.0047999999999999</v>
      </c>
      <c r="AN41" s="5">
        <f t="shared" si="8"/>
        <v>1.0610035614340119</v>
      </c>
      <c r="AO41" s="5">
        <f t="shared" si="9"/>
        <v>1.3001908798814241</v>
      </c>
      <c r="AP41" t="str">
        <f t="shared" si="14"/>
        <v>Hors classe</v>
      </c>
      <c r="AR41" s="15"/>
    </row>
    <row r="42" spans="1:44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1638.1075923880519</v>
      </c>
      <c r="T42" s="15">
        <v>690</v>
      </c>
      <c r="U42" s="15">
        <v>210000</v>
      </c>
      <c r="V42" s="15">
        <f t="shared" si="11"/>
        <v>3.3825891692023733</v>
      </c>
      <c r="W42" s="63">
        <v>2.7730700000000001</v>
      </c>
      <c r="X42" s="15">
        <f t="shared" si="3"/>
        <v>0.81980691750807566</v>
      </c>
      <c r="Y42" s="15">
        <f>'Global Only'!Y42</f>
        <v>0.4865183705943566</v>
      </c>
      <c r="Z42" s="15">
        <f t="shared" si="4"/>
        <v>0.39885112570801107</v>
      </c>
      <c r="AA42" s="16">
        <v>0.50468471966376738</v>
      </c>
      <c r="AB42" s="15">
        <v>1.107313728755202</v>
      </c>
      <c r="AC42" s="17">
        <v>1.33</v>
      </c>
      <c r="AD42" s="15"/>
      <c r="AE42" s="15"/>
      <c r="AF42" s="22" t="s">
        <v>5</v>
      </c>
      <c r="AG42" s="17">
        <f t="shared" si="12"/>
        <v>4542.587021223535</v>
      </c>
      <c r="AH42" s="17">
        <v>2085.6096362727617</v>
      </c>
      <c r="AI42" s="15">
        <f t="shared" si="5"/>
        <v>1.912255734751751</v>
      </c>
      <c r="AJ42" s="17">
        <f t="shared" si="6"/>
        <v>1.33</v>
      </c>
      <c r="AK42" s="15">
        <f t="shared" si="13"/>
        <v>0.81980691750807566</v>
      </c>
      <c r="AL42" s="5">
        <v>3.2757000000000001</v>
      </c>
      <c r="AM42" s="5">
        <v>3.0047999999999999</v>
      </c>
      <c r="AN42" s="5">
        <f t="shared" si="8"/>
        <v>1.0610035614340119</v>
      </c>
      <c r="AO42" s="5">
        <f t="shared" si="9"/>
        <v>1.2653461081948518</v>
      </c>
      <c r="AP42" t="str">
        <f t="shared" si="14"/>
        <v>Hors classe</v>
      </c>
      <c r="AR42" s="15"/>
    </row>
    <row r="43" spans="1:44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1638.1075923880519</v>
      </c>
      <c r="T43" s="15">
        <v>690</v>
      </c>
      <c r="U43" s="15">
        <v>210000</v>
      </c>
      <c r="V43" s="15">
        <f t="shared" si="11"/>
        <v>3.3825891692023733</v>
      </c>
      <c r="W43" s="63">
        <v>2.7730700000000001</v>
      </c>
      <c r="X43" s="15">
        <f t="shared" si="3"/>
        <v>0.81980691750807566</v>
      </c>
      <c r="Y43" s="15">
        <f>'Global Only'!Y43</f>
        <v>0.32731393635677458</v>
      </c>
      <c r="Z43" s="15">
        <f t="shared" si="4"/>
        <v>0.26833422922208183</v>
      </c>
      <c r="AA43" s="16">
        <v>0.3390146722347272</v>
      </c>
      <c r="AB43" s="15">
        <v>1.107313728755202</v>
      </c>
      <c r="AC43" s="17">
        <v>1.67</v>
      </c>
      <c r="AD43" s="15"/>
      <c r="AE43" s="15"/>
      <c r="AF43" s="22" t="s">
        <v>5</v>
      </c>
      <c r="AG43" s="17">
        <f t="shared" si="12"/>
        <v>4542.587021223535</v>
      </c>
      <c r="AH43" s="17">
        <v>1470.0455097060592</v>
      </c>
      <c r="AI43" s="15">
        <f t="shared" si="5"/>
        <v>1.212875746424172</v>
      </c>
      <c r="AJ43" s="17">
        <f t="shared" si="6"/>
        <v>1.67</v>
      </c>
      <c r="AK43" s="15">
        <f t="shared" si="13"/>
        <v>0.81980691750807566</v>
      </c>
      <c r="AL43" s="5">
        <v>3.2757000000000001</v>
      </c>
      <c r="AM43" s="5">
        <v>3.0047999999999999</v>
      </c>
      <c r="AN43" s="5">
        <f t="shared" si="8"/>
        <v>1.0610035614340119</v>
      </c>
      <c r="AO43" s="5">
        <f t="shared" si="9"/>
        <v>1.2634044982541084</v>
      </c>
      <c r="AP43" t="str">
        <f t="shared" si="14"/>
        <v>Hors classe</v>
      </c>
      <c r="AR43" s="15"/>
    </row>
    <row r="44" spans="1:44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1638.1075923880519</v>
      </c>
      <c r="T44" s="15">
        <v>690</v>
      </c>
      <c r="U44" s="15">
        <v>210000</v>
      </c>
      <c r="V44" s="15">
        <f t="shared" si="11"/>
        <v>3.3825891692023733</v>
      </c>
      <c r="W44" s="63">
        <v>2.7730700000000001</v>
      </c>
      <c r="X44" s="15">
        <f t="shared" si="3"/>
        <v>0.81980691750807566</v>
      </c>
      <c r="Y44" s="15">
        <f>'Global Only'!Y44</f>
        <v>0.22463719326507553</v>
      </c>
      <c r="Z44" s="15">
        <f t="shared" si="4"/>
        <v>0.18415912496830741</v>
      </c>
      <c r="AA44" s="16">
        <v>0.24138768867799157</v>
      </c>
      <c r="AB44" s="15">
        <v>1.107313728755202</v>
      </c>
      <c r="AC44" s="17">
        <v>2</v>
      </c>
      <c r="AD44" s="15"/>
      <c r="AE44" s="15"/>
      <c r="AF44" s="22" t="s">
        <v>5</v>
      </c>
      <c r="AG44" s="17">
        <f t="shared" si="12"/>
        <v>4542.587021223535</v>
      </c>
      <c r="AH44" s="17">
        <v>1087.0622643511365</v>
      </c>
      <c r="AI44" s="15">
        <f t="shared" si="5"/>
        <v>0.84564729230059299</v>
      </c>
      <c r="AJ44" s="17">
        <f t="shared" si="6"/>
        <v>2.0000000000000004</v>
      </c>
      <c r="AK44" s="15">
        <f t="shared" si="13"/>
        <v>0.81980691750807566</v>
      </c>
      <c r="AL44" s="5">
        <v>3.2757000000000001</v>
      </c>
      <c r="AM44" s="5">
        <v>3.0047999999999999</v>
      </c>
      <c r="AN44" s="5">
        <f t="shared" si="8"/>
        <v>1.0610035614340119</v>
      </c>
      <c r="AO44" s="5">
        <f t="shared" si="9"/>
        <v>1.3107560579446325</v>
      </c>
      <c r="AP44" t="str">
        <f t="shared" si="14"/>
        <v>Hors classe</v>
      </c>
      <c r="AR44" s="15"/>
    </row>
    <row r="45" spans="1:44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1638.1075923880519</v>
      </c>
      <c r="T45" s="15">
        <v>690</v>
      </c>
      <c r="U45" s="15">
        <v>210000</v>
      </c>
      <c r="V45" s="15">
        <f t="shared" si="11"/>
        <v>3.3825891692023733</v>
      </c>
      <c r="W45" s="63">
        <v>2.7730700000000001</v>
      </c>
      <c r="X45" s="15">
        <f t="shared" si="3"/>
        <v>0.81980691750807566</v>
      </c>
      <c r="Y45" s="15">
        <f>'Global Only'!Y45</f>
        <v>0.14104896372487041</v>
      </c>
      <c r="Z45" s="15">
        <f t="shared" si="4"/>
        <v>0.11563291616899439</v>
      </c>
      <c r="AA45" s="16">
        <v>0.15619111237351838</v>
      </c>
      <c r="AB45" s="15">
        <v>1.107313728755202</v>
      </c>
      <c r="AC45" s="17">
        <v>2.5</v>
      </c>
      <c r="AD45" s="15"/>
      <c r="AE45" s="15"/>
      <c r="AF45" s="22" t="s">
        <v>5</v>
      </c>
      <c r="AG45" s="17">
        <f t="shared" si="12"/>
        <v>4542.587021223535</v>
      </c>
      <c r="AH45" s="17">
        <v>734.00219002775179</v>
      </c>
      <c r="AI45" s="15">
        <f t="shared" si="5"/>
        <v>0.54121426707237974</v>
      </c>
      <c r="AJ45" s="17">
        <f t="shared" si="6"/>
        <v>2.5</v>
      </c>
      <c r="AK45" s="15">
        <f t="shared" si="13"/>
        <v>0.81980691750807566</v>
      </c>
      <c r="AL45" s="5">
        <v>3.2757000000000001</v>
      </c>
      <c r="AM45" s="5">
        <v>3.0047999999999999</v>
      </c>
      <c r="AN45" s="5">
        <f t="shared" si="8"/>
        <v>1.0610035614340119</v>
      </c>
      <c r="AO45" s="5">
        <f t="shared" si="9"/>
        <v>1.3507495750193592</v>
      </c>
      <c r="AP45" t="str">
        <f t="shared" si="14"/>
        <v>Hors classe</v>
      </c>
      <c r="AR45" s="15"/>
    </row>
    <row r="46" spans="1:44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1458.8504953460947</v>
      </c>
      <c r="T46" s="15">
        <v>690</v>
      </c>
      <c r="U46" s="15">
        <v>210000</v>
      </c>
      <c r="V46" s="15">
        <f t="shared" si="11"/>
        <v>3.3748194319473375</v>
      </c>
      <c r="W46" s="63">
        <v>2.7604199999999999</v>
      </c>
      <c r="X46" s="15">
        <f t="shared" si="3"/>
        <v>0.81794598367806093</v>
      </c>
      <c r="Y46" s="15">
        <f>'Global Only'!Y46</f>
        <v>1.0310082425585927</v>
      </c>
      <c r="Z46" s="15">
        <f t="shared" si="4"/>
        <v>0.84330905113977694</v>
      </c>
      <c r="AA46" s="16"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12"/>
        <v>4027.0400843632665</v>
      </c>
      <c r="AH46" s="17">
        <v>4672.9934395450055</v>
      </c>
      <c r="AI46" s="15">
        <f t="shared" si="5"/>
        <v>37.497993688303751</v>
      </c>
      <c r="AJ46" s="17">
        <f t="shared" si="6"/>
        <v>0.3</v>
      </c>
      <c r="AK46" s="15">
        <f t="shared" si="13"/>
        <v>0.81794598367806093</v>
      </c>
      <c r="AL46" s="56">
        <v>1.7927999999999999</v>
      </c>
      <c r="AM46" s="56">
        <v>1.6408</v>
      </c>
      <c r="AN46" s="56">
        <f t="shared" si="8"/>
        <v>1.4341594762040402</v>
      </c>
      <c r="AO46" s="5">
        <f t="shared" si="9"/>
        <v>0.99340207609937847</v>
      </c>
      <c r="AP46" t="str">
        <f t="shared" si="14"/>
        <v>Classe 3</v>
      </c>
      <c r="AR46" s="15"/>
    </row>
    <row r="47" spans="1:44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1458.8504953460947</v>
      </c>
      <c r="T47" s="15">
        <v>690</v>
      </c>
      <c r="U47" s="15">
        <v>210000</v>
      </c>
      <c r="V47" s="15">
        <f t="shared" si="11"/>
        <v>3.3748194319473375</v>
      </c>
      <c r="W47" s="63">
        <v>2.7604199999999999</v>
      </c>
      <c r="X47" s="15">
        <f t="shared" si="3"/>
        <v>0.81794598367806093</v>
      </c>
      <c r="Y47" s="15">
        <f>'Global Only'!Y47</f>
        <v>0.9063454101612668</v>
      </c>
      <c r="Z47" s="15">
        <f t="shared" si="4"/>
        <v>0.74134158806645301</v>
      </c>
      <c r="AA47" s="16">
        <v>0.79550414125398938</v>
      </c>
      <c r="AB47" s="15">
        <v>1.4992191540155151</v>
      </c>
      <c r="AC47" s="17">
        <v>0.5</v>
      </c>
      <c r="AD47" s="15"/>
      <c r="AE47" s="15"/>
      <c r="AF47" s="22" t="s">
        <v>5</v>
      </c>
      <c r="AG47" s="17">
        <f t="shared" si="12"/>
        <v>4027.0400843632665</v>
      </c>
      <c r="AH47" s="17">
        <v>4150.3457897752714</v>
      </c>
      <c r="AI47" s="15">
        <f t="shared" si="5"/>
        <v>13.49927772778935</v>
      </c>
      <c r="AJ47" s="17">
        <f t="shared" si="6"/>
        <v>0.5</v>
      </c>
      <c r="AK47" s="15">
        <f t="shared" si="13"/>
        <v>0.81794598367806093</v>
      </c>
      <c r="AL47" s="5">
        <v>1.7927999999999999</v>
      </c>
      <c r="AM47" s="5">
        <v>1.6408</v>
      </c>
      <c r="AN47" s="5">
        <f t="shared" si="8"/>
        <v>1.4341594762040402</v>
      </c>
      <c r="AO47" s="5">
        <f t="shared" si="9"/>
        <v>1.0730601844809511</v>
      </c>
      <c r="AP47" t="str">
        <f t="shared" si="14"/>
        <v>Classe 3</v>
      </c>
      <c r="AR47" s="15"/>
    </row>
    <row r="48" spans="1:44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1458.8504953460947</v>
      </c>
      <c r="T48" s="15">
        <v>690</v>
      </c>
      <c r="U48" s="15">
        <v>210000</v>
      </c>
      <c r="V48" s="15">
        <f t="shared" si="11"/>
        <v>3.3748194319473375</v>
      </c>
      <c r="W48" s="63">
        <v>2.7604199999999999</v>
      </c>
      <c r="X48" s="15">
        <f t="shared" si="3"/>
        <v>0.81794598367806093</v>
      </c>
      <c r="Y48" s="15">
        <f>'Global Only'!Y48</f>
        <v>0.73729962335116606</v>
      </c>
      <c r="Z48" s="15">
        <f t="shared" si="4"/>
        <v>0.6030712656874333</v>
      </c>
      <c r="AA48" s="16">
        <v>0.73604198314550606</v>
      </c>
      <c r="AB48" s="15">
        <v>1.4992191540155151</v>
      </c>
      <c r="AC48" s="17">
        <v>0.75</v>
      </c>
      <c r="AD48" s="15"/>
      <c r="AE48" s="15"/>
      <c r="AF48" s="22" t="s">
        <v>5</v>
      </c>
      <c r="AG48" s="17">
        <f t="shared" si="12"/>
        <v>4027.0400843632665</v>
      </c>
      <c r="AH48" s="17">
        <v>3414.5260276716385</v>
      </c>
      <c r="AI48" s="15">
        <f t="shared" si="5"/>
        <v>5.999678990128599</v>
      </c>
      <c r="AJ48" s="17">
        <f t="shared" si="6"/>
        <v>0.75000000000000011</v>
      </c>
      <c r="AK48" s="15">
        <f t="shared" si="13"/>
        <v>0.81794598367806093</v>
      </c>
      <c r="AL48" s="5">
        <v>1.7927999999999999</v>
      </c>
      <c r="AM48" s="5">
        <v>1.6408</v>
      </c>
      <c r="AN48" s="5">
        <f t="shared" si="8"/>
        <v>1.4341594762040402</v>
      </c>
      <c r="AO48" s="5">
        <f t="shared" si="9"/>
        <v>1.2204892274323518</v>
      </c>
      <c r="AP48" t="str">
        <f t="shared" si="14"/>
        <v>Classe 3</v>
      </c>
      <c r="AR48" s="15"/>
    </row>
    <row r="49" spans="1:44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1458.8504953460947</v>
      </c>
      <c r="T49" s="15">
        <v>690</v>
      </c>
      <c r="U49" s="15">
        <v>210000</v>
      </c>
      <c r="V49" s="15">
        <f t="shared" si="11"/>
        <v>3.3748194319473375</v>
      </c>
      <c r="W49" s="63">
        <v>2.7604199999999999</v>
      </c>
      <c r="X49" s="15">
        <f t="shared" si="3"/>
        <v>0.81794598367806093</v>
      </c>
      <c r="Y49" s="15">
        <f>'Global Only'!Y49</f>
        <v>0.65566767669103321</v>
      </c>
      <c r="Z49" s="15">
        <f t="shared" si="4"/>
        <v>0.53630074277695594</v>
      </c>
      <c r="AA49" s="16">
        <v>0.6645199303166649</v>
      </c>
      <c r="AB49" s="15">
        <v>1.4992191540155151</v>
      </c>
      <c r="AC49" s="17">
        <v>1</v>
      </c>
      <c r="AD49" s="15"/>
      <c r="AE49" s="15"/>
      <c r="AF49" s="22" t="s">
        <v>5</v>
      </c>
      <c r="AG49" s="17">
        <f t="shared" si="12"/>
        <v>4027.0400843632665</v>
      </c>
      <c r="AH49" s="17">
        <v>2658.3125892556859</v>
      </c>
      <c r="AI49" s="15">
        <f t="shared" si="5"/>
        <v>3.3748194319473375</v>
      </c>
      <c r="AJ49" s="17">
        <f t="shared" si="6"/>
        <v>1</v>
      </c>
      <c r="AK49" s="15">
        <f t="shared" si="13"/>
        <v>0.81794598367806093</v>
      </c>
      <c r="AL49" s="5">
        <v>1.7927999999999999</v>
      </c>
      <c r="AM49" s="5">
        <v>1.6408</v>
      </c>
      <c r="AN49" s="5">
        <f t="shared" si="8"/>
        <v>1.4341594762040402</v>
      </c>
      <c r="AO49" s="5">
        <f t="shared" si="9"/>
        <v>1.2390807569569868</v>
      </c>
      <c r="AP49" t="str">
        <f t="shared" si="14"/>
        <v>Classe 3</v>
      </c>
      <c r="AR49" s="15"/>
    </row>
    <row r="50" spans="1:44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1458.8504953460947</v>
      </c>
      <c r="T50" s="15">
        <v>690</v>
      </c>
      <c r="U50" s="15">
        <v>210000</v>
      </c>
      <c r="V50" s="15">
        <f t="shared" si="11"/>
        <v>3.3748194319473375</v>
      </c>
      <c r="W50" s="63">
        <v>2.7604199999999999</v>
      </c>
      <c r="X50" s="15">
        <f t="shared" si="3"/>
        <v>0.81794598367806093</v>
      </c>
      <c r="Y50" s="15">
        <f>'Global Only'!Y50</f>
        <v>0.48697470418609617</v>
      </c>
      <c r="Z50" s="15">
        <f t="shared" si="4"/>
        <v>0.39831900344182919</v>
      </c>
      <c r="AA50" s="16">
        <v>0.49249711966728449</v>
      </c>
      <c r="AB50" s="15">
        <v>1.4992191540155151</v>
      </c>
      <c r="AC50" s="17">
        <v>1.33</v>
      </c>
      <c r="AD50" s="15"/>
      <c r="AE50" s="15"/>
      <c r="AF50" s="22" t="s">
        <v>5</v>
      </c>
      <c r="AG50" s="17">
        <f t="shared" si="12"/>
        <v>4027.0400843632665</v>
      </c>
      <c r="AH50" s="17">
        <v>1853.1162988228673</v>
      </c>
      <c r="AI50" s="15">
        <f t="shared" si="5"/>
        <v>1.9078633229393047</v>
      </c>
      <c r="AJ50" s="17">
        <f t="shared" si="6"/>
        <v>1.3300000000000003</v>
      </c>
      <c r="AK50" s="15">
        <f t="shared" si="13"/>
        <v>0.81794598367806093</v>
      </c>
      <c r="AL50" s="5">
        <v>1.7927999999999999</v>
      </c>
      <c r="AM50" s="5">
        <v>1.6408</v>
      </c>
      <c r="AN50" s="5">
        <f t="shared" si="8"/>
        <v>1.4341594762040402</v>
      </c>
      <c r="AO50" s="5">
        <f t="shared" si="9"/>
        <v>1.2364389231035249</v>
      </c>
      <c r="AP50" t="str">
        <f t="shared" si="14"/>
        <v>Classe 3</v>
      </c>
      <c r="AR50" s="15"/>
    </row>
    <row r="51" spans="1:44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1458.8504953460947</v>
      </c>
      <c r="T51" s="15">
        <v>690</v>
      </c>
      <c r="U51" s="15">
        <v>210000</v>
      </c>
      <c r="V51" s="15">
        <f t="shared" si="11"/>
        <v>3.3748194319473375</v>
      </c>
      <c r="W51" s="63">
        <v>2.7604199999999999</v>
      </c>
      <c r="X51" s="15">
        <f t="shared" si="3"/>
        <v>0.81794598367806093</v>
      </c>
      <c r="Y51" s="15">
        <f>'Global Only'!Y51</f>
        <v>0.32733914651562884</v>
      </c>
      <c r="Z51" s="15">
        <f t="shared" si="4"/>
        <v>0.26774574019306296</v>
      </c>
      <c r="AA51" s="16">
        <v>0.33543538096549053</v>
      </c>
      <c r="AB51" s="15">
        <v>1.4992191540155151</v>
      </c>
      <c r="AC51" s="17">
        <v>1.67</v>
      </c>
      <c r="AD51" s="15"/>
      <c r="AE51" s="15"/>
      <c r="AF51" s="22" t="s">
        <v>5</v>
      </c>
      <c r="AG51" s="17">
        <f t="shared" si="12"/>
        <v>4027.0400843632665</v>
      </c>
      <c r="AH51" s="17">
        <v>1306.1721842233544</v>
      </c>
      <c r="AI51" s="15">
        <f t="shared" si="5"/>
        <v>1.2100897959580255</v>
      </c>
      <c r="AJ51" s="17">
        <f t="shared" si="6"/>
        <v>1.6700000000000002</v>
      </c>
      <c r="AK51" s="15">
        <f t="shared" si="13"/>
        <v>0.81794598367806093</v>
      </c>
      <c r="AL51" s="5">
        <v>1.7927999999999999</v>
      </c>
      <c r="AM51" s="5">
        <v>1.6408</v>
      </c>
      <c r="AN51" s="5">
        <f t="shared" si="8"/>
        <v>1.4341594762040402</v>
      </c>
      <c r="AO51" s="5">
        <f t="shared" si="9"/>
        <v>1.2528131380302026</v>
      </c>
      <c r="AP51" t="str">
        <f t="shared" si="14"/>
        <v>Classe 3</v>
      </c>
      <c r="AR51" s="15"/>
    </row>
    <row r="52" spans="1:44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1458.8504953460947</v>
      </c>
      <c r="T52" s="15">
        <v>690</v>
      </c>
      <c r="U52" s="15">
        <v>210000</v>
      </c>
      <c r="V52" s="15">
        <f t="shared" si="11"/>
        <v>3.3748194319473375</v>
      </c>
      <c r="W52" s="63">
        <v>2.7604199999999999</v>
      </c>
      <c r="X52" s="15">
        <f t="shared" si="3"/>
        <v>0.81794598367806093</v>
      </c>
      <c r="Y52" s="15">
        <f>'Global Only'!Y52</f>
        <v>0.22496707737495336</v>
      </c>
      <c r="Z52" s="15">
        <f t="shared" si="4"/>
        <v>0.18401091739863468</v>
      </c>
      <c r="AA52" s="16">
        <v>0.23972124896082345</v>
      </c>
      <c r="AB52" s="15">
        <v>1.4992191540155151</v>
      </c>
      <c r="AC52" s="17">
        <v>2</v>
      </c>
      <c r="AD52" s="15"/>
      <c r="AE52" s="15"/>
      <c r="AF52" s="22" t="s">
        <v>5</v>
      </c>
      <c r="AG52" s="17">
        <f t="shared" si="12"/>
        <v>4027.0400843632665</v>
      </c>
      <c r="AH52" s="17">
        <v>965.88199674051077</v>
      </c>
      <c r="AI52" s="15">
        <f t="shared" si="5"/>
        <v>0.84370485798683437</v>
      </c>
      <c r="AJ52" s="17">
        <f t="shared" si="6"/>
        <v>2</v>
      </c>
      <c r="AK52" s="15">
        <f t="shared" si="13"/>
        <v>0.81794598367806093</v>
      </c>
      <c r="AL52" s="5">
        <v>1.7927999999999999</v>
      </c>
      <c r="AM52" s="5">
        <v>1.6408</v>
      </c>
      <c r="AN52" s="5">
        <f t="shared" si="8"/>
        <v>1.4341594762040402</v>
      </c>
      <c r="AO52" s="5">
        <f t="shared" si="9"/>
        <v>1.3027555774938064</v>
      </c>
      <c r="AP52" t="str">
        <f t="shared" si="14"/>
        <v>Classe 3</v>
      </c>
      <c r="AR52" s="15"/>
    </row>
    <row r="53" spans="1:44" s="56" customFormat="1" ht="15">
      <c r="A53" s="57">
        <v>48</v>
      </c>
      <c r="B53" s="58" t="s">
        <v>84</v>
      </c>
      <c r="C53" s="58">
        <v>180</v>
      </c>
      <c r="D53" s="57">
        <v>180</v>
      </c>
      <c r="E53" s="57">
        <v>400</v>
      </c>
      <c r="F53" s="57">
        <v>13.5</v>
      </c>
      <c r="G53" s="57">
        <v>13.5</v>
      </c>
      <c r="H53" s="57">
        <v>6.1</v>
      </c>
      <c r="I53" s="57">
        <v>0</v>
      </c>
      <c r="J53" s="57">
        <v>0</v>
      </c>
      <c r="K53" s="57">
        <v>23391.158623124284</v>
      </c>
      <c r="L53" s="57">
        <f t="shared" si="1"/>
        <v>7135.2999999999993</v>
      </c>
      <c r="M53" s="57"/>
      <c r="N53" s="57"/>
      <c r="O53" s="57"/>
      <c r="P53" s="57">
        <f t="shared" si="2"/>
        <v>207953262.80833334</v>
      </c>
      <c r="Q53" s="57"/>
      <c r="R53" s="57"/>
      <c r="S53" s="57">
        <v>1458.8504953460947</v>
      </c>
      <c r="T53" s="57">
        <v>690</v>
      </c>
      <c r="U53" s="57">
        <v>210000</v>
      </c>
      <c r="V53" s="57">
        <f t="shared" si="11"/>
        <v>3.3748194319473375</v>
      </c>
      <c r="W53" s="63">
        <v>2.7604199999999999</v>
      </c>
      <c r="X53" s="57">
        <f t="shared" si="3"/>
        <v>0.81794598367806093</v>
      </c>
      <c r="Y53" s="57">
        <f>'Global Only'!Y53</f>
        <v>0.14154589627110575</v>
      </c>
      <c r="Z53" s="57">
        <f t="shared" si="4"/>
        <v>0.11577689736106238</v>
      </c>
      <c r="AA53" s="59">
        <v>0.15541372394211139</v>
      </c>
      <c r="AB53" s="57">
        <v>1.4992191540155151</v>
      </c>
      <c r="AC53" s="60">
        <v>2.5</v>
      </c>
      <c r="AD53" s="57"/>
      <c r="AE53" s="15"/>
      <c r="AF53" s="61" t="s">
        <v>5</v>
      </c>
      <c r="AG53" s="60">
        <f t="shared" si="12"/>
        <v>4027.0400843632665</v>
      </c>
      <c r="AH53" s="60">
        <v>652.17929475188566</v>
      </c>
      <c r="AI53" s="57">
        <f t="shared" si="5"/>
        <v>0.53997110911157398</v>
      </c>
      <c r="AJ53" s="60">
        <f t="shared" si="6"/>
        <v>2.5</v>
      </c>
      <c r="AK53" s="57">
        <f t="shared" si="13"/>
        <v>0.81794598367806093</v>
      </c>
      <c r="AL53" s="56">
        <v>1.7927999999999999</v>
      </c>
      <c r="AM53" s="56">
        <v>1.6408</v>
      </c>
      <c r="AN53" s="56">
        <f t="shared" si="8"/>
        <v>1.4341594762040402</v>
      </c>
      <c r="AO53" s="56">
        <f t="shared" si="9"/>
        <v>1.3423552322138796</v>
      </c>
      <c r="AP53" t="str">
        <f t="shared" si="14"/>
        <v>Classe 3</v>
      </c>
      <c r="AR53" s="57"/>
    </row>
    <row r="54" spans="1:44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5068.1967756907261</v>
      </c>
      <c r="T54" s="15">
        <v>690</v>
      </c>
      <c r="U54" s="15">
        <v>210000</v>
      </c>
      <c r="V54" s="15">
        <f t="shared" si="11"/>
        <v>3.3820135307717911</v>
      </c>
      <c r="W54" s="63">
        <v>3.69801</v>
      </c>
      <c r="X54" s="15">
        <f t="shared" si="3"/>
        <v>1.093434418979423</v>
      </c>
      <c r="Y54" s="15">
        <f>'Global Only'!Y54</f>
        <v>1.0136389211411383</v>
      </c>
      <c r="Z54" s="15">
        <f t="shared" si="4"/>
        <v>1.1083476847928897</v>
      </c>
      <c r="AA54" s="16"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12"/>
        <v>18742.242358472064</v>
      </c>
      <c r="AH54" s="17">
        <v>16269.067166081799</v>
      </c>
      <c r="AI54" s="15">
        <f t="shared" si="5"/>
        <v>37.577928119686561</v>
      </c>
      <c r="AJ54" s="17">
        <f t="shared" si="6"/>
        <v>0.30000000000000004</v>
      </c>
      <c r="AK54" s="15">
        <f t="shared" si="13"/>
        <v>1.093434418979423</v>
      </c>
      <c r="AL54" s="56">
        <v>29.24</v>
      </c>
      <c r="AM54" s="56">
        <v>26.817</v>
      </c>
      <c r="AN54" s="56">
        <f t="shared" si="8"/>
        <v>0.35512608564181458</v>
      </c>
      <c r="AO54" s="5">
        <f t="shared" si="9"/>
        <v>0.89950642237724476</v>
      </c>
      <c r="AP54" t="str">
        <f t="shared" si="14"/>
        <v>Classe 1</v>
      </c>
      <c r="AR54" s="15"/>
    </row>
    <row r="55" spans="1:44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5068.1967756907261</v>
      </c>
      <c r="T55" s="15">
        <v>690</v>
      </c>
      <c r="U55" s="15">
        <v>210000</v>
      </c>
      <c r="V55" s="15">
        <f t="shared" si="11"/>
        <v>3.3820135307717911</v>
      </c>
      <c r="W55" s="63">
        <v>3.69801</v>
      </c>
      <c r="X55" s="15">
        <f t="shared" si="3"/>
        <v>1.093434418979423</v>
      </c>
      <c r="Y55" s="15">
        <f>'Global Only'!Y55</f>
        <v>0.87927475833839686</v>
      </c>
      <c r="Z55" s="15">
        <f t="shared" si="4"/>
        <v>0.96142928450701748</v>
      </c>
      <c r="AA55" s="16">
        <v>0.93126423385890578</v>
      </c>
      <c r="AB55" s="15">
        <v>0.35022897823777349</v>
      </c>
      <c r="AC55" s="17">
        <v>0.5</v>
      </c>
      <c r="AD55" s="15"/>
      <c r="AE55" s="15"/>
      <c r="AF55" s="22" t="s">
        <v>5</v>
      </c>
      <c r="AG55" s="17">
        <f t="shared" si="12"/>
        <v>18742.242358472064</v>
      </c>
      <c r="AH55" s="17">
        <v>14449.464843009309</v>
      </c>
      <c r="AI55" s="15">
        <f t="shared" si="5"/>
        <v>13.528054123087163</v>
      </c>
      <c r="AJ55" s="17">
        <f t="shared" si="6"/>
        <v>0.5</v>
      </c>
      <c r="AK55" s="15">
        <f t="shared" si="13"/>
        <v>1.093434418979423</v>
      </c>
      <c r="AL55" s="5">
        <v>29.24</v>
      </c>
      <c r="AM55" s="5">
        <v>26.817</v>
      </c>
      <c r="AN55" s="5">
        <f t="shared" si="8"/>
        <v>0.35512608564181458</v>
      </c>
      <c r="AO55" s="5">
        <f t="shared" si="9"/>
        <v>0.96862478485499937</v>
      </c>
      <c r="AP55" t="str">
        <f t="shared" si="14"/>
        <v>Classe 1</v>
      </c>
      <c r="AR55" s="15"/>
    </row>
    <row r="56" spans="1:44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5068.1967756907261</v>
      </c>
      <c r="T56" s="15">
        <v>690</v>
      </c>
      <c r="U56" s="15">
        <v>210000</v>
      </c>
      <c r="V56" s="15">
        <f t="shared" si="11"/>
        <v>3.3820135307717911</v>
      </c>
      <c r="W56" s="63">
        <v>3.69801</v>
      </c>
      <c r="X56" s="15">
        <f t="shared" si="3"/>
        <v>1.093434418979423</v>
      </c>
      <c r="Y56" s="15">
        <f>'Global Only'!Y56</f>
        <v>0.7210844981978688</v>
      </c>
      <c r="Z56" s="15">
        <f t="shared" si="4"/>
        <v>0.78845860932205547</v>
      </c>
      <c r="AA56" s="16">
        <v>0.84537498389671217</v>
      </c>
      <c r="AB56" s="15">
        <v>0.35022897823777349</v>
      </c>
      <c r="AC56" s="17">
        <v>0.75</v>
      </c>
      <c r="AD56" s="15"/>
      <c r="AE56" s="15"/>
      <c r="AF56" s="22" t="s">
        <v>5</v>
      </c>
      <c r="AG56" s="17">
        <f t="shared" si="12"/>
        <v>18742.242358472064</v>
      </c>
      <c r="AH56" s="17">
        <v>11887.701963034044</v>
      </c>
      <c r="AI56" s="15">
        <f t="shared" si="5"/>
        <v>6.0124684991498505</v>
      </c>
      <c r="AJ56" s="17">
        <f t="shared" si="6"/>
        <v>0.75</v>
      </c>
      <c r="AK56" s="15">
        <f t="shared" si="13"/>
        <v>1.093434418979423</v>
      </c>
      <c r="AL56" s="5">
        <v>29.24</v>
      </c>
      <c r="AM56" s="5">
        <v>26.817</v>
      </c>
      <c r="AN56" s="5">
        <f t="shared" si="8"/>
        <v>0.35512608564181458</v>
      </c>
      <c r="AO56" s="5">
        <f t="shared" si="9"/>
        <v>1.0721868895865001</v>
      </c>
      <c r="AP56" t="str">
        <f t="shared" si="14"/>
        <v>Classe 1</v>
      </c>
      <c r="AR56" s="15"/>
    </row>
    <row r="57" spans="1:44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5068.1967756907261</v>
      </c>
      <c r="T57" s="15">
        <v>690</v>
      </c>
      <c r="U57" s="15">
        <v>210000</v>
      </c>
      <c r="V57" s="15">
        <f t="shared" si="11"/>
        <v>3.3820135307717911</v>
      </c>
      <c r="W57" s="63">
        <v>3.69801</v>
      </c>
      <c r="X57" s="15">
        <f t="shared" si="3"/>
        <v>1.093434418979423</v>
      </c>
      <c r="Y57" s="15">
        <f>'Global Only'!Y57</f>
        <v>0.6512974990708571</v>
      </c>
      <c r="Z57" s="15">
        <f t="shared" si="4"/>
        <v>0.71215110247929392</v>
      </c>
      <c r="AA57" s="16">
        <v>0.73633490630330534</v>
      </c>
      <c r="AB57" s="15">
        <v>0.35022897823777349</v>
      </c>
      <c r="AC57" s="17">
        <v>1</v>
      </c>
      <c r="AD57" s="15"/>
      <c r="AE57" s="15"/>
      <c r="AF57" s="22" t="s">
        <v>5</v>
      </c>
      <c r="AG57" s="17">
        <f t="shared" si="12"/>
        <v>18742.242358472064</v>
      </c>
      <c r="AH57" s="17">
        <v>9254.938322201564</v>
      </c>
      <c r="AI57" s="15">
        <f t="shared" si="5"/>
        <v>3.3820135307717907</v>
      </c>
      <c r="AJ57" s="17">
        <f t="shared" si="6"/>
        <v>1</v>
      </c>
      <c r="AK57" s="15">
        <f t="shared" si="13"/>
        <v>1.093434418979423</v>
      </c>
      <c r="AL57" s="5">
        <v>29.24</v>
      </c>
      <c r="AM57" s="5">
        <v>26.817</v>
      </c>
      <c r="AN57" s="5">
        <f t="shared" si="8"/>
        <v>0.35512608564181458</v>
      </c>
      <c r="AO57" s="5">
        <f t="shared" si="9"/>
        <v>1.0339588097804209</v>
      </c>
      <c r="AP57" t="str">
        <f t="shared" si="14"/>
        <v>Classe 1</v>
      </c>
      <c r="AR57" s="15"/>
    </row>
    <row r="58" spans="1:44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5068.1967756907261</v>
      </c>
      <c r="T58" s="15">
        <v>690</v>
      </c>
      <c r="U58" s="15">
        <v>210000</v>
      </c>
      <c r="V58" s="15">
        <f t="shared" si="11"/>
        <v>3.3820135307717911</v>
      </c>
      <c r="W58" s="63">
        <v>3.69801</v>
      </c>
      <c r="X58" s="15">
        <f t="shared" si="3"/>
        <v>1.093434418979423</v>
      </c>
      <c r="Y58" s="15">
        <f>'Global Only'!Y58</f>
        <v>0.48197744449634278</v>
      </c>
      <c r="Z58" s="15">
        <f t="shared" si="4"/>
        <v>0.52701072698404561</v>
      </c>
      <c r="AA58" s="16">
        <v>0.50902291593887639</v>
      </c>
      <c r="AB58" s="15">
        <v>0.35022897823777349</v>
      </c>
      <c r="AC58" s="17">
        <v>1.33</v>
      </c>
      <c r="AD58" s="15"/>
      <c r="AE58" s="15"/>
      <c r="AF58" s="22" t="s">
        <v>5</v>
      </c>
      <c r="AG58" s="17">
        <f t="shared" si="12"/>
        <v>18742.242358472064</v>
      </c>
      <c r="AH58" s="17">
        <v>6451.6404574806329</v>
      </c>
      <c r="AI58" s="15">
        <f t="shared" si="5"/>
        <v>1.9119303130599756</v>
      </c>
      <c r="AJ58" s="17">
        <f t="shared" si="6"/>
        <v>1.33</v>
      </c>
      <c r="AK58" s="15">
        <f t="shared" si="13"/>
        <v>1.093434418979423</v>
      </c>
      <c r="AL58" s="5">
        <v>29.24</v>
      </c>
      <c r="AM58" s="5">
        <v>26.817</v>
      </c>
      <c r="AN58" s="5">
        <f t="shared" si="8"/>
        <v>0.35512608564181458</v>
      </c>
      <c r="AO58" s="5">
        <f t="shared" si="9"/>
        <v>0.96586822596930977</v>
      </c>
      <c r="AP58" t="str">
        <f t="shared" si="14"/>
        <v>Classe 1</v>
      </c>
      <c r="AR58" s="15"/>
    </row>
    <row r="59" spans="1:44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5068.1967756907261</v>
      </c>
      <c r="T59" s="15">
        <v>690</v>
      </c>
      <c r="U59" s="15">
        <v>210000</v>
      </c>
      <c r="V59" s="15">
        <f t="shared" si="11"/>
        <v>3.3820135307717911</v>
      </c>
      <c r="W59" s="63">
        <v>3.69801</v>
      </c>
      <c r="X59" s="15">
        <f t="shared" si="3"/>
        <v>1.093434418979423</v>
      </c>
      <c r="Y59" s="15">
        <f>'Global Only'!Y59</f>
        <v>0.32496578214121186</v>
      </c>
      <c r="Z59" s="15">
        <f t="shared" si="4"/>
        <v>0.35532877118376971</v>
      </c>
      <c r="AA59" s="16">
        <v>0.34041015618785403</v>
      </c>
      <c r="AB59" s="15">
        <v>0.35022897823777349</v>
      </c>
      <c r="AC59" s="17">
        <v>1.67</v>
      </c>
      <c r="AD59" s="15"/>
      <c r="AE59" s="15"/>
      <c r="AF59" s="22" t="s">
        <v>5</v>
      </c>
      <c r="AG59" s="17">
        <f t="shared" si="12"/>
        <v>18742.242358472064</v>
      </c>
      <c r="AH59" s="17">
        <v>4547.4497814973574</v>
      </c>
      <c r="AI59" s="15">
        <f t="shared" si="5"/>
        <v>1.212669343028359</v>
      </c>
      <c r="AJ59" s="17">
        <f t="shared" si="6"/>
        <v>1.6700000000000002</v>
      </c>
      <c r="AK59" s="15">
        <f t="shared" si="13"/>
        <v>1.093434418979423</v>
      </c>
      <c r="AL59" s="5">
        <v>29.24</v>
      </c>
      <c r="AM59" s="5">
        <v>26.817</v>
      </c>
      <c r="AN59" s="5">
        <f t="shared" si="8"/>
        <v>0.35512608564181458</v>
      </c>
      <c r="AO59" s="5">
        <f t="shared" si="9"/>
        <v>0.95801461574244429</v>
      </c>
      <c r="AP59" t="str">
        <f t="shared" si="14"/>
        <v>Classe 1</v>
      </c>
      <c r="AR59" s="15"/>
    </row>
    <row r="60" spans="1:44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5068.1967756907261</v>
      </c>
      <c r="T60" s="15">
        <v>690</v>
      </c>
      <c r="U60" s="15">
        <v>210000</v>
      </c>
      <c r="V60" s="15">
        <f t="shared" si="11"/>
        <v>3.3820135307717911</v>
      </c>
      <c r="W60" s="63">
        <v>3.69801</v>
      </c>
      <c r="X60" s="15">
        <f t="shared" si="3"/>
        <v>1.093434418979423</v>
      </c>
      <c r="Y60" s="15">
        <f>'Global Only'!Y60</f>
        <v>0.22415542605383473</v>
      </c>
      <c r="Z60" s="15">
        <f t="shared" si="4"/>
        <v>0.2450992580482598</v>
      </c>
      <c r="AA60" s="16">
        <v>0.24252219052378668</v>
      </c>
      <c r="AB60" s="15">
        <v>0.35022897823777349</v>
      </c>
      <c r="AC60" s="17">
        <v>2</v>
      </c>
      <c r="AD60" s="15"/>
      <c r="AE60" s="15"/>
      <c r="AF60" s="22" t="s">
        <v>5</v>
      </c>
      <c r="AG60" s="17">
        <f t="shared" si="12"/>
        <v>18742.242358472064</v>
      </c>
      <c r="AH60" s="17">
        <v>3362.7265440823276</v>
      </c>
      <c r="AI60" s="15">
        <f t="shared" si="5"/>
        <v>0.84550338269294767</v>
      </c>
      <c r="AJ60" s="17">
        <f t="shared" si="6"/>
        <v>2</v>
      </c>
      <c r="AK60" s="15">
        <f t="shared" si="13"/>
        <v>1.093434418979423</v>
      </c>
      <c r="AL60" s="5">
        <v>29.24</v>
      </c>
      <c r="AM60" s="5">
        <v>26.817</v>
      </c>
      <c r="AN60" s="5">
        <f t="shared" si="8"/>
        <v>0.35512608564181458</v>
      </c>
      <c r="AO60" s="5">
        <f t="shared" si="9"/>
        <v>0.98948561678646252</v>
      </c>
      <c r="AP60" t="str">
        <f t="shared" si="14"/>
        <v>Classe 1</v>
      </c>
      <c r="AR60" s="15"/>
    </row>
    <row r="61" spans="1:44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5068.1967756907261</v>
      </c>
      <c r="T61" s="15">
        <v>690</v>
      </c>
      <c r="U61" s="15">
        <v>210000</v>
      </c>
      <c r="V61" s="15">
        <f t="shared" si="11"/>
        <v>3.3820135307717911</v>
      </c>
      <c r="W61" s="63">
        <v>3.69801</v>
      </c>
      <c r="X61" s="15">
        <f t="shared" si="3"/>
        <v>1.093434418979423</v>
      </c>
      <c r="Y61" s="15">
        <f>'Global Only'!Y61</f>
        <v>0.14145261282710786</v>
      </c>
      <c r="Z61" s="15">
        <f t="shared" si="4"/>
        <v>0.15466915551972996</v>
      </c>
      <c r="AA61" s="16">
        <v>0.15710096718807653</v>
      </c>
      <c r="AB61" s="15">
        <v>0.35022897823777349</v>
      </c>
      <c r="AC61" s="17">
        <v>2.5</v>
      </c>
      <c r="AD61" s="15"/>
      <c r="AE61" s="15"/>
      <c r="AF61" s="22" t="s">
        <v>5</v>
      </c>
      <c r="AG61" s="17">
        <f t="shared" si="12"/>
        <v>18742.242358472064</v>
      </c>
      <c r="AH61" s="17">
        <v>2270.5678678802901</v>
      </c>
      <c r="AI61" s="15">
        <f t="shared" si="5"/>
        <v>0.54112216492348642</v>
      </c>
      <c r="AJ61" s="17">
        <f t="shared" si="6"/>
        <v>2.5000000000000004</v>
      </c>
      <c r="AK61" s="15">
        <f t="shared" si="13"/>
        <v>1.093434418979423</v>
      </c>
      <c r="AL61" s="5">
        <v>29.24</v>
      </c>
      <c r="AM61" s="5">
        <v>26.817</v>
      </c>
      <c r="AN61" s="5">
        <f t="shared" si="8"/>
        <v>0.35512608564181458</v>
      </c>
      <c r="AO61" s="5">
        <f t="shared" si="9"/>
        <v>1.0157226672646853</v>
      </c>
      <c r="AP61" t="str">
        <f t="shared" si="14"/>
        <v>Classe 1</v>
      </c>
      <c r="AR61" s="15"/>
    </row>
    <row r="62" spans="1:44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3623.5184860893937</v>
      </c>
      <c r="T62" s="15">
        <v>690</v>
      </c>
      <c r="U62" s="15">
        <v>210000</v>
      </c>
      <c r="V62" s="15">
        <f t="shared" si="11"/>
        <v>3.3746464374180452</v>
      </c>
      <c r="W62" s="63">
        <v>3.4307400000000001</v>
      </c>
      <c r="X62" s="15">
        <f t="shared" si="3"/>
        <v>1.0166220561537915</v>
      </c>
      <c r="Y62" s="15">
        <f>'Global Only'!Y62</f>
        <v>1.0238588967186413</v>
      </c>
      <c r="Z62" s="15">
        <f t="shared" si="4"/>
        <v>1.0408775367934575</v>
      </c>
      <c r="AA62" s="16"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12"/>
        <v>12431.349810966327</v>
      </c>
      <c r="AH62" s="17">
        <v>11606.268217375113</v>
      </c>
      <c r="AI62" s="15">
        <f t="shared" si="5"/>
        <v>37.496071526867162</v>
      </c>
      <c r="AJ62" s="17">
        <f t="shared" si="6"/>
        <v>0.30000000000000004</v>
      </c>
      <c r="AK62" s="15">
        <f t="shared" si="13"/>
        <v>1.0166220561537915</v>
      </c>
      <c r="AL62" s="56">
        <v>14.43</v>
      </c>
      <c r="AM62" s="56">
        <v>13.205</v>
      </c>
      <c r="AN62" s="56">
        <f t="shared" si="8"/>
        <v>0.50552767558026701</v>
      </c>
      <c r="AO62" s="5">
        <f t="shared" si="9"/>
        <v>0.94261582179753889</v>
      </c>
      <c r="AP62" t="str">
        <f t="shared" si="14"/>
        <v>Hors classe</v>
      </c>
      <c r="AR62" s="15"/>
    </row>
    <row r="63" spans="1:44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3623.5184860893937</v>
      </c>
      <c r="T63" s="15">
        <v>690</v>
      </c>
      <c r="U63" s="15">
        <v>210000</v>
      </c>
      <c r="V63" s="15">
        <f t="shared" si="11"/>
        <v>3.3746464374180452</v>
      </c>
      <c r="W63" s="63">
        <v>3.4307400000000001</v>
      </c>
      <c r="X63" s="15">
        <f t="shared" si="3"/>
        <v>1.0166220561537915</v>
      </c>
      <c r="Y63" s="15">
        <f>'Global Only'!Y63</f>
        <v>0.88799757040382965</v>
      </c>
      <c r="Z63" s="15">
        <f t="shared" si="4"/>
        <v>0.90275791588351251</v>
      </c>
      <c r="AA63" s="16">
        <v>0.92096047492330946</v>
      </c>
      <c r="AB63" s="15">
        <v>0.50266891735380559</v>
      </c>
      <c r="AC63" s="17">
        <v>0.5</v>
      </c>
      <c r="AD63" s="15"/>
      <c r="AE63" s="15"/>
      <c r="AF63" s="22" t="s">
        <v>5</v>
      </c>
      <c r="AG63" s="17">
        <f t="shared" si="12"/>
        <v>12431.349810966327</v>
      </c>
      <c r="AH63" s="17">
        <v>10308.173348446966</v>
      </c>
      <c r="AI63" s="15">
        <f t="shared" si="5"/>
        <v>13.498585749672179</v>
      </c>
      <c r="AJ63" s="17">
        <f t="shared" si="6"/>
        <v>0.5</v>
      </c>
      <c r="AK63" s="15">
        <f t="shared" si="13"/>
        <v>1.0166220561537915</v>
      </c>
      <c r="AL63" s="5">
        <v>14.43</v>
      </c>
      <c r="AM63" s="5">
        <v>13.205</v>
      </c>
      <c r="AN63" s="5">
        <f t="shared" si="8"/>
        <v>0.50552767558026701</v>
      </c>
      <c r="AO63" s="5">
        <f t="shared" si="9"/>
        <v>1.020163278238311</v>
      </c>
      <c r="AP63" t="str">
        <f t="shared" si="14"/>
        <v>Hors classe</v>
      </c>
      <c r="AR63" s="15"/>
    </row>
    <row r="64" spans="1:44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3623.5184860893937</v>
      </c>
      <c r="T64" s="15">
        <v>690</v>
      </c>
      <c r="U64" s="15">
        <v>210000</v>
      </c>
      <c r="V64" s="15">
        <f t="shared" si="11"/>
        <v>3.3746464374180452</v>
      </c>
      <c r="W64" s="63">
        <v>3.4307400000000001</v>
      </c>
      <c r="X64" s="15">
        <f t="shared" si="3"/>
        <v>1.0166220561537915</v>
      </c>
      <c r="Y64" s="15">
        <f>'Global Only'!Y64</f>
        <v>0.72515637957617529</v>
      </c>
      <c r="Z64" s="15">
        <f t="shared" si="4"/>
        <v>0.73720996963777063</v>
      </c>
      <c r="AA64" s="16">
        <v>0.83408223394598857</v>
      </c>
      <c r="AB64" s="15">
        <v>0.50266891735380559</v>
      </c>
      <c r="AC64" s="17">
        <v>0.75</v>
      </c>
      <c r="AD64" s="15"/>
      <c r="AE64" s="15"/>
      <c r="AF64" s="22" t="s">
        <v>5</v>
      </c>
      <c r="AG64" s="17">
        <f t="shared" si="12"/>
        <v>12431.349810966327</v>
      </c>
      <c r="AH64" s="17">
        <v>8480.6249837628839</v>
      </c>
      <c r="AI64" s="15">
        <f t="shared" si="5"/>
        <v>5.9993714442987462</v>
      </c>
      <c r="AJ64" s="17">
        <f t="shared" si="6"/>
        <v>0.75000000000000011</v>
      </c>
      <c r="AK64" s="15">
        <f t="shared" si="13"/>
        <v>1.0166220561537915</v>
      </c>
      <c r="AL64" s="5">
        <v>14.43</v>
      </c>
      <c r="AM64" s="5">
        <v>13.205</v>
      </c>
      <c r="AN64" s="5">
        <f t="shared" si="8"/>
        <v>0.50552767558026701</v>
      </c>
      <c r="AO64" s="5">
        <f t="shared" si="9"/>
        <v>1.1314038988862511</v>
      </c>
      <c r="AP64" t="str">
        <f t="shared" si="14"/>
        <v>Hors classe</v>
      </c>
      <c r="AR64" s="15"/>
    </row>
    <row r="65" spans="1:44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3623.5184860893937</v>
      </c>
      <c r="T65" s="15">
        <v>690</v>
      </c>
      <c r="U65" s="15">
        <v>210000</v>
      </c>
      <c r="V65" s="15">
        <f t="shared" si="11"/>
        <v>3.3746464374180452</v>
      </c>
      <c r="W65" s="63">
        <v>3.4307400000000001</v>
      </c>
      <c r="X65" s="15">
        <f t="shared" si="3"/>
        <v>1.0166220561537915</v>
      </c>
      <c r="Y65" s="15">
        <f>'Global Only'!Y65</f>
        <v>0.65432919682863777</v>
      </c>
      <c r="Z65" s="15">
        <f t="shared" si="4"/>
        <v>0.66520549348138869</v>
      </c>
      <c r="AA65" s="16">
        <v>0.7247740403889753</v>
      </c>
      <c r="AB65" s="15">
        <v>0.50266891735380559</v>
      </c>
      <c r="AC65" s="17">
        <v>1</v>
      </c>
      <c r="AD65" s="15"/>
      <c r="AE65" s="15"/>
      <c r="AF65" s="22" t="s">
        <v>5</v>
      </c>
      <c r="AG65" s="17">
        <f t="shared" si="12"/>
        <v>12431.349810966327</v>
      </c>
      <c r="AH65" s="17">
        <v>6602.4250441769227</v>
      </c>
      <c r="AI65" s="15">
        <f t="shared" si="5"/>
        <v>3.3746464374180447</v>
      </c>
      <c r="AJ65" s="17">
        <f t="shared" si="6"/>
        <v>1</v>
      </c>
      <c r="AK65" s="15">
        <f t="shared" si="13"/>
        <v>1.0166220561537915</v>
      </c>
      <c r="AL65" s="5">
        <v>14.43</v>
      </c>
      <c r="AM65" s="5">
        <v>13.205</v>
      </c>
      <c r="AN65" s="5">
        <f t="shared" si="8"/>
        <v>0.50552767558026701</v>
      </c>
      <c r="AO65" s="5">
        <f t="shared" si="9"/>
        <v>1.0895490904559904</v>
      </c>
      <c r="AP65" t="str">
        <f t="shared" si="14"/>
        <v>Hors classe</v>
      </c>
      <c r="AR65" s="15"/>
    </row>
    <row r="66" spans="1:44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3623.5184860893937</v>
      </c>
      <c r="T66" s="15">
        <v>690</v>
      </c>
      <c r="U66" s="15">
        <v>210000</v>
      </c>
      <c r="V66" s="15">
        <f t="shared" si="11"/>
        <v>3.3746464374180452</v>
      </c>
      <c r="W66" s="63">
        <v>3.4307400000000001</v>
      </c>
      <c r="X66" s="15">
        <f t="shared" si="3"/>
        <v>1.0166220561537915</v>
      </c>
      <c r="Y66" s="15">
        <f>'Global Only'!Y66</f>
        <v>0.48481833222002502</v>
      </c>
      <c r="Z66" s="15">
        <f t="shared" si="4"/>
        <v>0.49287700976257381</v>
      </c>
      <c r="AA66" s="16">
        <v>0.50383407185672446</v>
      </c>
      <c r="AB66" s="15">
        <v>0.50266891735380559</v>
      </c>
      <c r="AC66" s="17">
        <v>1.33</v>
      </c>
      <c r="AD66" s="15"/>
      <c r="AE66" s="15"/>
      <c r="AF66" s="22" t="s">
        <v>5</v>
      </c>
      <c r="AG66" s="17">
        <f t="shared" si="12"/>
        <v>12431.349810966327</v>
      </c>
      <c r="AH66" s="17">
        <v>4602.566872899738</v>
      </c>
      <c r="AI66" s="15">
        <f t="shared" si="5"/>
        <v>1.9077655251388117</v>
      </c>
      <c r="AJ66" s="17">
        <f t="shared" si="6"/>
        <v>1.3300000000000003</v>
      </c>
      <c r="AK66" s="15">
        <f t="shared" si="13"/>
        <v>1.0166220561537915</v>
      </c>
      <c r="AL66" s="5">
        <v>14.43</v>
      </c>
      <c r="AM66" s="5">
        <v>13.205</v>
      </c>
      <c r="AN66" s="5">
        <f t="shared" si="8"/>
        <v>0.50552767558026701</v>
      </c>
      <c r="AO66" s="5">
        <f t="shared" si="9"/>
        <v>1.0222308240739995</v>
      </c>
      <c r="AP66" t="str">
        <f t="shared" si="14"/>
        <v>Hors classe</v>
      </c>
      <c r="AR66" s="15"/>
    </row>
    <row r="67" spans="1:44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3623.5184860893937</v>
      </c>
      <c r="T67" s="15">
        <v>690</v>
      </c>
      <c r="U67" s="15">
        <v>210000</v>
      </c>
      <c r="V67" s="15">
        <f t="shared" si="11"/>
        <v>3.3746464374180452</v>
      </c>
      <c r="W67" s="63">
        <v>3.4307400000000001</v>
      </c>
      <c r="X67" s="15">
        <f t="shared" si="3"/>
        <v>1.0166220561537915</v>
      </c>
      <c r="Y67" s="15">
        <f>'Global Only'!Y67</f>
        <v>0.32637780634722363</v>
      </c>
      <c r="Z67" s="15">
        <f t="shared" si="4"/>
        <v>0.33180287657167851</v>
      </c>
      <c r="AA67" s="16">
        <v>0.33752898589679736</v>
      </c>
      <c r="AB67" s="15">
        <v>0.50266891735380559</v>
      </c>
      <c r="AC67" s="17">
        <v>1.67</v>
      </c>
      <c r="AD67" s="15"/>
      <c r="AE67" s="15"/>
      <c r="AF67" s="22" t="s">
        <v>5</v>
      </c>
      <c r="AG67" s="17">
        <f t="shared" si="12"/>
        <v>12431.349810966327</v>
      </c>
      <c r="AH67" s="17">
        <v>3244.127111303414</v>
      </c>
      <c r="AI67" s="15">
        <f t="shared" si="5"/>
        <v>1.210027766294254</v>
      </c>
      <c r="AJ67" s="17">
        <f t="shared" si="6"/>
        <v>1.67</v>
      </c>
      <c r="AK67" s="15">
        <f t="shared" si="13"/>
        <v>1.0166220561537915</v>
      </c>
      <c r="AL67" s="5">
        <v>14.43</v>
      </c>
      <c r="AM67" s="5">
        <v>13.205</v>
      </c>
      <c r="AN67" s="5">
        <f t="shared" si="8"/>
        <v>0.50552767558026701</v>
      </c>
      <c r="AO67" s="5">
        <f t="shared" si="9"/>
        <v>1.0172575638411678</v>
      </c>
      <c r="AP67" t="str">
        <f t="shared" si="14"/>
        <v>Hors classe</v>
      </c>
      <c r="AR67" s="15"/>
    </row>
    <row r="68" spans="1:44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3623.5184860893937</v>
      </c>
      <c r="T68" s="15">
        <v>690</v>
      </c>
      <c r="U68" s="15">
        <v>210000</v>
      </c>
      <c r="V68" s="15">
        <f t="shared" si="11"/>
        <v>3.3746464374180452</v>
      </c>
      <c r="W68" s="63">
        <v>3.4307400000000001</v>
      </c>
      <c r="X68" s="15">
        <f t="shared" si="3"/>
        <v>1.0166220561537915</v>
      </c>
      <c r="Y68" s="15">
        <f>'Global Only'!Y68</f>
        <v>0.22502891169985859</v>
      </c>
      <c r="Z68" s="15">
        <f t="shared" si="4"/>
        <v>0.22876935490636024</v>
      </c>
      <c r="AA68" s="16">
        <v>0.24054185701529165</v>
      </c>
      <c r="AB68" s="15">
        <v>0.50266891735380559</v>
      </c>
      <c r="AC68" s="17">
        <v>2</v>
      </c>
      <c r="AD68" s="15"/>
      <c r="AE68" s="15"/>
      <c r="AF68" s="22" t="s">
        <v>5</v>
      </c>
      <c r="AG68" s="17">
        <f t="shared" si="12"/>
        <v>12431.349810966327</v>
      </c>
      <c r="AH68" s="17">
        <v>2398.9516924285917</v>
      </c>
      <c r="AI68" s="15">
        <f t="shared" si="5"/>
        <v>0.84366160935451118</v>
      </c>
      <c r="AJ68" s="17">
        <f t="shared" si="6"/>
        <v>2</v>
      </c>
      <c r="AK68" s="15">
        <f t="shared" si="13"/>
        <v>1.0166220561537915</v>
      </c>
      <c r="AL68" s="5">
        <v>14.43</v>
      </c>
      <c r="AM68" s="5">
        <v>13.205</v>
      </c>
      <c r="AN68" s="5">
        <f t="shared" si="8"/>
        <v>0.50552767558026701</v>
      </c>
      <c r="AO68" s="5">
        <f t="shared" si="9"/>
        <v>1.0514601359686053</v>
      </c>
      <c r="AP68" t="str">
        <f t="shared" si="14"/>
        <v>Hors classe</v>
      </c>
      <c r="AR68" s="15"/>
    </row>
    <row r="69" spans="1:44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3623.5184860893937</v>
      </c>
      <c r="T69" s="15">
        <v>690</v>
      </c>
      <c r="U69" s="15">
        <v>210000</v>
      </c>
      <c r="V69" s="15">
        <f t="shared" si="11"/>
        <v>3.3746464374180452</v>
      </c>
      <c r="W69" s="63">
        <v>3.4307400000000001</v>
      </c>
      <c r="X69" s="15">
        <f t="shared" si="3"/>
        <v>1.0166220561537915</v>
      </c>
      <c r="Y69" s="15">
        <f>'Global Only'!Y69</f>
        <v>0.14200067667657226</v>
      </c>
      <c r="Z69" s="15">
        <f t="shared" si="4"/>
        <v>0.14436101989816663</v>
      </c>
      <c r="AA69" s="16">
        <v>0.15586827287400998</v>
      </c>
      <c r="AB69" s="15">
        <v>0.50266891735380559</v>
      </c>
      <c r="AC69" s="17">
        <v>2.5</v>
      </c>
      <c r="AD69" s="15"/>
      <c r="AE69" s="15"/>
      <c r="AF69" s="22" t="s">
        <v>5</v>
      </c>
      <c r="AG69" s="17">
        <f t="shared" si="12"/>
        <v>12431.349810966327</v>
      </c>
      <c r="AH69" s="17">
        <v>1619.8113518956557</v>
      </c>
      <c r="AI69" s="15">
        <f t="shared" si="5"/>
        <v>0.53994342998688727</v>
      </c>
      <c r="AJ69" s="17">
        <f t="shared" si="6"/>
        <v>2.5</v>
      </c>
      <c r="AK69" s="15">
        <f t="shared" si="13"/>
        <v>1.0166220561537915</v>
      </c>
      <c r="AL69" s="5">
        <v>14.43</v>
      </c>
      <c r="AM69" s="5">
        <v>13.205</v>
      </c>
      <c r="AN69" s="5">
        <f t="shared" si="8"/>
        <v>0.50552767558026701</v>
      </c>
      <c r="AO69" s="5">
        <f t="shared" si="9"/>
        <v>1.0797116353428415</v>
      </c>
      <c r="AP69" t="str">
        <f t="shared" si="14"/>
        <v>Hors classe</v>
      </c>
      <c r="AR69" s="15"/>
    </row>
    <row r="70" spans="1:44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3064.1525341267711</v>
      </c>
      <c r="T70" s="15">
        <v>690</v>
      </c>
      <c r="U70" s="15">
        <v>210000</v>
      </c>
      <c r="V70" s="15">
        <f t="shared" si="11"/>
        <v>3.3719492861162292</v>
      </c>
      <c r="W70" s="63">
        <v>3.2739799999999999</v>
      </c>
      <c r="X70" s="15">
        <f t="shared" si="3"/>
        <v>0.97094580084000337</v>
      </c>
      <c r="Y70" s="15">
        <f>'Global Only'!Y70</f>
        <v>1.0300534446372873</v>
      </c>
      <c r="Z70" s="15">
        <f t="shared" si="4"/>
        <v>1.000126066711355</v>
      </c>
      <c r="AA70" s="16"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12"/>
        <v>10031.974113680366</v>
      </c>
      <c r="AH70" s="17">
        <v>9806.7534760598755</v>
      </c>
      <c r="AI70" s="15">
        <f t="shared" si="5"/>
        <v>37.466103179069208</v>
      </c>
      <c r="AJ70" s="17">
        <f t="shared" si="6"/>
        <v>0.30000000000000004</v>
      </c>
      <c r="AK70" s="15">
        <f t="shared" si="13"/>
        <v>0.97094580084000337</v>
      </c>
      <c r="AL70" s="56">
        <v>10.167</v>
      </c>
      <c r="AM70" s="56">
        <v>9.2965999999999998</v>
      </c>
      <c r="AN70" s="56">
        <f t="shared" si="8"/>
        <v>0.60225226849324431</v>
      </c>
      <c r="AO70" s="5">
        <f t="shared" si="9"/>
        <v>0.96858355692711018</v>
      </c>
      <c r="AP70" t="str">
        <f t="shared" si="14"/>
        <v>Classe 2</v>
      </c>
      <c r="AR70" s="15"/>
    </row>
    <row r="71" spans="1:44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5">2*C71*F71+(E71-2*F71)*H71</f>
        <v>14974.155000000001</v>
      </c>
      <c r="M71" s="15"/>
      <c r="N71" s="15"/>
      <c r="O71" s="15"/>
      <c r="P71" s="15">
        <f t="shared" ref="P71:P134" si="16">(H71*(E71-2*F71)^3)/12 + (C71*F71^3)/6 + 2*C71*F71*(E71/2 - F71/2)^2</f>
        <v>252029231.98346251</v>
      </c>
      <c r="Q71" s="15"/>
      <c r="R71" s="15"/>
      <c r="S71" s="15">
        <v>3064.1525341267711</v>
      </c>
      <c r="T71" s="15">
        <v>690</v>
      </c>
      <c r="U71" s="15">
        <v>210000</v>
      </c>
      <c r="V71" s="15">
        <f t="shared" ref="V71:V134" si="17">L71*T71/(S71*1000)</f>
        <v>3.3719492861162292</v>
      </c>
      <c r="W71" s="63">
        <v>3.2739799999999999</v>
      </c>
      <c r="X71" s="15">
        <f t="shared" ref="X71:X134" si="18">AK71</f>
        <v>0.97094580084000337</v>
      </c>
      <c r="Y71" s="15">
        <f>'Global Only'!Y71</f>
        <v>0.89343539695107743</v>
      </c>
      <c r="Z71" s="15">
        <f t="shared" ref="Z71:Z134" si="19">X71*Y71</f>
        <v>0.86747734699147017</v>
      </c>
      <c r="AA71" s="16">
        <v>0.90915378340804653</v>
      </c>
      <c r="AB71" s="15">
        <v>0.60017711473117275</v>
      </c>
      <c r="AC71" s="17">
        <v>0.5</v>
      </c>
      <c r="AD71" s="15"/>
      <c r="AE71" s="15"/>
      <c r="AF71" s="22" t="s">
        <v>5</v>
      </c>
      <c r="AG71" s="17">
        <f t="shared" ref="AG71:AG134" si="20">W71*S71</f>
        <v>10031.974113680366</v>
      </c>
      <c r="AH71" s="17">
        <v>8709.9240620145374</v>
      </c>
      <c r="AI71" s="15">
        <f t="shared" ref="AI71:AI134" si="21">(PI()^2*U71*P71/K71^2)/(S71*1000)</f>
        <v>13.487797144464915</v>
      </c>
      <c r="AJ71" s="17">
        <f t="shared" ref="AJ71:AJ134" si="22">(V71/AI71)^0.5</f>
        <v>0.5</v>
      </c>
      <c r="AK71" s="15">
        <f t="shared" ref="AK71:AK134" si="23">W71/V71</f>
        <v>0.97094580084000337</v>
      </c>
      <c r="AL71" s="5">
        <v>10.167</v>
      </c>
      <c r="AM71" s="5">
        <v>9.2965999999999998</v>
      </c>
      <c r="AN71" s="5">
        <f t="shared" ref="AN71:AN134" si="24">(V71/AM71)^0.5</f>
        <v>0.60225226849324431</v>
      </c>
      <c r="AO71" s="5">
        <f t="shared" ref="AO71:AO134" si="25">AA71/Z71</f>
        <v>1.0480432561854391</v>
      </c>
      <c r="AP71" t="str">
        <f t="shared" ref="AP71:AP134" si="26">IF(AND(AK71&gt;=1.03,AK71&lt;=1.15),"Classe 1",IF(AND(AK71&gt;=0.88,AK71&lt;=1.01),"Classe 2",IF(AND(AK71&gt;=0.8179,AK71&lt;=0.819),"Classe 3","Hors classe")))</f>
        <v>Classe 2</v>
      </c>
      <c r="AR71" s="15"/>
    </row>
    <row r="72" spans="1:44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5"/>
        <v>14974.155000000001</v>
      </c>
      <c r="M72" s="15"/>
      <c r="N72" s="15"/>
      <c r="O72" s="15"/>
      <c r="P72" s="15">
        <f t="shared" si="16"/>
        <v>252029231.98346251</v>
      </c>
      <c r="Q72" s="15"/>
      <c r="R72" s="15"/>
      <c r="S72" s="15">
        <v>3064.1525341267711</v>
      </c>
      <c r="T72" s="15">
        <v>690</v>
      </c>
      <c r="U72" s="15">
        <v>210000</v>
      </c>
      <c r="V72" s="15">
        <f t="shared" si="17"/>
        <v>3.3719492861162292</v>
      </c>
      <c r="W72" s="63">
        <v>3.2739799999999999</v>
      </c>
      <c r="X72" s="15">
        <f t="shared" si="18"/>
        <v>0.97094580084000337</v>
      </c>
      <c r="Y72" s="15">
        <f>'Global Only'!Y72</f>
        <v>0.72766244190667728</v>
      </c>
      <c r="Z72" s="15">
        <f t="shared" si="19"/>
        <v>0.70652079239827126</v>
      </c>
      <c r="AA72" s="16">
        <v>0.82443613695351214</v>
      </c>
      <c r="AB72" s="15">
        <v>0.60017711473117275</v>
      </c>
      <c r="AC72" s="17">
        <v>0.75</v>
      </c>
      <c r="AD72" s="15"/>
      <c r="AE72" s="15"/>
      <c r="AF72" s="22" t="s">
        <v>5</v>
      </c>
      <c r="AG72" s="17">
        <f t="shared" si="20"/>
        <v>10031.974113680366</v>
      </c>
      <c r="AH72" s="17">
        <v>7165.7312222176215</v>
      </c>
      <c r="AI72" s="15">
        <f t="shared" si="21"/>
        <v>5.9945765086510727</v>
      </c>
      <c r="AJ72" s="17">
        <f t="shared" si="22"/>
        <v>0.75000000000000011</v>
      </c>
      <c r="AK72" s="15">
        <f t="shared" si="23"/>
        <v>0.97094580084000337</v>
      </c>
      <c r="AL72" s="5">
        <v>10.167</v>
      </c>
      <c r="AM72" s="5">
        <v>9.2965999999999998</v>
      </c>
      <c r="AN72" s="5">
        <f t="shared" si="24"/>
        <v>0.60225226849324431</v>
      </c>
      <c r="AO72" s="5">
        <f t="shared" si="25"/>
        <v>1.1668957882399746</v>
      </c>
      <c r="AP72" t="str">
        <f t="shared" si="26"/>
        <v>Classe 2</v>
      </c>
      <c r="AR72" s="15"/>
    </row>
    <row r="73" spans="1:44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5"/>
        <v>14974.155000000001</v>
      </c>
      <c r="M73" s="15"/>
      <c r="N73" s="15"/>
      <c r="O73" s="15"/>
      <c r="P73" s="15">
        <f t="shared" si="16"/>
        <v>252029231.98346251</v>
      </c>
      <c r="Q73" s="15"/>
      <c r="R73" s="15"/>
      <c r="S73" s="15">
        <v>3064.1525341267711</v>
      </c>
      <c r="T73" s="15">
        <v>690</v>
      </c>
      <c r="U73" s="15">
        <v>210000</v>
      </c>
      <c r="V73" s="15">
        <f t="shared" si="17"/>
        <v>3.3719492861162292</v>
      </c>
      <c r="W73" s="63">
        <v>3.2739799999999999</v>
      </c>
      <c r="X73" s="15">
        <f t="shared" si="18"/>
        <v>0.97094580084000337</v>
      </c>
      <c r="Y73" s="15">
        <f>'Global Only'!Y73</f>
        <v>0.65604148674678842</v>
      </c>
      <c r="Z73" s="15">
        <f t="shared" si="19"/>
        <v>0.63698072673362693</v>
      </c>
      <c r="AA73" s="16">
        <v>0.71546240619376666</v>
      </c>
      <c r="AB73" s="15">
        <v>0.60017711473117275</v>
      </c>
      <c r="AC73" s="17">
        <v>1</v>
      </c>
      <c r="AD73" s="15"/>
      <c r="AE73" s="15"/>
      <c r="AF73" s="22" t="s">
        <v>5</v>
      </c>
      <c r="AG73" s="17">
        <f t="shared" si="20"/>
        <v>10031.974113680366</v>
      </c>
      <c r="AH73" s="17">
        <v>5578.7401720973157</v>
      </c>
      <c r="AI73" s="15">
        <f t="shared" si="21"/>
        <v>3.3719492861162288</v>
      </c>
      <c r="AJ73" s="17">
        <f t="shared" si="22"/>
        <v>1</v>
      </c>
      <c r="AK73" s="15">
        <f t="shared" si="23"/>
        <v>0.97094580084000337</v>
      </c>
      <c r="AL73" s="5">
        <v>10.167</v>
      </c>
      <c r="AM73" s="5">
        <v>9.2965999999999998</v>
      </c>
      <c r="AN73" s="5">
        <f t="shared" si="24"/>
        <v>0.60225226849324431</v>
      </c>
      <c r="AO73" s="5">
        <f t="shared" si="25"/>
        <v>1.1232088761344254</v>
      </c>
      <c r="AP73" t="str">
        <f t="shared" si="26"/>
        <v>Classe 2</v>
      </c>
      <c r="AR73" s="15"/>
    </row>
    <row r="74" spans="1:44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5"/>
        <v>14974.155000000001</v>
      </c>
      <c r="M74" s="15"/>
      <c r="N74" s="15"/>
      <c r="O74" s="15"/>
      <c r="P74" s="15">
        <f t="shared" si="16"/>
        <v>252029231.98346251</v>
      </c>
      <c r="Q74" s="15"/>
      <c r="R74" s="15"/>
      <c r="S74" s="15">
        <v>3064.1525341267711</v>
      </c>
      <c r="T74" s="15">
        <v>690</v>
      </c>
      <c r="U74" s="15">
        <v>210000</v>
      </c>
      <c r="V74" s="15">
        <f t="shared" si="17"/>
        <v>3.3719492861162292</v>
      </c>
      <c r="W74" s="63">
        <v>3.2739799999999999</v>
      </c>
      <c r="X74" s="15">
        <f t="shared" si="18"/>
        <v>0.97094580084000337</v>
      </c>
      <c r="Y74" s="15">
        <f>'Global Only'!Y74</f>
        <v>0.48613701198117854</v>
      </c>
      <c r="Z74" s="15">
        <f t="shared" si="19"/>
        <v>0.47201269041603172</v>
      </c>
      <c r="AA74" s="16">
        <v>0.50000346820478114</v>
      </c>
      <c r="AB74" s="15">
        <v>0.60017711473117275</v>
      </c>
      <c r="AC74" s="17">
        <v>1.33</v>
      </c>
      <c r="AD74" s="15"/>
      <c r="AE74" s="15"/>
      <c r="AF74" s="22" t="s">
        <v>5</v>
      </c>
      <c r="AG74" s="17">
        <f t="shared" si="20"/>
        <v>10031.974113680366</v>
      </c>
      <c r="AH74" s="17">
        <v>3888.9536097430987</v>
      </c>
      <c r="AI74" s="15">
        <f t="shared" si="21"/>
        <v>1.9062407632518676</v>
      </c>
      <c r="AJ74" s="17">
        <f t="shared" si="22"/>
        <v>1.33</v>
      </c>
      <c r="AK74" s="15">
        <f t="shared" si="23"/>
        <v>0.97094580084000337</v>
      </c>
      <c r="AL74" s="5">
        <v>10.167</v>
      </c>
      <c r="AM74" s="5">
        <v>9.2965999999999998</v>
      </c>
      <c r="AN74" s="5">
        <f t="shared" si="24"/>
        <v>0.60225226849324431</v>
      </c>
      <c r="AO74" s="5">
        <f t="shared" si="25"/>
        <v>1.0593009009229781</v>
      </c>
      <c r="AP74" t="str">
        <f t="shared" si="26"/>
        <v>Classe 2</v>
      </c>
      <c r="AR74" s="15"/>
    </row>
    <row r="75" spans="1:44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5"/>
        <v>14974.155000000001</v>
      </c>
      <c r="M75" s="15"/>
      <c r="N75" s="15"/>
      <c r="O75" s="15"/>
      <c r="P75" s="15">
        <f t="shared" si="16"/>
        <v>252029231.98346251</v>
      </c>
      <c r="Q75" s="15"/>
      <c r="R75" s="15"/>
      <c r="S75" s="15">
        <v>3064.1525341267711</v>
      </c>
      <c r="T75" s="15">
        <v>690</v>
      </c>
      <c r="U75" s="15">
        <v>210000</v>
      </c>
      <c r="V75" s="15">
        <f t="shared" si="17"/>
        <v>3.3719492861162292</v>
      </c>
      <c r="W75" s="63">
        <v>3.2739799999999999</v>
      </c>
      <c r="X75" s="15">
        <f t="shared" si="18"/>
        <v>0.97094580084000337</v>
      </c>
      <c r="Y75" s="15">
        <f>'Global Only'!Y75</f>
        <v>0.32703216519703543</v>
      </c>
      <c r="Z75" s="15">
        <f t="shared" si="19"/>
        <v>0.31753050753767587</v>
      </c>
      <c r="AA75" s="16">
        <v>0.33565974992264708</v>
      </c>
      <c r="AB75" s="15">
        <v>0.60017711473117275</v>
      </c>
      <c r="AC75" s="17">
        <v>1.67</v>
      </c>
      <c r="AD75" s="15"/>
      <c r="AE75" s="15"/>
      <c r="AF75" s="22" t="s">
        <v>5</v>
      </c>
      <c r="AG75" s="17">
        <f t="shared" si="20"/>
        <v>10031.974113680366</v>
      </c>
      <c r="AH75" s="17">
        <v>2741.1355855043321</v>
      </c>
      <c r="AI75" s="15">
        <f t="shared" si="21"/>
        <v>1.209060664102775</v>
      </c>
      <c r="AJ75" s="17">
        <f t="shared" si="22"/>
        <v>1.67</v>
      </c>
      <c r="AK75" s="15">
        <f t="shared" si="23"/>
        <v>0.97094580084000337</v>
      </c>
      <c r="AL75" s="5">
        <v>10.167</v>
      </c>
      <c r="AM75" s="5">
        <v>9.2965999999999998</v>
      </c>
      <c r="AN75" s="5">
        <f t="shared" si="24"/>
        <v>0.60225226849324431</v>
      </c>
      <c r="AO75" s="5">
        <f t="shared" si="25"/>
        <v>1.0570944899926509</v>
      </c>
      <c r="AP75" t="str">
        <f t="shared" si="26"/>
        <v>Classe 2</v>
      </c>
      <c r="AR75" s="15"/>
    </row>
    <row r="76" spans="1:44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5"/>
        <v>14974.155000000001</v>
      </c>
      <c r="M76" s="15"/>
      <c r="N76" s="15"/>
      <c r="O76" s="15"/>
      <c r="P76" s="15">
        <f t="shared" si="16"/>
        <v>252029231.98346251</v>
      </c>
      <c r="Q76" s="15"/>
      <c r="R76" s="15"/>
      <c r="S76" s="15">
        <v>3064.1525341267711</v>
      </c>
      <c r="T76" s="15">
        <v>690</v>
      </c>
      <c r="U76" s="15">
        <v>210000</v>
      </c>
      <c r="V76" s="15">
        <f t="shared" si="17"/>
        <v>3.3719492861162292</v>
      </c>
      <c r="W76" s="63">
        <v>3.2739799999999999</v>
      </c>
      <c r="X76" s="15">
        <f t="shared" si="18"/>
        <v>0.97094580084000337</v>
      </c>
      <c r="Y76" s="15">
        <f>'Global Only'!Y76</f>
        <v>0.22544794080101771</v>
      </c>
      <c r="Z76" s="15">
        <f t="shared" si="19"/>
        <v>0.21889773142877381</v>
      </c>
      <c r="AA76" s="16">
        <v>0.2393681184455809</v>
      </c>
      <c r="AB76" s="15">
        <v>0.60017711473117275</v>
      </c>
      <c r="AC76" s="17">
        <v>2</v>
      </c>
      <c r="AD76" s="15"/>
      <c r="AE76" s="15"/>
      <c r="AF76" s="22" t="s">
        <v>5</v>
      </c>
      <c r="AG76" s="17">
        <f t="shared" si="20"/>
        <v>10031.974113680366</v>
      </c>
      <c r="AH76" s="17">
        <v>2027.001910347414</v>
      </c>
      <c r="AI76" s="15">
        <f t="shared" si="21"/>
        <v>0.8429873215290572</v>
      </c>
      <c r="AJ76" s="17">
        <f t="shared" si="22"/>
        <v>2</v>
      </c>
      <c r="AK76" s="15">
        <f t="shared" si="23"/>
        <v>0.97094580084000337</v>
      </c>
      <c r="AL76" s="5">
        <v>10.167</v>
      </c>
      <c r="AM76" s="5">
        <v>9.2965999999999998</v>
      </c>
      <c r="AN76" s="5">
        <f t="shared" si="24"/>
        <v>0.60225226849324431</v>
      </c>
      <c r="AO76" s="5">
        <f t="shared" si="25"/>
        <v>1.09351575680202</v>
      </c>
      <c r="AP76" t="str">
        <f t="shared" si="26"/>
        <v>Classe 2</v>
      </c>
      <c r="AR76" s="15"/>
    </row>
    <row r="77" spans="1:44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5"/>
        <v>14974.155000000001</v>
      </c>
      <c r="M77" s="15"/>
      <c r="N77" s="15"/>
      <c r="O77" s="15"/>
      <c r="P77" s="15">
        <f t="shared" si="16"/>
        <v>252029231.98346251</v>
      </c>
      <c r="Q77" s="15"/>
      <c r="R77" s="15"/>
      <c r="S77" s="15">
        <v>3064.1525341267711</v>
      </c>
      <c r="T77" s="15">
        <v>690</v>
      </c>
      <c r="U77" s="15">
        <v>210000</v>
      </c>
      <c r="V77" s="15">
        <f t="shared" si="17"/>
        <v>3.3719492861162292</v>
      </c>
      <c r="W77" s="63">
        <v>3.2739799999999999</v>
      </c>
      <c r="X77" s="15">
        <f t="shared" si="18"/>
        <v>0.97094580084000337</v>
      </c>
      <c r="Y77" s="15">
        <f>'Global Only'!Y77</f>
        <v>0.14227621823863845</v>
      </c>
      <c r="Z77" s="15">
        <f t="shared" si="19"/>
        <v>0.13814249665820191</v>
      </c>
      <c r="AA77" s="16">
        <v>0.15525741360999298</v>
      </c>
      <c r="AB77" s="15">
        <v>0.60017711473117275</v>
      </c>
      <c r="AC77" s="17">
        <v>2.5</v>
      </c>
      <c r="AD77" s="15"/>
      <c r="AE77" s="15"/>
      <c r="AF77" s="22" t="s">
        <v>5</v>
      </c>
      <c r="AG77" s="17">
        <f t="shared" si="20"/>
        <v>10031.974113680366</v>
      </c>
      <c r="AH77" s="17">
        <v>1368.6647859803263</v>
      </c>
      <c r="AI77" s="15">
        <f t="shared" si="21"/>
        <v>0.53951188577859666</v>
      </c>
      <c r="AJ77" s="17">
        <f t="shared" si="22"/>
        <v>2.5</v>
      </c>
      <c r="AK77" s="15">
        <f t="shared" si="23"/>
        <v>0.97094580084000337</v>
      </c>
      <c r="AL77" s="5">
        <v>10.167</v>
      </c>
      <c r="AM77" s="5">
        <v>9.2965999999999998</v>
      </c>
      <c r="AN77" s="5">
        <f t="shared" si="24"/>
        <v>0.60225226849324431</v>
      </c>
      <c r="AO77" s="5">
        <f t="shared" si="25"/>
        <v>1.1238932071289947</v>
      </c>
      <c r="AP77" t="str">
        <f t="shared" si="26"/>
        <v>Classe 2</v>
      </c>
      <c r="AR77" s="15"/>
    </row>
    <row r="78" spans="1:44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5"/>
        <v>11352.126200000002</v>
      </c>
      <c r="M78" s="15"/>
      <c r="N78" s="15"/>
      <c r="O78" s="15"/>
      <c r="P78" s="15">
        <f t="shared" si="16"/>
        <v>197284947.12982428</v>
      </c>
      <c r="Q78" s="15"/>
      <c r="R78" s="15"/>
      <c r="S78" s="15">
        <v>2337.3097850565919</v>
      </c>
      <c r="T78" s="15">
        <v>690</v>
      </c>
      <c r="U78" s="15">
        <v>210000</v>
      </c>
      <c r="V78" s="15">
        <f t="shared" si="17"/>
        <v>3.3512746697418829</v>
      </c>
      <c r="W78" s="63">
        <v>2.7307100000000002</v>
      </c>
      <c r="X78" s="15">
        <f t="shared" si="18"/>
        <v>0.81482727293442681</v>
      </c>
      <c r="Y78" s="15">
        <f>'Global Only'!Y78</f>
        <v>1.0439695080444971</v>
      </c>
      <c r="Z78" s="15">
        <f t="shared" si="19"/>
        <v>0.85065482726659269</v>
      </c>
      <c r="AA78" s="16"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20"/>
        <v>6382.5152031518865</v>
      </c>
      <c r="AH78" s="17">
        <v>7531.6636412264916</v>
      </c>
      <c r="AI78" s="15">
        <f t="shared" si="21"/>
        <v>37.236385219354268</v>
      </c>
      <c r="AJ78" s="17">
        <f t="shared" si="22"/>
        <v>0.29999999999999993</v>
      </c>
      <c r="AK78" s="15">
        <f t="shared" si="23"/>
        <v>0.81482727293442681</v>
      </c>
      <c r="AL78" s="56">
        <v>5.66</v>
      </c>
      <c r="AM78" s="56">
        <v>5.2115</v>
      </c>
      <c r="AN78" s="56">
        <f t="shared" si="24"/>
        <v>0.80190632863472255</v>
      </c>
      <c r="AO78" s="5">
        <f t="shared" si="25"/>
        <v>1.0209055303406835</v>
      </c>
      <c r="AP78" t="str">
        <f t="shared" si="26"/>
        <v>Hors classe</v>
      </c>
      <c r="AR78" s="15"/>
    </row>
    <row r="79" spans="1:44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5"/>
        <v>11352.126200000002</v>
      </c>
      <c r="M79" s="15"/>
      <c r="N79" s="15"/>
      <c r="O79" s="15"/>
      <c r="P79" s="15">
        <f t="shared" si="16"/>
        <v>197284947.12982428</v>
      </c>
      <c r="Q79" s="15"/>
      <c r="R79" s="15"/>
      <c r="S79" s="15">
        <v>2337.3097850565919</v>
      </c>
      <c r="T79" s="15">
        <v>690</v>
      </c>
      <c r="U79" s="15">
        <v>210000</v>
      </c>
      <c r="V79" s="15">
        <f t="shared" si="17"/>
        <v>3.3512746697418829</v>
      </c>
      <c r="W79" s="63">
        <v>2.7307100000000002</v>
      </c>
      <c r="X79" s="15">
        <f t="shared" si="18"/>
        <v>0.81482727293442681</v>
      </c>
      <c r="Y79" s="15">
        <f>'Global Only'!Y79</f>
        <v>0.90224705451700382</v>
      </c>
      <c r="Z79" s="15">
        <f t="shared" si="19"/>
        <v>0.73517550694520939</v>
      </c>
      <c r="AA79" s="16">
        <v>0.83496903496968833</v>
      </c>
      <c r="AB79" s="15">
        <v>0.80073751797666637</v>
      </c>
      <c r="AC79" s="17">
        <v>0.5</v>
      </c>
      <c r="AD79" s="15"/>
      <c r="AE79" s="15"/>
      <c r="AF79" s="22" t="s">
        <v>5</v>
      </c>
      <c r="AG79" s="17">
        <f t="shared" si="20"/>
        <v>6382.5152031518865</v>
      </c>
      <c r="AH79" s="17">
        <v>6778.5409943898112</v>
      </c>
      <c r="AI79" s="15">
        <f t="shared" si="21"/>
        <v>13.405098678967535</v>
      </c>
      <c r="AJ79" s="17">
        <f t="shared" si="22"/>
        <v>0.49999999999999994</v>
      </c>
      <c r="AK79" s="15">
        <f t="shared" si="23"/>
        <v>0.81482727293442681</v>
      </c>
      <c r="AL79" s="5">
        <v>5.66</v>
      </c>
      <c r="AM79" s="5">
        <v>5.2115</v>
      </c>
      <c r="AN79" s="5">
        <f t="shared" si="24"/>
        <v>0.80190632863472255</v>
      </c>
      <c r="AO79" s="5">
        <f t="shared" si="25"/>
        <v>1.1357410945845292</v>
      </c>
      <c r="AP79" t="str">
        <f t="shared" si="26"/>
        <v>Hors classe</v>
      </c>
      <c r="AR79" s="15"/>
    </row>
    <row r="80" spans="1:44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5"/>
        <v>11352.126200000002</v>
      </c>
      <c r="M80" s="15"/>
      <c r="N80" s="15"/>
      <c r="O80" s="15"/>
      <c r="P80" s="15">
        <f t="shared" si="16"/>
        <v>197284947.12982428</v>
      </c>
      <c r="Q80" s="15"/>
      <c r="R80" s="15"/>
      <c r="S80" s="15">
        <v>2337.3097850565919</v>
      </c>
      <c r="T80" s="15">
        <v>690</v>
      </c>
      <c r="U80" s="15">
        <v>210000</v>
      </c>
      <c r="V80" s="15">
        <f t="shared" si="17"/>
        <v>3.3512746697418829</v>
      </c>
      <c r="W80" s="63">
        <v>2.7307100000000002</v>
      </c>
      <c r="X80" s="15">
        <f t="shared" si="18"/>
        <v>0.81482727293442681</v>
      </c>
      <c r="Y80" s="15">
        <f>'Global Only'!Y80</f>
        <v>0.73256967725920108</v>
      </c>
      <c r="Z80" s="15">
        <f t="shared" si="19"/>
        <v>0.59691775235556799</v>
      </c>
      <c r="AA80" s="16">
        <v>0.77469678100265393</v>
      </c>
      <c r="AB80" s="15">
        <v>0.80073751797666637</v>
      </c>
      <c r="AC80" s="17">
        <v>0.75</v>
      </c>
      <c r="AD80" s="15"/>
      <c r="AE80" s="15"/>
      <c r="AF80" s="22" t="s">
        <v>5</v>
      </c>
      <c r="AG80" s="17">
        <f t="shared" si="20"/>
        <v>6382.5152031518865</v>
      </c>
      <c r="AH80" s="17">
        <v>5728.7848014329038</v>
      </c>
      <c r="AI80" s="15">
        <f t="shared" si="21"/>
        <v>5.9578216350966811</v>
      </c>
      <c r="AJ80" s="17">
        <f t="shared" si="22"/>
        <v>0.75</v>
      </c>
      <c r="AK80" s="15">
        <f t="shared" si="23"/>
        <v>0.81482727293442681</v>
      </c>
      <c r="AL80" s="5">
        <v>5.66</v>
      </c>
      <c r="AM80" s="5">
        <v>5.2115</v>
      </c>
      <c r="AN80" s="5">
        <f t="shared" si="24"/>
        <v>0.80190632863472255</v>
      </c>
      <c r="AO80" s="5">
        <f t="shared" si="25"/>
        <v>1.2978283489568387</v>
      </c>
      <c r="AP80" t="str">
        <f t="shared" si="26"/>
        <v>Hors classe</v>
      </c>
      <c r="AR80" s="15"/>
    </row>
    <row r="81" spans="1:44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5"/>
        <v>11352.126200000002</v>
      </c>
      <c r="M81" s="15"/>
      <c r="N81" s="15"/>
      <c r="O81" s="15"/>
      <c r="P81" s="15">
        <f t="shared" si="16"/>
        <v>197284947.12982428</v>
      </c>
      <c r="Q81" s="15"/>
      <c r="R81" s="15"/>
      <c r="S81" s="15">
        <v>2337.3097850565919</v>
      </c>
      <c r="T81" s="15">
        <v>690</v>
      </c>
      <c r="U81" s="15">
        <v>210000</v>
      </c>
      <c r="V81" s="15">
        <f t="shared" si="17"/>
        <v>3.3512746697418829</v>
      </c>
      <c r="W81" s="63">
        <v>2.7307100000000002</v>
      </c>
      <c r="X81" s="15">
        <f t="shared" si="18"/>
        <v>0.81482727293442681</v>
      </c>
      <c r="Y81" s="15">
        <f>'Global Only'!Y81</f>
        <v>0.65909210359471981</v>
      </c>
      <c r="Z81" s="15">
        <f t="shared" si="19"/>
        <v>0.53704622138470026</v>
      </c>
      <c r="AA81" s="16">
        <v>0.68010071871453104</v>
      </c>
      <c r="AB81" s="15">
        <v>0.80073751797666637</v>
      </c>
      <c r="AC81" s="17">
        <v>1</v>
      </c>
      <c r="AD81" s="15"/>
      <c r="AE81" s="15"/>
      <c r="AF81" s="22" t="s">
        <v>5</v>
      </c>
      <c r="AG81" s="17">
        <f t="shared" si="20"/>
        <v>6382.5152031518865</v>
      </c>
      <c r="AH81" s="17">
        <v>4607.7293489828817</v>
      </c>
      <c r="AI81" s="15">
        <f t="shared" si="21"/>
        <v>3.3512746697418838</v>
      </c>
      <c r="AJ81" s="17">
        <f t="shared" si="22"/>
        <v>0.99999999999999989</v>
      </c>
      <c r="AK81" s="15">
        <f t="shared" si="23"/>
        <v>0.81482727293442681</v>
      </c>
      <c r="AL81" s="5">
        <v>5.66</v>
      </c>
      <c r="AM81" s="5">
        <v>5.2115</v>
      </c>
      <c r="AN81" s="5">
        <f t="shared" si="24"/>
        <v>0.80190632863472255</v>
      </c>
      <c r="AO81" s="5">
        <f t="shared" si="25"/>
        <v>1.2663727843778219</v>
      </c>
      <c r="AP81" t="str">
        <f t="shared" si="26"/>
        <v>Hors classe</v>
      </c>
      <c r="AR81" s="15"/>
    </row>
    <row r="82" spans="1:44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5"/>
        <v>11352.126200000002</v>
      </c>
      <c r="M82" s="15"/>
      <c r="N82" s="15"/>
      <c r="O82" s="15"/>
      <c r="P82" s="15">
        <f t="shared" si="16"/>
        <v>197284947.12982428</v>
      </c>
      <c r="Q82" s="15"/>
      <c r="R82" s="15"/>
      <c r="S82" s="15">
        <v>2337.3097850565919</v>
      </c>
      <c r="T82" s="15">
        <v>690</v>
      </c>
      <c r="U82" s="15">
        <v>210000</v>
      </c>
      <c r="V82" s="15">
        <f t="shared" si="17"/>
        <v>3.3512746697418829</v>
      </c>
      <c r="W82" s="63">
        <v>2.7307100000000002</v>
      </c>
      <c r="X82" s="15">
        <f t="shared" si="18"/>
        <v>0.81482727293442681</v>
      </c>
      <c r="Y82" s="15">
        <f>'Global Only'!Y82</f>
        <v>0.4883529446564287</v>
      </c>
      <c r="Z82" s="15">
        <f t="shared" si="19"/>
        <v>0.39792329812389488</v>
      </c>
      <c r="AA82" s="16">
        <v>0.48672765931845702</v>
      </c>
      <c r="AB82" s="15">
        <v>0.80073751797666637</v>
      </c>
      <c r="AC82" s="17">
        <v>1.33</v>
      </c>
      <c r="AD82" s="15"/>
      <c r="AE82" s="15"/>
      <c r="AF82" s="22" t="s">
        <v>5</v>
      </c>
      <c r="AG82" s="17">
        <f t="shared" si="20"/>
        <v>6382.5152031518865</v>
      </c>
      <c r="AH82" s="17">
        <v>3315.9200679586502</v>
      </c>
      <c r="AI82" s="15">
        <f t="shared" si="21"/>
        <v>1.8945529254010307</v>
      </c>
      <c r="AJ82" s="17">
        <f t="shared" si="22"/>
        <v>1.33</v>
      </c>
      <c r="AK82" s="15">
        <f t="shared" si="23"/>
        <v>0.81482727293442681</v>
      </c>
      <c r="AL82" s="5">
        <v>5.66</v>
      </c>
      <c r="AM82" s="5">
        <v>5.2115</v>
      </c>
      <c r="AN82" s="5">
        <f t="shared" si="24"/>
        <v>0.80190632863472255</v>
      </c>
      <c r="AO82" s="5">
        <f t="shared" si="25"/>
        <v>1.2231695445158695</v>
      </c>
      <c r="AP82" t="str">
        <f t="shared" si="26"/>
        <v>Hors classe</v>
      </c>
      <c r="AR82" s="15"/>
    </row>
    <row r="83" spans="1:44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5"/>
        <v>11352.126200000002</v>
      </c>
      <c r="M83" s="15"/>
      <c r="N83" s="15"/>
      <c r="O83" s="15"/>
      <c r="P83" s="15">
        <f t="shared" si="16"/>
        <v>197284947.12982428</v>
      </c>
      <c r="Q83" s="15"/>
      <c r="R83" s="15"/>
      <c r="S83" s="15">
        <v>2337.3097850565919</v>
      </c>
      <c r="T83" s="15">
        <v>690</v>
      </c>
      <c r="U83" s="15">
        <v>210000</v>
      </c>
      <c r="V83" s="15">
        <f t="shared" si="17"/>
        <v>3.3512746697418829</v>
      </c>
      <c r="W83" s="63">
        <v>2.7307100000000002</v>
      </c>
      <c r="X83" s="15">
        <f t="shared" si="18"/>
        <v>0.81482727293442681</v>
      </c>
      <c r="Y83" s="15">
        <f>'Global Only'!Y83</f>
        <v>0.32814099353527293</v>
      </c>
      <c r="Z83" s="15">
        <f t="shared" si="19"/>
        <v>0.2673782309003398</v>
      </c>
      <c r="AA83" s="16">
        <v>0.33008987934597822</v>
      </c>
      <c r="AB83" s="15">
        <v>0.80073751797666637</v>
      </c>
      <c r="AC83" s="17">
        <v>1.67</v>
      </c>
      <c r="AD83" s="15"/>
      <c r="AE83" s="15"/>
      <c r="AF83" s="22" t="s">
        <v>5</v>
      </c>
      <c r="AG83" s="17">
        <f t="shared" si="20"/>
        <v>6382.5152031518865</v>
      </c>
      <c r="AH83" s="17">
        <v>2377.9350730215865</v>
      </c>
      <c r="AI83" s="15">
        <f t="shared" si="21"/>
        <v>1.2016474845788248</v>
      </c>
      <c r="AJ83" s="17">
        <f t="shared" si="22"/>
        <v>1.6699999999999995</v>
      </c>
      <c r="AK83" s="15">
        <f t="shared" si="23"/>
        <v>0.81482727293442681</v>
      </c>
      <c r="AL83" s="5">
        <v>5.66</v>
      </c>
      <c r="AM83" s="5">
        <v>5.2115</v>
      </c>
      <c r="AN83" s="5">
        <f t="shared" si="24"/>
        <v>0.80190632863472255</v>
      </c>
      <c r="AO83" s="5">
        <f t="shared" si="25"/>
        <v>1.2345428355721786</v>
      </c>
      <c r="AP83" t="str">
        <f t="shared" si="26"/>
        <v>Hors classe</v>
      </c>
      <c r="AR83" s="15"/>
    </row>
    <row r="84" spans="1:44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5"/>
        <v>11352.126200000002</v>
      </c>
      <c r="M84" s="15"/>
      <c r="N84" s="15"/>
      <c r="O84" s="15"/>
      <c r="P84" s="15">
        <f t="shared" si="16"/>
        <v>197284947.12982428</v>
      </c>
      <c r="Q84" s="15"/>
      <c r="R84" s="15"/>
      <c r="S84" s="15">
        <v>2337.3097850565919</v>
      </c>
      <c r="T84" s="15">
        <v>690</v>
      </c>
      <c r="U84" s="15">
        <v>210000</v>
      </c>
      <c r="V84" s="15">
        <f t="shared" si="17"/>
        <v>3.3512746697418829</v>
      </c>
      <c r="W84" s="63">
        <v>2.7307100000000002</v>
      </c>
      <c r="X84" s="15">
        <f t="shared" si="18"/>
        <v>0.81482727293442681</v>
      </c>
      <c r="Y84" s="15">
        <f>'Global Only'!Y84</f>
        <v>0.22621321446381135</v>
      </c>
      <c r="Z84" s="15">
        <f t="shared" si="19"/>
        <v>0.18432469664327802</v>
      </c>
      <c r="AA84" s="16">
        <v>0.23620570209356076</v>
      </c>
      <c r="AB84" s="15">
        <v>0.80073751797666637</v>
      </c>
      <c r="AC84" s="17">
        <v>2</v>
      </c>
      <c r="AD84" s="15"/>
      <c r="AE84" s="15"/>
      <c r="AF84" s="22" t="s">
        <v>5</v>
      </c>
      <c r="AG84" s="17">
        <f t="shared" si="20"/>
        <v>6382.5152031518865</v>
      </c>
      <c r="AH84" s="17">
        <v>1774.0881742814197</v>
      </c>
      <c r="AI84" s="15">
        <f t="shared" si="21"/>
        <v>0.83781866743547095</v>
      </c>
      <c r="AJ84" s="17">
        <f t="shared" si="22"/>
        <v>1.9999999999999998</v>
      </c>
      <c r="AK84" s="15">
        <f t="shared" si="23"/>
        <v>0.81482727293442681</v>
      </c>
      <c r="AL84" s="5">
        <v>5.66</v>
      </c>
      <c r="AM84" s="5">
        <v>5.2115</v>
      </c>
      <c r="AN84" s="5">
        <f t="shared" si="24"/>
        <v>0.80190632863472255</v>
      </c>
      <c r="AO84" s="5">
        <f t="shared" si="25"/>
        <v>1.2814652968109184</v>
      </c>
      <c r="AP84" t="str">
        <f t="shared" si="26"/>
        <v>Hors classe</v>
      </c>
      <c r="AR84" s="15"/>
    </row>
    <row r="85" spans="1:44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5"/>
        <v>11352.126200000002</v>
      </c>
      <c r="M85" s="15"/>
      <c r="N85" s="15"/>
      <c r="O85" s="15"/>
      <c r="P85" s="15">
        <f t="shared" si="16"/>
        <v>197284947.12982428</v>
      </c>
      <c r="Q85" s="15"/>
      <c r="R85" s="15"/>
      <c r="S85" s="15">
        <v>2337.3097850565919</v>
      </c>
      <c r="T85" s="15">
        <v>690</v>
      </c>
      <c r="U85" s="15">
        <v>210000</v>
      </c>
      <c r="V85" s="15">
        <f t="shared" si="17"/>
        <v>3.3512746697418829</v>
      </c>
      <c r="W85" s="63">
        <v>2.7307100000000002</v>
      </c>
      <c r="X85" s="15">
        <f t="shared" si="18"/>
        <v>0.81482727293442681</v>
      </c>
      <c r="Y85" s="15">
        <f>'Global Only'!Y85</f>
        <v>0.14288106593124036</v>
      </c>
      <c r="Z85" s="15">
        <f t="shared" si="19"/>
        <v>0.11642338930671663</v>
      </c>
      <c r="AA85" s="16">
        <v>0.15406008376740388</v>
      </c>
      <c r="AB85" s="15">
        <v>0.80073751797666637</v>
      </c>
      <c r="AC85" s="17">
        <v>2.5</v>
      </c>
      <c r="AD85" s="15"/>
      <c r="AE85" s="15"/>
      <c r="AF85" s="22" t="s">
        <v>5</v>
      </c>
      <c r="AG85" s="17">
        <f t="shared" si="20"/>
        <v>6382.5152031518865</v>
      </c>
      <c r="AH85" s="17">
        <v>1206.4821381136119</v>
      </c>
      <c r="AI85" s="15">
        <f t="shared" si="21"/>
        <v>0.53620394715870145</v>
      </c>
      <c r="AJ85" s="17">
        <f t="shared" si="22"/>
        <v>2.4999999999999996</v>
      </c>
      <c r="AK85" s="15">
        <f t="shared" si="23"/>
        <v>0.81482727293442681</v>
      </c>
      <c r="AL85" s="5">
        <v>5.66</v>
      </c>
      <c r="AM85" s="5">
        <v>5.2115</v>
      </c>
      <c r="AN85" s="5">
        <f t="shared" si="24"/>
        <v>0.80190632863472255</v>
      </c>
      <c r="AO85" s="5">
        <f t="shared" si="25"/>
        <v>1.3232743410478596</v>
      </c>
      <c r="AP85" t="str">
        <f t="shared" si="26"/>
        <v>Hors classe</v>
      </c>
      <c r="AR85" s="15"/>
    </row>
    <row r="86" spans="1:44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5"/>
        <v>8243.1917999999987</v>
      </c>
      <c r="M86" s="15"/>
      <c r="N86" s="15"/>
      <c r="O86" s="15"/>
      <c r="P86" s="15">
        <f t="shared" si="16"/>
        <v>147170173.08017033</v>
      </c>
      <c r="Q86" s="15"/>
      <c r="R86" s="15"/>
      <c r="S86" s="15">
        <v>1709.8600517218972</v>
      </c>
      <c r="T86" s="15">
        <v>690</v>
      </c>
      <c r="U86" s="15">
        <v>210000</v>
      </c>
      <c r="V86" s="15">
        <f t="shared" si="17"/>
        <v>3.3264724421581495</v>
      </c>
      <c r="W86" s="63">
        <v>2.2241599999999999</v>
      </c>
      <c r="X86" s="15">
        <f t="shared" si="18"/>
        <v>0.66862420737717243</v>
      </c>
      <c r="Y86" s="15">
        <f>'Global Only'!Y86</f>
        <v>1.0561801493668677</v>
      </c>
      <c r="Z86" s="15">
        <f t="shared" si="19"/>
        <v>0.7061876152179255</v>
      </c>
      <c r="AA86" s="16"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20"/>
        <v>3803.0023326377745</v>
      </c>
      <c r="AH86" s="17">
        <v>5561.0540943776496</v>
      </c>
      <c r="AI86" s="15">
        <f t="shared" si="21"/>
        <v>36.960804912868333</v>
      </c>
      <c r="AJ86" s="17">
        <f t="shared" si="22"/>
        <v>0.3</v>
      </c>
      <c r="AK86" s="15">
        <f t="shared" si="23"/>
        <v>0.66862420737717243</v>
      </c>
      <c r="AL86" s="56">
        <v>2.8845000000000001</v>
      </c>
      <c r="AM86" s="56">
        <v>2.6804999999999999</v>
      </c>
      <c r="AN86" s="56">
        <f t="shared" si="24"/>
        <v>1.1139970972174467</v>
      </c>
      <c r="AO86" s="5">
        <f t="shared" si="25"/>
        <v>0.98794261353779922</v>
      </c>
      <c r="AP86" t="str">
        <f t="shared" si="26"/>
        <v>Hors classe</v>
      </c>
      <c r="AR86" s="15"/>
    </row>
    <row r="87" spans="1:44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5"/>
        <v>8243.1917999999987</v>
      </c>
      <c r="M87" s="15"/>
      <c r="N87" s="15"/>
      <c r="O87" s="15"/>
      <c r="P87" s="15">
        <f t="shared" si="16"/>
        <v>147170173.08017033</v>
      </c>
      <c r="Q87" s="15"/>
      <c r="R87" s="15"/>
      <c r="S87" s="15">
        <v>1709.8600517218972</v>
      </c>
      <c r="T87" s="15">
        <v>690</v>
      </c>
      <c r="U87" s="15">
        <v>210000</v>
      </c>
      <c r="V87" s="15">
        <f t="shared" si="17"/>
        <v>3.3264724421581495</v>
      </c>
      <c r="W87" s="63">
        <v>2.2241599999999999</v>
      </c>
      <c r="X87" s="15">
        <f t="shared" si="18"/>
        <v>0.66862420737717243</v>
      </c>
      <c r="Y87" s="15">
        <f>'Global Only'!Y87</f>
        <v>0.91468361103515639</v>
      </c>
      <c r="Z87" s="15">
        <f t="shared" si="19"/>
        <v>0.61157960442927128</v>
      </c>
      <c r="AA87" s="16">
        <v>0.66901158327801735</v>
      </c>
      <c r="AB87" s="15">
        <v>1.1133395391615006</v>
      </c>
      <c r="AC87" s="17">
        <v>0.5</v>
      </c>
      <c r="AD87" s="15"/>
      <c r="AE87" s="15"/>
      <c r="AF87" s="22" t="s">
        <v>5</v>
      </c>
      <c r="AG87" s="17">
        <f t="shared" si="20"/>
        <v>3803.0023326377745</v>
      </c>
      <c r="AH87" s="17">
        <v>5084.6484845868827</v>
      </c>
      <c r="AI87" s="15">
        <f t="shared" si="21"/>
        <v>13.3058897686326</v>
      </c>
      <c r="AJ87" s="17">
        <f t="shared" si="22"/>
        <v>0.5</v>
      </c>
      <c r="AK87" s="15">
        <f t="shared" si="23"/>
        <v>0.66862420737717243</v>
      </c>
      <c r="AL87" s="5">
        <v>2.8845000000000001</v>
      </c>
      <c r="AM87" s="5">
        <v>2.6804999999999999</v>
      </c>
      <c r="AN87" s="5">
        <f t="shared" si="24"/>
        <v>1.1139970972174467</v>
      </c>
      <c r="AO87" s="5">
        <f t="shared" si="25"/>
        <v>1.0939076097907841</v>
      </c>
      <c r="AP87" t="str">
        <f t="shared" si="26"/>
        <v>Hors classe</v>
      </c>
      <c r="AR87" s="15"/>
    </row>
    <row r="88" spans="1:44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5"/>
        <v>8243.1917999999987</v>
      </c>
      <c r="M88" s="15"/>
      <c r="N88" s="15"/>
      <c r="O88" s="15"/>
      <c r="P88" s="15">
        <f t="shared" si="16"/>
        <v>147170173.08017033</v>
      </c>
      <c r="Q88" s="15"/>
      <c r="R88" s="15"/>
      <c r="S88" s="15">
        <v>1709.8600517218972</v>
      </c>
      <c r="T88" s="15">
        <v>690</v>
      </c>
      <c r="U88" s="15">
        <v>210000</v>
      </c>
      <c r="V88" s="15">
        <f t="shared" si="17"/>
        <v>3.3264724421581495</v>
      </c>
      <c r="W88" s="63">
        <v>2.2241599999999999</v>
      </c>
      <c r="X88" s="15">
        <f t="shared" si="18"/>
        <v>0.66862420737717243</v>
      </c>
      <c r="Y88" s="15">
        <f>'Global Only'!Y88</f>
        <v>0.73974682621118848</v>
      </c>
      <c r="Z88" s="15">
        <f t="shared" si="19"/>
        <v>0.49461263533523481</v>
      </c>
      <c r="AA88" s="16">
        <v>0.61844053064729232</v>
      </c>
      <c r="AB88" s="15">
        <v>1.1133395391615006</v>
      </c>
      <c r="AC88" s="17">
        <v>0.75</v>
      </c>
      <c r="AD88" s="15"/>
      <c r="AE88" s="15"/>
      <c r="AF88" s="22" t="s">
        <v>5</v>
      </c>
      <c r="AG88" s="17">
        <f t="shared" si="20"/>
        <v>3803.0023326377745</v>
      </c>
      <c r="AH88" s="17">
        <v>4434.9095276407661</v>
      </c>
      <c r="AI88" s="15">
        <f t="shared" si="21"/>
        <v>5.9137287860589316</v>
      </c>
      <c r="AJ88" s="17">
        <f t="shared" si="22"/>
        <v>0.75000000000000011</v>
      </c>
      <c r="AK88" s="15">
        <f t="shared" si="23"/>
        <v>0.66862420737717243</v>
      </c>
      <c r="AL88" s="5">
        <v>2.8845000000000001</v>
      </c>
      <c r="AM88" s="5">
        <v>2.6804999999999999</v>
      </c>
      <c r="AN88" s="5">
        <f t="shared" si="24"/>
        <v>1.1139970972174467</v>
      </c>
      <c r="AO88" s="5">
        <f t="shared" si="25"/>
        <v>1.2503532794469159</v>
      </c>
      <c r="AP88" t="str">
        <f t="shared" si="26"/>
        <v>Hors classe</v>
      </c>
      <c r="AR88" s="15"/>
    </row>
    <row r="89" spans="1:44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5"/>
        <v>8243.1917999999987</v>
      </c>
      <c r="M89" s="15"/>
      <c r="N89" s="15"/>
      <c r="O89" s="15"/>
      <c r="P89" s="15">
        <f t="shared" si="16"/>
        <v>147170173.08017033</v>
      </c>
      <c r="Q89" s="15"/>
      <c r="R89" s="15"/>
      <c r="S89" s="15">
        <v>1709.8600517218972</v>
      </c>
      <c r="T89" s="15">
        <v>690</v>
      </c>
      <c r="U89" s="15">
        <v>210000</v>
      </c>
      <c r="V89" s="15">
        <f t="shared" si="17"/>
        <v>3.3264724421581495</v>
      </c>
      <c r="W89" s="63">
        <v>2.2241599999999999</v>
      </c>
      <c r="X89" s="15">
        <f t="shared" si="18"/>
        <v>0.66862420737717243</v>
      </c>
      <c r="Y89" s="15">
        <f>'Global Only'!Y89</f>
        <v>0.66326503254470215</v>
      </c>
      <c r="Z89" s="15">
        <f t="shared" si="19"/>
        <v>0.44347505666619597</v>
      </c>
      <c r="AA89" s="16">
        <v>0.55279345671472691</v>
      </c>
      <c r="AB89" s="15">
        <v>1.1133395391615006</v>
      </c>
      <c r="AC89" s="17">
        <v>1</v>
      </c>
      <c r="AD89" s="15"/>
      <c r="AE89" s="15"/>
      <c r="AF89" s="22" t="s">
        <v>5</v>
      </c>
      <c r="AG89" s="17">
        <f t="shared" si="20"/>
        <v>3803.0023326377745</v>
      </c>
      <c r="AH89" s="17">
        <v>3720.8349124805318</v>
      </c>
      <c r="AI89" s="15">
        <f t="shared" si="21"/>
        <v>3.32647244215815</v>
      </c>
      <c r="AJ89" s="17">
        <f t="shared" si="22"/>
        <v>1</v>
      </c>
      <c r="AK89" s="15">
        <f t="shared" si="23"/>
        <v>0.66862420737717243</v>
      </c>
      <c r="AL89" s="5">
        <v>2.8845000000000001</v>
      </c>
      <c r="AM89" s="5">
        <v>2.6804999999999999</v>
      </c>
      <c r="AN89" s="5">
        <f t="shared" si="24"/>
        <v>1.1139970972174467</v>
      </c>
      <c r="AO89" s="5">
        <f t="shared" si="25"/>
        <v>1.2465040556515785</v>
      </c>
      <c r="AP89" t="str">
        <f t="shared" si="26"/>
        <v>Hors classe</v>
      </c>
      <c r="AR89" s="15"/>
    </row>
    <row r="90" spans="1:44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5"/>
        <v>8243.1917999999987</v>
      </c>
      <c r="M90" s="15"/>
      <c r="N90" s="15"/>
      <c r="O90" s="15"/>
      <c r="P90" s="15">
        <f t="shared" si="16"/>
        <v>147170173.08017033</v>
      </c>
      <c r="Q90" s="15"/>
      <c r="R90" s="15"/>
      <c r="S90" s="15">
        <v>1709.8600517218972</v>
      </c>
      <c r="T90" s="15">
        <v>690</v>
      </c>
      <c r="U90" s="15">
        <v>210000</v>
      </c>
      <c r="V90" s="15">
        <f t="shared" si="17"/>
        <v>3.3264724421581495</v>
      </c>
      <c r="W90" s="63">
        <v>2.2241599999999999</v>
      </c>
      <c r="X90" s="15">
        <f t="shared" si="18"/>
        <v>0.66862420737717243</v>
      </c>
      <c r="Y90" s="15">
        <f>'Global Only'!Y90</f>
        <v>0.49102843923237816</v>
      </c>
      <c r="Z90" s="15">
        <f t="shared" si="19"/>
        <v>0.32831350098139894</v>
      </c>
      <c r="AA90" s="16">
        <v>0.42779819126392482</v>
      </c>
      <c r="AB90" s="15">
        <v>1.1133395391615006</v>
      </c>
      <c r="AC90" s="17">
        <v>1.33</v>
      </c>
      <c r="AD90" s="15"/>
      <c r="AE90" s="15"/>
      <c r="AF90" s="22" t="s">
        <v>5</v>
      </c>
      <c r="AG90" s="17">
        <f t="shared" si="20"/>
        <v>3803.0023326377745</v>
      </c>
      <c r="AH90" s="17">
        <v>2812.640714300846</v>
      </c>
      <c r="AI90" s="15">
        <f t="shared" si="21"/>
        <v>1.8805316536594201</v>
      </c>
      <c r="AJ90" s="17">
        <f t="shared" si="22"/>
        <v>1.3300000000000003</v>
      </c>
      <c r="AK90" s="15">
        <f t="shared" si="23"/>
        <v>0.66862420737717243</v>
      </c>
      <c r="AL90" s="5">
        <v>2.8845000000000001</v>
      </c>
      <c r="AM90" s="5">
        <v>2.6804999999999999</v>
      </c>
      <c r="AN90" s="5">
        <f t="shared" si="24"/>
        <v>1.1139970972174467</v>
      </c>
      <c r="AO90" s="5">
        <f t="shared" si="25"/>
        <v>1.3030173598866479</v>
      </c>
      <c r="AP90" t="str">
        <f t="shared" si="26"/>
        <v>Hors classe</v>
      </c>
      <c r="AR90" s="15"/>
    </row>
    <row r="91" spans="1:44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5"/>
        <v>8243.1917999999987</v>
      </c>
      <c r="M91" s="15"/>
      <c r="N91" s="15"/>
      <c r="O91" s="15"/>
      <c r="P91" s="15">
        <f t="shared" si="16"/>
        <v>147170173.08017033</v>
      </c>
      <c r="Q91" s="15"/>
      <c r="R91" s="15"/>
      <c r="S91" s="15">
        <v>1709.8600517218972</v>
      </c>
      <c r="T91" s="15">
        <v>690</v>
      </c>
      <c r="U91" s="15">
        <v>210000</v>
      </c>
      <c r="V91" s="15">
        <f t="shared" si="17"/>
        <v>3.3264724421581495</v>
      </c>
      <c r="W91" s="63">
        <v>2.2241599999999999</v>
      </c>
      <c r="X91" s="15">
        <f t="shared" si="18"/>
        <v>0.66862420737717243</v>
      </c>
      <c r="Y91" s="15">
        <f>'Global Only'!Y91</f>
        <v>0.32960948268280132</v>
      </c>
      <c r="Z91" s="15">
        <f t="shared" si="19"/>
        <v>0.22038487910278787</v>
      </c>
      <c r="AA91" s="16">
        <v>0.30570883017534423</v>
      </c>
      <c r="AB91" s="15">
        <v>1.1133395391615006</v>
      </c>
      <c r="AC91" s="17">
        <v>1.67</v>
      </c>
      <c r="AD91" s="15"/>
      <c r="AE91" s="15"/>
      <c r="AF91" s="22" t="s">
        <v>5</v>
      </c>
      <c r="AG91" s="17">
        <f t="shared" si="20"/>
        <v>3803.0023326377745</v>
      </c>
      <c r="AH91" s="17">
        <v>2079.0652845193049</v>
      </c>
      <c r="AI91" s="15">
        <f t="shared" si="21"/>
        <v>1.1927542909957867</v>
      </c>
      <c r="AJ91" s="17">
        <f t="shared" si="22"/>
        <v>1.67</v>
      </c>
      <c r="AK91" s="15">
        <f t="shared" si="23"/>
        <v>0.66862420737717243</v>
      </c>
      <c r="AL91" s="5">
        <v>2.8845000000000001</v>
      </c>
      <c r="AM91" s="5">
        <v>2.6804999999999999</v>
      </c>
      <c r="AN91" s="5">
        <f t="shared" si="24"/>
        <v>1.1139970972174467</v>
      </c>
      <c r="AO91" s="5">
        <f t="shared" si="25"/>
        <v>1.3871588260497723</v>
      </c>
      <c r="AP91" t="str">
        <f t="shared" si="26"/>
        <v>Hors classe</v>
      </c>
      <c r="AR91" s="15"/>
    </row>
    <row r="92" spans="1:44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5"/>
        <v>8243.1917999999987</v>
      </c>
      <c r="M92" s="15"/>
      <c r="N92" s="15"/>
      <c r="O92" s="15"/>
      <c r="P92" s="15">
        <f t="shared" si="16"/>
        <v>147170173.08017033</v>
      </c>
      <c r="Q92" s="15"/>
      <c r="R92" s="15"/>
      <c r="S92" s="15">
        <v>1709.8600517218972</v>
      </c>
      <c r="T92" s="15">
        <v>690</v>
      </c>
      <c r="U92" s="15">
        <v>210000</v>
      </c>
      <c r="V92" s="15">
        <f t="shared" si="17"/>
        <v>3.3264724421581495</v>
      </c>
      <c r="W92" s="63">
        <v>2.2241599999999999</v>
      </c>
      <c r="X92" s="15">
        <f t="shared" si="18"/>
        <v>0.66862420737717243</v>
      </c>
      <c r="Y92" s="15">
        <f>'Global Only'!Y92</f>
        <v>0.22727469286655613</v>
      </c>
      <c r="Z92" s="15">
        <f t="shared" si="19"/>
        <v>0.15196136137479141</v>
      </c>
      <c r="AA92" s="16">
        <v>0.22351763481439338</v>
      </c>
      <c r="AB92" s="15">
        <v>1.1133395391615006</v>
      </c>
      <c r="AC92" s="17">
        <v>2</v>
      </c>
      <c r="AD92" s="15"/>
      <c r="AE92" s="15"/>
      <c r="AF92" s="22" t="s">
        <v>5</v>
      </c>
      <c r="AG92" s="17">
        <f t="shared" si="20"/>
        <v>3803.0023326377745</v>
      </c>
      <c r="AH92" s="17">
        <v>1576.3585053174145</v>
      </c>
      <c r="AI92" s="15">
        <f t="shared" si="21"/>
        <v>0.83161811053953749</v>
      </c>
      <c r="AJ92" s="17">
        <f t="shared" si="22"/>
        <v>2</v>
      </c>
      <c r="AK92" s="15">
        <f t="shared" si="23"/>
        <v>0.66862420737717243</v>
      </c>
      <c r="AL92" s="5">
        <v>2.8845000000000001</v>
      </c>
      <c r="AM92" s="5">
        <v>2.6804999999999999</v>
      </c>
      <c r="AN92" s="5">
        <f t="shared" si="24"/>
        <v>1.1139970972174467</v>
      </c>
      <c r="AO92" s="5">
        <f t="shared" si="25"/>
        <v>1.4708846564168272</v>
      </c>
      <c r="AP92" t="str">
        <f t="shared" si="26"/>
        <v>Hors classe</v>
      </c>
      <c r="AR92" s="15"/>
    </row>
    <row r="93" spans="1:44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5"/>
        <v>8243.1917999999987</v>
      </c>
      <c r="M93" s="15"/>
      <c r="N93" s="15"/>
      <c r="O93" s="15"/>
      <c r="P93" s="15">
        <f t="shared" si="16"/>
        <v>147170173.08017033</v>
      </c>
      <c r="Q93" s="15"/>
      <c r="R93" s="15"/>
      <c r="S93" s="15">
        <v>1709.8600517218972</v>
      </c>
      <c r="T93" s="15">
        <v>690</v>
      </c>
      <c r="U93" s="15">
        <v>210000</v>
      </c>
      <c r="V93" s="15">
        <f t="shared" si="17"/>
        <v>3.3264724421581495</v>
      </c>
      <c r="W93" s="63">
        <v>2.2241599999999999</v>
      </c>
      <c r="X93" s="15">
        <f t="shared" si="18"/>
        <v>0.66862420737717243</v>
      </c>
      <c r="Y93" s="15">
        <f>'Global Only'!Y93</f>
        <v>0.14362894977452836</v>
      </c>
      <c r="Z93" s="15">
        <f t="shared" si="19"/>
        <v>9.6033792699409731E-2</v>
      </c>
      <c r="AA93" s="16">
        <v>0.14788722682681468</v>
      </c>
      <c r="AB93" s="15">
        <v>1.1133395391615006</v>
      </c>
      <c r="AC93" s="17">
        <v>2.5</v>
      </c>
      <c r="AD93" s="15"/>
      <c r="AE93" s="15"/>
      <c r="AF93" s="22" t="s">
        <v>5</v>
      </c>
      <c r="AG93" s="17">
        <f t="shared" si="20"/>
        <v>3803.0023326377745</v>
      </c>
      <c r="AH93" s="17">
        <v>1085.9916939050379</v>
      </c>
      <c r="AI93" s="15">
        <f t="shared" si="21"/>
        <v>0.53223559074530391</v>
      </c>
      <c r="AJ93" s="17">
        <f t="shared" si="22"/>
        <v>2.5</v>
      </c>
      <c r="AK93" s="15">
        <f t="shared" si="23"/>
        <v>0.66862420737717243</v>
      </c>
      <c r="AL93" s="5">
        <v>2.8845000000000001</v>
      </c>
      <c r="AM93" s="5">
        <v>2.6804999999999999</v>
      </c>
      <c r="AN93" s="5">
        <f t="shared" si="24"/>
        <v>1.1139970972174467</v>
      </c>
      <c r="AO93" s="5">
        <f t="shared" si="25"/>
        <v>1.5399498725381868</v>
      </c>
      <c r="AP93" t="str">
        <f t="shared" si="26"/>
        <v>Hors classe</v>
      </c>
      <c r="AR93" s="15"/>
    </row>
    <row r="94" spans="1:44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5"/>
        <v>6100.2647999999999</v>
      </c>
      <c r="M94" s="15"/>
      <c r="N94" s="15"/>
      <c r="O94" s="15"/>
      <c r="P94" s="15">
        <f t="shared" si="16"/>
        <v>110923051.79045662</v>
      </c>
      <c r="Q94" s="15"/>
      <c r="R94" s="15"/>
      <c r="S94" s="15">
        <v>1273.6480150082509</v>
      </c>
      <c r="T94" s="15">
        <v>690</v>
      </c>
      <c r="U94" s="15">
        <v>210000</v>
      </c>
      <c r="V94" s="15">
        <f t="shared" si="17"/>
        <v>3.3048241448189533</v>
      </c>
      <c r="W94" s="63">
        <v>1.9366399999999999</v>
      </c>
      <c r="X94" s="15">
        <f t="shared" si="18"/>
        <v>0.58600394911666143</v>
      </c>
      <c r="Y94" s="15">
        <f>'Global Only'!Y94</f>
        <v>1.0691757237993755</v>
      </c>
      <c r="Z94" s="15">
        <f t="shared" si="19"/>
        <v>0.62654119644609896</v>
      </c>
      <c r="AA94" s="16"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20"/>
        <v>2466.5976917855792</v>
      </c>
      <c r="AH94" s="17">
        <v>4177.8779091184097</v>
      </c>
      <c r="AI94" s="15">
        <f t="shared" si="21"/>
        <v>36.720268275766159</v>
      </c>
      <c r="AJ94" s="17">
        <f t="shared" si="22"/>
        <v>0.29999999999999993</v>
      </c>
      <c r="AK94" s="15">
        <f t="shared" si="23"/>
        <v>0.58600394911666143</v>
      </c>
      <c r="AL94" s="56">
        <v>1.5359</v>
      </c>
      <c r="AM94" s="56">
        <v>1.4395</v>
      </c>
      <c r="AN94" s="56">
        <f t="shared" si="24"/>
        <v>1.5151943521701032</v>
      </c>
      <c r="AO94" s="5">
        <f t="shared" si="25"/>
        <v>0.94770099590561996</v>
      </c>
      <c r="AP94" t="str">
        <f t="shared" si="26"/>
        <v>Hors classe</v>
      </c>
      <c r="AR94" s="15"/>
    </row>
    <row r="95" spans="1:44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5"/>
        <v>6100.2647999999999</v>
      </c>
      <c r="M95" s="15"/>
      <c r="N95" s="15"/>
      <c r="O95" s="15"/>
      <c r="P95" s="15">
        <f t="shared" si="16"/>
        <v>110923051.79045662</v>
      </c>
      <c r="Q95" s="15"/>
      <c r="R95" s="15"/>
      <c r="S95" s="15">
        <v>1273.6480150082509</v>
      </c>
      <c r="T95" s="15">
        <v>690</v>
      </c>
      <c r="U95" s="15">
        <v>210000</v>
      </c>
      <c r="V95" s="15">
        <f t="shared" si="17"/>
        <v>3.3048241448189533</v>
      </c>
      <c r="W95" s="63">
        <v>1.9366399999999999</v>
      </c>
      <c r="X95" s="15">
        <f t="shared" si="18"/>
        <v>0.58600394911666143</v>
      </c>
      <c r="Y95" s="15">
        <f>'Global Only'!Y95</f>
        <v>0.92610550951961479</v>
      </c>
      <c r="Z95" s="15">
        <f t="shared" si="19"/>
        <v>0.54270148587719214</v>
      </c>
      <c r="AA95" s="16">
        <v>0.56525309524492051</v>
      </c>
      <c r="AB95" s="15">
        <v>1.5142327300352278</v>
      </c>
      <c r="AC95" s="17">
        <v>0.5</v>
      </c>
      <c r="AD95" s="15"/>
      <c r="AE95" s="15"/>
      <c r="AF95" s="22" t="s">
        <v>5</v>
      </c>
      <c r="AG95" s="17">
        <f t="shared" si="20"/>
        <v>2466.5976917855792</v>
      </c>
      <c r="AH95" s="17">
        <v>3870.3412115844235</v>
      </c>
      <c r="AI95" s="15">
        <f t="shared" si="21"/>
        <v>13.219296579275818</v>
      </c>
      <c r="AJ95" s="17">
        <f t="shared" si="22"/>
        <v>0.49999999999999989</v>
      </c>
      <c r="AK95" s="15">
        <f t="shared" si="23"/>
        <v>0.58600394911666143</v>
      </c>
      <c r="AL95" s="5">
        <v>1.5359</v>
      </c>
      <c r="AM95" s="5">
        <v>1.4395</v>
      </c>
      <c r="AN95" s="5">
        <f t="shared" si="24"/>
        <v>1.5151943521701032</v>
      </c>
      <c r="AO95" s="5">
        <f t="shared" si="25"/>
        <v>1.0415543534605902</v>
      </c>
      <c r="AP95" t="str">
        <f t="shared" si="26"/>
        <v>Hors classe</v>
      </c>
      <c r="AR95" s="15"/>
    </row>
    <row r="96" spans="1:44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5"/>
        <v>6100.2647999999999</v>
      </c>
      <c r="M96" s="15"/>
      <c r="N96" s="15"/>
      <c r="O96" s="15"/>
      <c r="P96" s="15">
        <f t="shared" si="16"/>
        <v>110923051.79045662</v>
      </c>
      <c r="Q96" s="15"/>
      <c r="R96" s="15"/>
      <c r="S96" s="15">
        <v>1273.6480150082509</v>
      </c>
      <c r="T96" s="15">
        <v>690</v>
      </c>
      <c r="U96" s="15">
        <v>210000</v>
      </c>
      <c r="V96" s="15">
        <f t="shared" si="17"/>
        <v>3.3048241448189533</v>
      </c>
      <c r="W96" s="63">
        <v>1.9366399999999999</v>
      </c>
      <c r="X96" s="15">
        <f t="shared" si="18"/>
        <v>0.58600394911666143</v>
      </c>
      <c r="Y96" s="15">
        <f>'Global Only'!Y96</f>
        <v>0.74784564950100896</v>
      </c>
      <c r="Z96" s="15">
        <f t="shared" si="19"/>
        <v>0.43824050393730585</v>
      </c>
      <c r="AA96" s="16">
        <v>0.50184396322631442</v>
      </c>
      <c r="AB96" s="15">
        <v>1.5142327300352278</v>
      </c>
      <c r="AC96" s="17">
        <v>0.75</v>
      </c>
      <c r="AD96" s="15"/>
      <c r="AE96" s="15"/>
      <c r="AF96" s="22" t="s">
        <v>5</v>
      </c>
      <c r="AG96" s="17">
        <f t="shared" si="20"/>
        <v>2466.5976917855792</v>
      </c>
      <c r="AH96" s="17">
        <v>3461.4955495321219</v>
      </c>
      <c r="AI96" s="15">
        <f t="shared" si="21"/>
        <v>5.8752429241225856</v>
      </c>
      <c r="AJ96" s="17">
        <f t="shared" si="22"/>
        <v>0.74999999999999989</v>
      </c>
      <c r="AK96" s="15">
        <f t="shared" si="23"/>
        <v>0.58600394911666143</v>
      </c>
      <c r="AL96" s="5">
        <v>1.5359</v>
      </c>
      <c r="AM96" s="5">
        <v>1.4395</v>
      </c>
      <c r="AN96" s="5">
        <f t="shared" si="24"/>
        <v>1.5151943521701032</v>
      </c>
      <c r="AO96" s="5">
        <f t="shared" si="25"/>
        <v>1.1451336850829006</v>
      </c>
      <c r="AP96" t="str">
        <f t="shared" si="26"/>
        <v>Hors classe</v>
      </c>
      <c r="AR96" s="15"/>
    </row>
    <row r="97" spans="1:44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5"/>
        <v>6100.2647999999999</v>
      </c>
      <c r="M97" s="15"/>
      <c r="N97" s="15"/>
      <c r="O97" s="15"/>
      <c r="P97" s="15">
        <f t="shared" si="16"/>
        <v>110923051.79045662</v>
      </c>
      <c r="Q97" s="15"/>
      <c r="R97" s="15"/>
      <c r="S97" s="15">
        <v>1273.6480150082509</v>
      </c>
      <c r="T97" s="15">
        <v>690</v>
      </c>
      <c r="U97" s="15">
        <v>210000</v>
      </c>
      <c r="V97" s="15">
        <f t="shared" si="17"/>
        <v>3.3048241448189533</v>
      </c>
      <c r="W97" s="63">
        <v>1.9366399999999999</v>
      </c>
      <c r="X97" s="15">
        <f t="shared" si="18"/>
        <v>0.58600394911666143</v>
      </c>
      <c r="Y97" s="15">
        <f>'Global Only'!Y97</f>
        <v>0.66820553293099649</v>
      </c>
      <c r="Z97" s="15">
        <f t="shared" si="19"/>
        <v>0.39157108111916727</v>
      </c>
      <c r="AA97" s="16">
        <v>0.42676820348459149</v>
      </c>
      <c r="AB97" s="15">
        <v>1.5142327300352278</v>
      </c>
      <c r="AC97" s="17">
        <v>1</v>
      </c>
      <c r="AD97" s="15"/>
      <c r="AE97" s="15"/>
      <c r="AF97" s="22" t="s">
        <v>5</v>
      </c>
      <c r="AG97" s="17">
        <f t="shared" si="20"/>
        <v>2466.5976917855792</v>
      </c>
      <c r="AH97" s="17">
        <v>3010.3655720248034</v>
      </c>
      <c r="AI97" s="15">
        <f t="shared" si="21"/>
        <v>3.3048241448189546</v>
      </c>
      <c r="AJ97" s="17">
        <f t="shared" si="22"/>
        <v>0.99999999999999978</v>
      </c>
      <c r="AK97" s="15">
        <f t="shared" si="23"/>
        <v>0.58600394911666143</v>
      </c>
      <c r="AL97" s="5">
        <v>1.5359</v>
      </c>
      <c r="AM97" s="5">
        <v>1.4395</v>
      </c>
      <c r="AN97" s="5">
        <f t="shared" si="24"/>
        <v>1.5151943521701032</v>
      </c>
      <c r="AO97" s="5">
        <f t="shared" si="25"/>
        <v>1.0898869300174714</v>
      </c>
      <c r="AP97" t="str">
        <f t="shared" si="26"/>
        <v>Hors classe</v>
      </c>
      <c r="AR97" s="15"/>
    </row>
    <row r="98" spans="1:44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5"/>
        <v>6100.2647999999999</v>
      </c>
      <c r="M98" s="15"/>
      <c r="N98" s="15"/>
      <c r="O98" s="15"/>
      <c r="P98" s="15">
        <f t="shared" si="16"/>
        <v>110923051.79045662</v>
      </c>
      <c r="Q98" s="15"/>
      <c r="R98" s="15"/>
      <c r="S98" s="15">
        <v>1273.6480150082509</v>
      </c>
      <c r="T98" s="15">
        <v>690</v>
      </c>
      <c r="U98" s="15">
        <v>210000</v>
      </c>
      <c r="V98" s="15">
        <f t="shared" si="17"/>
        <v>3.3048241448189533</v>
      </c>
      <c r="W98" s="63">
        <v>1.9366399999999999</v>
      </c>
      <c r="X98" s="15">
        <f t="shared" si="18"/>
        <v>0.58600394911666143</v>
      </c>
      <c r="Y98" s="15">
        <f>'Global Only'!Y98</f>
        <v>0.49392159911988315</v>
      </c>
      <c r="Z98" s="15">
        <f t="shared" si="19"/>
        <v>0.28944000763826805</v>
      </c>
      <c r="AA98" s="16">
        <v>0.32726898356734857</v>
      </c>
      <c r="AB98" s="15">
        <v>1.5142327300352278</v>
      </c>
      <c r="AC98" s="17">
        <v>1.33</v>
      </c>
      <c r="AD98" s="15"/>
      <c r="AE98" s="15"/>
      <c r="AF98" s="22" t="s">
        <v>5</v>
      </c>
      <c r="AG98" s="17">
        <f t="shared" si="20"/>
        <v>2466.5976917855792</v>
      </c>
      <c r="AH98" s="17">
        <v>2393.5008227522562</v>
      </c>
      <c r="AI98" s="15">
        <f t="shared" si="21"/>
        <v>1.868293371484512</v>
      </c>
      <c r="AJ98" s="17">
        <f t="shared" si="22"/>
        <v>1.33</v>
      </c>
      <c r="AK98" s="15">
        <f t="shared" si="23"/>
        <v>0.58600394911666143</v>
      </c>
      <c r="AL98" s="5">
        <v>1.5359</v>
      </c>
      <c r="AM98" s="5">
        <v>1.4395</v>
      </c>
      <c r="AN98" s="5">
        <f t="shared" si="24"/>
        <v>1.5151943521701032</v>
      </c>
      <c r="AO98" s="5">
        <f t="shared" si="25"/>
        <v>1.1306971217895967</v>
      </c>
      <c r="AP98" t="str">
        <f t="shared" si="26"/>
        <v>Hors classe</v>
      </c>
      <c r="AR98" s="15"/>
    </row>
    <row r="99" spans="1:44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5"/>
        <v>6100.2647999999999</v>
      </c>
      <c r="M99" s="15"/>
      <c r="N99" s="15"/>
      <c r="O99" s="15"/>
      <c r="P99" s="15">
        <f t="shared" si="16"/>
        <v>110923051.79045662</v>
      </c>
      <c r="Q99" s="15"/>
      <c r="R99" s="15"/>
      <c r="S99" s="15">
        <v>1273.6480150082509</v>
      </c>
      <c r="T99" s="15">
        <v>690</v>
      </c>
      <c r="U99" s="15">
        <v>210000</v>
      </c>
      <c r="V99" s="15">
        <f t="shared" si="17"/>
        <v>3.3048241448189533</v>
      </c>
      <c r="W99" s="63">
        <v>1.9366399999999999</v>
      </c>
      <c r="X99" s="15">
        <f t="shared" si="18"/>
        <v>0.58600394911666143</v>
      </c>
      <c r="Y99" s="15">
        <f>'Global Only'!Y99</f>
        <v>0.3312837314758032</v>
      </c>
      <c r="Z99" s="15">
        <f t="shared" si="19"/>
        <v>0.1941335749229243</v>
      </c>
      <c r="AA99" s="16">
        <v>0.24588840019378524</v>
      </c>
      <c r="AB99" s="15">
        <v>1.5142327300352278</v>
      </c>
      <c r="AC99" s="17">
        <v>1.67</v>
      </c>
      <c r="AD99" s="15"/>
      <c r="AE99" s="15"/>
      <c r="AF99" s="22" t="s">
        <v>5</v>
      </c>
      <c r="AG99" s="17">
        <f t="shared" si="20"/>
        <v>2466.5976917855792</v>
      </c>
      <c r="AH99" s="17">
        <v>1836.7620987321591</v>
      </c>
      <c r="AI99" s="15">
        <f t="shared" si="21"/>
        <v>1.1849919842299668</v>
      </c>
      <c r="AJ99" s="17">
        <f t="shared" si="22"/>
        <v>1.6699999999999997</v>
      </c>
      <c r="AK99" s="15">
        <f t="shared" si="23"/>
        <v>0.58600394911666143</v>
      </c>
      <c r="AL99" s="5">
        <v>1.5359</v>
      </c>
      <c r="AM99" s="5">
        <v>1.4395</v>
      </c>
      <c r="AN99" s="5">
        <f t="shared" si="24"/>
        <v>1.5151943521701032</v>
      </c>
      <c r="AO99" s="5">
        <f t="shared" si="25"/>
        <v>1.2665938918160284</v>
      </c>
      <c r="AP99" t="str">
        <f t="shared" si="26"/>
        <v>Hors classe</v>
      </c>
      <c r="AR99" s="15"/>
    </row>
    <row r="100" spans="1:44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5"/>
        <v>6100.2647999999999</v>
      </c>
      <c r="M100" s="31"/>
      <c r="N100" s="31"/>
      <c r="O100" s="31"/>
      <c r="P100" s="31">
        <f t="shared" si="16"/>
        <v>110923051.79045662</v>
      </c>
      <c r="Q100" s="31"/>
      <c r="R100" s="31"/>
      <c r="S100" s="31">
        <v>1273.6480150082509</v>
      </c>
      <c r="T100" s="31">
        <v>690</v>
      </c>
      <c r="U100" s="31">
        <v>210000</v>
      </c>
      <c r="V100" s="31">
        <f t="shared" si="17"/>
        <v>3.3048241448189533</v>
      </c>
      <c r="W100" s="63">
        <v>1.9366399999999999</v>
      </c>
      <c r="X100" s="31">
        <f t="shared" si="18"/>
        <v>0.58600394911666143</v>
      </c>
      <c r="Y100" s="31">
        <f>'Global Only'!Y100</f>
        <v>0.22846161791030137</v>
      </c>
      <c r="Z100" s="31">
        <f t="shared" si="19"/>
        <v>0.13387941031701839</v>
      </c>
      <c r="AA100" s="33">
        <v>0.18855726168213463</v>
      </c>
      <c r="AB100" s="31">
        <v>1.5142327300352278</v>
      </c>
      <c r="AC100" s="34">
        <v>2</v>
      </c>
      <c r="AD100" s="31"/>
      <c r="AE100" s="31"/>
      <c r="AF100" s="35" t="s">
        <v>5</v>
      </c>
      <c r="AG100" s="34">
        <f t="shared" si="20"/>
        <v>2466.5976917855792</v>
      </c>
      <c r="AH100" s="34">
        <v>1423.1308916460907</v>
      </c>
      <c r="AI100" s="31">
        <f t="shared" si="21"/>
        <v>0.82620603620473865</v>
      </c>
      <c r="AJ100" s="34">
        <f t="shared" si="22"/>
        <v>1.9999999999999996</v>
      </c>
      <c r="AK100" s="31">
        <f t="shared" si="23"/>
        <v>0.58600394911666143</v>
      </c>
      <c r="AL100" s="5">
        <v>1.5359</v>
      </c>
      <c r="AM100" s="5">
        <v>1.4395</v>
      </c>
      <c r="AN100" s="5">
        <f t="shared" si="24"/>
        <v>1.5151943521701032</v>
      </c>
      <c r="AO100" s="5">
        <f t="shared" si="25"/>
        <v>1.4084112055441713</v>
      </c>
      <c r="AP100" t="str">
        <f t="shared" si="26"/>
        <v>Hors classe</v>
      </c>
      <c r="AR100" s="31"/>
    </row>
    <row r="101" spans="1:44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5"/>
        <v>6100.2647999999999</v>
      </c>
      <c r="M101" s="42"/>
      <c r="N101" s="42"/>
      <c r="O101" s="42"/>
      <c r="P101" s="42">
        <f t="shared" si="16"/>
        <v>110923051.79045662</v>
      </c>
      <c r="Q101" s="42"/>
      <c r="R101" s="42"/>
      <c r="S101" s="42">
        <v>1273.6480150082509</v>
      </c>
      <c r="T101" s="42">
        <v>690</v>
      </c>
      <c r="U101" s="42">
        <v>210000</v>
      </c>
      <c r="V101" s="42">
        <f t="shared" si="17"/>
        <v>3.3048241448189533</v>
      </c>
      <c r="W101" s="63">
        <v>1.9366399999999999</v>
      </c>
      <c r="X101" s="42">
        <f t="shared" si="18"/>
        <v>0.58600394911666143</v>
      </c>
      <c r="Y101" s="42">
        <f>'Global Only'!Y101</f>
        <v>0.14447196757265598</v>
      </c>
      <c r="Z101" s="42">
        <f t="shared" si="19"/>
        <v>8.4661143534230654E-2</v>
      </c>
      <c r="AA101" s="41">
        <v>0.13074854265391256</v>
      </c>
      <c r="AB101" s="42">
        <v>1.5142327300352278</v>
      </c>
      <c r="AC101" s="43">
        <v>2.5</v>
      </c>
      <c r="AD101" s="42"/>
      <c r="AE101" s="42"/>
      <c r="AF101" s="44" t="s">
        <v>5</v>
      </c>
      <c r="AG101" s="43">
        <f t="shared" si="20"/>
        <v>2466.5976917855792</v>
      </c>
      <c r="AH101" s="43">
        <v>997.90481479246318</v>
      </c>
      <c r="AI101" s="42">
        <f t="shared" si="21"/>
        <v>0.52877186317103275</v>
      </c>
      <c r="AJ101" s="43">
        <f t="shared" si="22"/>
        <v>2.4999999999999996</v>
      </c>
      <c r="AK101" s="42">
        <f t="shared" si="23"/>
        <v>0.58600394911666143</v>
      </c>
      <c r="AL101" s="5">
        <v>1.5359</v>
      </c>
      <c r="AM101" s="5">
        <v>1.4395</v>
      </c>
      <c r="AN101" s="5">
        <f t="shared" si="24"/>
        <v>1.5151943521701032</v>
      </c>
      <c r="AO101" s="5">
        <f t="shared" si="25"/>
        <v>1.5443748713487149</v>
      </c>
      <c r="AP101" t="str">
        <f t="shared" si="26"/>
        <v>Hors classe</v>
      </c>
      <c r="AR101" s="42"/>
    </row>
    <row r="102" spans="1:44" ht="1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5"/>
        <v>15434.550000000001</v>
      </c>
      <c r="M102" s="36"/>
      <c r="N102" s="36"/>
      <c r="O102" s="36"/>
      <c r="P102" s="36">
        <f t="shared" si="16"/>
        <v>304175458.91250002</v>
      </c>
      <c r="Q102" s="36"/>
      <c r="R102" s="36"/>
      <c r="S102" s="36">
        <v>2104.7533477789016</v>
      </c>
      <c r="T102" s="36">
        <v>460</v>
      </c>
      <c r="U102" s="36">
        <v>210000</v>
      </c>
      <c r="V102" s="36">
        <f>L102*T102/(S102*1000)</f>
        <v>3.3732660444476106</v>
      </c>
      <c r="W102" s="65">
        <v>3.7433999999999998</v>
      </c>
      <c r="X102" s="36">
        <f t="shared" si="18"/>
        <v>1.1097256933415107</v>
      </c>
      <c r="Y102" s="36">
        <f>'Global Only'!Y102</f>
        <v>1.249536947007837</v>
      </c>
      <c r="Z102" s="36">
        <f t="shared" si="19"/>
        <v>1.3866432548741066</v>
      </c>
      <c r="AA102" s="38"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20"/>
        <v>7878.9336820755398</v>
      </c>
      <c r="AH102" s="39">
        <v>6737.2255644762408</v>
      </c>
      <c r="AI102" s="36">
        <f t="shared" si="21"/>
        <v>37.369108227541879</v>
      </c>
      <c r="AJ102" s="39">
        <f t="shared" si="22"/>
        <v>0.30044773224364668</v>
      </c>
      <c r="AK102" s="36">
        <f t="shared" si="23"/>
        <v>1.1097256933415107</v>
      </c>
      <c r="AL102" s="56">
        <v>26.521000000000001</v>
      </c>
      <c r="AM102" s="56">
        <v>24.673999999999999</v>
      </c>
      <c r="AN102" s="56">
        <f t="shared" si="24"/>
        <v>0.36974773063441196</v>
      </c>
      <c r="AO102" s="5">
        <f t="shared" si="25"/>
        <v>0.71543011025777625</v>
      </c>
      <c r="AP102" t="str">
        <f t="shared" si="26"/>
        <v>Classe 1</v>
      </c>
      <c r="AR102" s="36" t="s">
        <v>323</v>
      </c>
    </row>
    <row r="103" spans="1:44" ht="1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5"/>
        <v>15434.550000000001</v>
      </c>
      <c r="M103" s="15"/>
      <c r="N103" s="15"/>
      <c r="O103" s="15"/>
      <c r="P103" s="15">
        <f t="shared" si="16"/>
        <v>304175458.91250002</v>
      </c>
      <c r="Q103" s="15"/>
      <c r="R103" s="15"/>
      <c r="S103" s="15">
        <v>2104.7533477789016</v>
      </c>
      <c r="T103" s="15">
        <v>460</v>
      </c>
      <c r="U103" s="15">
        <v>210000</v>
      </c>
      <c r="V103" s="15">
        <f t="shared" si="17"/>
        <v>3.3732660444476106</v>
      </c>
      <c r="W103" s="65">
        <v>3.7433999999999998</v>
      </c>
      <c r="X103" s="15">
        <f t="shared" si="18"/>
        <v>1.1097256933415107</v>
      </c>
      <c r="Y103" s="15">
        <f>'Global Only'!Y103</f>
        <v>1.0567559483299949</v>
      </c>
      <c r="Z103" s="15">
        <f t="shared" si="19"/>
        <v>1.1727092274532693</v>
      </c>
      <c r="AA103" s="16">
        <v>0.91978716587063902</v>
      </c>
      <c r="AB103" s="15">
        <v>0.3550200773318104</v>
      </c>
      <c r="AC103" s="17">
        <v>0.5</v>
      </c>
      <c r="AD103" s="15"/>
      <c r="AE103" s="15"/>
      <c r="AF103" s="22" t="s">
        <v>5</v>
      </c>
      <c r="AG103" s="17">
        <f t="shared" si="20"/>
        <v>7878.9336820755398</v>
      </c>
      <c r="AH103" s="17">
        <v>5982.1831926777968</v>
      </c>
      <c r="AI103" s="15">
        <f t="shared" si="21"/>
        <v>13.452878961915074</v>
      </c>
      <c r="AJ103" s="17">
        <f t="shared" si="22"/>
        <v>0.50074622040607786</v>
      </c>
      <c r="AK103" s="15">
        <f t="shared" si="23"/>
        <v>1.1097256933415107</v>
      </c>
      <c r="AL103" s="5">
        <v>26.521000000000001</v>
      </c>
      <c r="AM103" s="5">
        <v>24.673999999999999</v>
      </c>
      <c r="AN103" s="5">
        <f t="shared" si="24"/>
        <v>0.36974773063441196</v>
      </c>
      <c r="AO103" s="5">
        <f t="shared" si="25"/>
        <v>0.78432670634655777</v>
      </c>
      <c r="AP103" t="str">
        <f t="shared" si="26"/>
        <v>Classe 1</v>
      </c>
      <c r="AR103" s="15" t="s">
        <v>331</v>
      </c>
    </row>
    <row r="104" spans="1:44" ht="1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5"/>
        <v>15434.550000000001</v>
      </c>
      <c r="M104" s="15"/>
      <c r="N104" s="15"/>
      <c r="O104" s="15"/>
      <c r="P104" s="15">
        <f t="shared" si="16"/>
        <v>304175458.91250002</v>
      </c>
      <c r="Q104" s="15"/>
      <c r="R104" s="15"/>
      <c r="S104" s="15">
        <v>2104.7533477789016</v>
      </c>
      <c r="T104" s="15">
        <v>460</v>
      </c>
      <c r="U104" s="15">
        <v>210000</v>
      </c>
      <c r="V104" s="15">
        <f t="shared" si="17"/>
        <v>3.3732660444476106</v>
      </c>
      <c r="W104" s="65">
        <v>3.7433999999999998</v>
      </c>
      <c r="X104" s="15">
        <f t="shared" si="18"/>
        <v>1.1097256933415107</v>
      </c>
      <c r="Y104" s="15">
        <f>'Global Only'!Y104</f>
        <v>0.90153884682400254</v>
      </c>
      <c r="Z104" s="15">
        <f t="shared" si="19"/>
        <v>1.0004608218660722</v>
      </c>
      <c r="AA104" s="16">
        <v>0.82324649753127521</v>
      </c>
      <c r="AB104" s="15">
        <v>0.3550200773318104</v>
      </c>
      <c r="AC104" s="17">
        <v>0.75</v>
      </c>
      <c r="AD104" s="15"/>
      <c r="AE104" s="15"/>
      <c r="AF104" s="22" t="s">
        <v>5</v>
      </c>
      <c r="AG104" s="17">
        <f t="shared" si="20"/>
        <v>7878.9336820755398</v>
      </c>
      <c r="AH104" s="17">
        <v>4919.0552942769218</v>
      </c>
      <c r="AI104" s="15">
        <f t="shared" si="21"/>
        <v>5.9790573164066991</v>
      </c>
      <c r="AJ104" s="17">
        <f t="shared" si="22"/>
        <v>0.75111933060911684</v>
      </c>
      <c r="AK104" s="15">
        <f t="shared" si="23"/>
        <v>1.1097256933415107</v>
      </c>
      <c r="AL104" s="5">
        <v>26.521000000000001</v>
      </c>
      <c r="AM104" s="5">
        <v>24.673999999999999</v>
      </c>
      <c r="AN104" s="5">
        <f t="shared" si="24"/>
        <v>0.36974773063441196</v>
      </c>
      <c r="AO104" s="5">
        <f t="shared" si="25"/>
        <v>0.8228673022855062</v>
      </c>
      <c r="AP104" t="str">
        <f t="shared" si="26"/>
        <v>Classe 1</v>
      </c>
      <c r="AR104" s="15" t="s">
        <v>339</v>
      </c>
    </row>
    <row r="105" spans="1:44" ht="1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5"/>
        <v>15434.550000000001</v>
      </c>
      <c r="M105" s="15"/>
      <c r="N105" s="15"/>
      <c r="O105" s="15"/>
      <c r="P105" s="15">
        <f t="shared" si="16"/>
        <v>304175458.91250002</v>
      </c>
      <c r="Q105" s="15"/>
      <c r="R105" s="15"/>
      <c r="S105" s="15">
        <v>2104.7533477789016</v>
      </c>
      <c r="T105" s="15">
        <v>460</v>
      </c>
      <c r="U105" s="15">
        <v>210000</v>
      </c>
      <c r="V105" s="15">
        <f t="shared" si="17"/>
        <v>3.3732660444476106</v>
      </c>
      <c r="W105" s="65">
        <v>3.7433999999999998</v>
      </c>
      <c r="X105" s="15">
        <f t="shared" si="18"/>
        <v>1.1097256933415107</v>
      </c>
      <c r="Y105" s="15">
        <f>'Global Only'!Y105</f>
        <v>0.74953548211251608</v>
      </c>
      <c r="Z105" s="15">
        <f t="shared" si="19"/>
        <v>0.83177878257137539</v>
      </c>
      <c r="AA105" s="16">
        <v>0.69270481454377986</v>
      </c>
      <c r="AB105" s="15">
        <v>0.3550200773318104</v>
      </c>
      <c r="AC105" s="17">
        <v>1</v>
      </c>
      <c r="AD105" s="15"/>
      <c r="AE105" s="15"/>
      <c r="AF105" s="22" t="s">
        <v>5</v>
      </c>
      <c r="AG105" s="17">
        <f t="shared" si="20"/>
        <v>7878.9336820755398</v>
      </c>
      <c r="AH105" s="17">
        <v>3827.3641010301089</v>
      </c>
      <c r="AI105" s="15">
        <f t="shared" si="21"/>
        <v>3.3632197404787685</v>
      </c>
      <c r="AJ105" s="17">
        <f t="shared" si="22"/>
        <v>1.0014924408121557</v>
      </c>
      <c r="AK105" s="15">
        <f t="shared" si="23"/>
        <v>1.1097256933415107</v>
      </c>
      <c r="AL105" s="5">
        <v>26.521000000000001</v>
      </c>
      <c r="AM105" s="5">
        <v>24.673999999999999</v>
      </c>
      <c r="AN105" s="5">
        <f t="shared" si="24"/>
        <v>0.36974773063441196</v>
      </c>
      <c r="AO105" s="5">
        <f t="shared" si="25"/>
        <v>0.83279933205598267</v>
      </c>
      <c r="AP105" t="str">
        <f t="shared" si="26"/>
        <v>Classe 1</v>
      </c>
      <c r="AR105" s="15" t="s">
        <v>347</v>
      </c>
    </row>
    <row r="106" spans="1:44" ht="1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5"/>
        <v>15434.550000000001</v>
      </c>
      <c r="M106" s="15"/>
      <c r="N106" s="15"/>
      <c r="O106" s="15"/>
      <c r="P106" s="15">
        <f t="shared" si="16"/>
        <v>304175458.91250002</v>
      </c>
      <c r="Q106" s="15"/>
      <c r="R106" s="15"/>
      <c r="S106" s="15">
        <v>2104.7533477789016</v>
      </c>
      <c r="T106" s="15">
        <v>460</v>
      </c>
      <c r="U106" s="15">
        <v>210000</v>
      </c>
      <c r="V106" s="15">
        <f t="shared" si="17"/>
        <v>3.3732660444476106</v>
      </c>
      <c r="W106" s="65">
        <v>3.7433999999999998</v>
      </c>
      <c r="X106" s="15">
        <f t="shared" si="18"/>
        <v>1.1097256933415107</v>
      </c>
      <c r="Y106" s="15">
        <f>'Global Only'!Y106</f>
        <v>0.51122078168800444</v>
      </c>
      <c r="Z106" s="15">
        <f t="shared" si="19"/>
        <v>0.5673148364093098</v>
      </c>
      <c r="AA106" s="16">
        <v>0.49197889560561531</v>
      </c>
      <c r="AB106" s="15">
        <v>0.3550200773318104</v>
      </c>
      <c r="AC106" s="17">
        <v>1.33</v>
      </c>
      <c r="AD106" s="15"/>
      <c r="AE106" s="15"/>
      <c r="AF106" s="22" t="s">
        <v>5</v>
      </c>
      <c r="AG106" s="17">
        <f t="shared" si="20"/>
        <v>7878.9336820755398</v>
      </c>
      <c r="AH106" s="17">
        <v>2666.6313259775375</v>
      </c>
      <c r="AI106" s="15">
        <f t="shared" si="21"/>
        <v>1.9013057496064039</v>
      </c>
      <c r="AJ106" s="17">
        <f t="shared" si="22"/>
        <v>1.3319849462801672</v>
      </c>
      <c r="AK106" s="15">
        <f t="shared" si="23"/>
        <v>1.1097256933415107</v>
      </c>
      <c r="AL106" s="5">
        <v>26.521000000000001</v>
      </c>
      <c r="AM106" s="5">
        <v>24.673999999999999</v>
      </c>
      <c r="AN106" s="5">
        <f t="shared" si="24"/>
        <v>0.36974773063441196</v>
      </c>
      <c r="AO106" s="5">
        <f t="shared" si="25"/>
        <v>0.8672061156014953</v>
      </c>
      <c r="AP106" t="str">
        <f t="shared" si="26"/>
        <v>Classe 1</v>
      </c>
      <c r="AR106" s="15" t="s">
        <v>355</v>
      </c>
    </row>
    <row r="107" spans="1:44" ht="1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5"/>
        <v>15434.550000000001</v>
      </c>
      <c r="M107" s="15"/>
      <c r="N107" s="15"/>
      <c r="O107" s="15"/>
      <c r="P107" s="15">
        <f t="shared" si="16"/>
        <v>304175458.91250002</v>
      </c>
      <c r="Q107" s="15"/>
      <c r="R107" s="15"/>
      <c r="S107" s="15">
        <v>2104.7533477789016</v>
      </c>
      <c r="T107" s="15">
        <v>460</v>
      </c>
      <c r="U107" s="15">
        <v>210000</v>
      </c>
      <c r="V107" s="15">
        <f t="shared" si="17"/>
        <v>3.3732660444476106</v>
      </c>
      <c r="W107" s="65">
        <v>3.7433999999999998</v>
      </c>
      <c r="X107" s="15">
        <f t="shared" si="18"/>
        <v>1.1097256933415107</v>
      </c>
      <c r="Y107" s="15">
        <f>'Global Only'!Y107</f>
        <v>0.34345258617321206</v>
      </c>
      <c r="Z107" s="15">
        <f t="shared" si="19"/>
        <v>0.3811381593210027</v>
      </c>
      <c r="AA107" s="16">
        <v>0.33129941584081257</v>
      </c>
      <c r="AB107" s="15">
        <v>0.3550200773318104</v>
      </c>
      <c r="AC107" s="17">
        <v>1.67</v>
      </c>
      <c r="AD107" s="15"/>
      <c r="AE107" s="15"/>
      <c r="AF107" s="22" t="s">
        <v>5</v>
      </c>
      <c r="AG107" s="17">
        <f t="shared" si="20"/>
        <v>7878.9336820755398</v>
      </c>
      <c r="AH107" s="17">
        <v>1879.0550734061646</v>
      </c>
      <c r="AI107" s="15">
        <f t="shared" si="21"/>
        <v>1.2059305606076838</v>
      </c>
      <c r="AJ107" s="17">
        <f t="shared" si="22"/>
        <v>1.6724923761562998</v>
      </c>
      <c r="AK107" s="15">
        <f t="shared" si="23"/>
        <v>1.1097256933415107</v>
      </c>
      <c r="AL107" s="5">
        <v>26.521000000000001</v>
      </c>
      <c r="AM107" s="5">
        <v>24.673999999999999</v>
      </c>
      <c r="AN107" s="5">
        <f t="shared" si="24"/>
        <v>0.36974773063441196</v>
      </c>
      <c r="AO107" s="5">
        <f t="shared" si="25"/>
        <v>0.8692370672908275</v>
      </c>
      <c r="AP107" t="str">
        <f t="shared" si="26"/>
        <v>Classe 1</v>
      </c>
      <c r="AR107" s="15" t="s">
        <v>363</v>
      </c>
    </row>
    <row r="108" spans="1:44" ht="1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5"/>
        <v>15434.550000000001</v>
      </c>
      <c r="M108" s="15"/>
      <c r="N108" s="15"/>
      <c r="O108" s="15"/>
      <c r="P108" s="15">
        <f t="shared" si="16"/>
        <v>304175458.91250002</v>
      </c>
      <c r="Q108" s="15"/>
      <c r="R108" s="15"/>
      <c r="S108" s="15">
        <v>2104.7533477789016</v>
      </c>
      <c r="T108" s="15">
        <v>460</v>
      </c>
      <c r="U108" s="15">
        <v>210000</v>
      </c>
      <c r="V108" s="15">
        <f t="shared" si="17"/>
        <v>3.3732660444476106</v>
      </c>
      <c r="W108" s="65">
        <v>3.7433999999999998</v>
      </c>
      <c r="X108" s="15">
        <f t="shared" si="18"/>
        <v>1.1097256933415107</v>
      </c>
      <c r="Y108" s="15">
        <f>'Global Only'!Y108</f>
        <v>0.2446056861018612</v>
      </c>
      <c r="Z108" s="15">
        <f t="shared" si="19"/>
        <v>0.27144521460466386</v>
      </c>
      <c r="AA108" s="16">
        <v>0.23404951223655335</v>
      </c>
      <c r="AB108" s="15">
        <v>0.3550200773318104</v>
      </c>
      <c r="AC108" s="17">
        <v>2</v>
      </c>
      <c r="AD108" s="15"/>
      <c r="AE108" s="15"/>
      <c r="AF108" s="22" t="s">
        <v>5</v>
      </c>
      <c r="AG108" s="17">
        <f t="shared" si="20"/>
        <v>7878.9336820755398</v>
      </c>
      <c r="AH108" s="17">
        <v>1389.3171297377658</v>
      </c>
      <c r="AI108" s="15">
        <f t="shared" si="21"/>
        <v>0.84080493511969212</v>
      </c>
      <c r="AJ108" s="17">
        <f t="shared" si="22"/>
        <v>2.0029848816243114</v>
      </c>
      <c r="AK108" s="15">
        <f t="shared" si="23"/>
        <v>1.1097256933415107</v>
      </c>
      <c r="AL108" s="5">
        <v>26.521000000000001</v>
      </c>
      <c r="AM108" s="5">
        <v>24.673999999999999</v>
      </c>
      <c r="AN108" s="5">
        <f t="shared" si="24"/>
        <v>0.36974773063441196</v>
      </c>
      <c r="AO108" s="5">
        <f t="shared" si="25"/>
        <v>0.86223480703988808</v>
      </c>
      <c r="AP108" t="str">
        <f t="shared" si="26"/>
        <v>Classe 1</v>
      </c>
      <c r="AR108" s="15" t="s">
        <v>371</v>
      </c>
    </row>
    <row r="109" spans="1:44" ht="1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5"/>
        <v>15434.550000000001</v>
      </c>
      <c r="M109" s="15"/>
      <c r="N109" s="15"/>
      <c r="O109" s="15"/>
      <c r="P109" s="15">
        <f t="shared" si="16"/>
        <v>304175458.91250002</v>
      </c>
      <c r="Q109" s="15"/>
      <c r="R109" s="15"/>
      <c r="S109" s="15">
        <v>2104.7533477789016</v>
      </c>
      <c r="T109" s="15">
        <v>460</v>
      </c>
      <c r="U109" s="15">
        <v>210000</v>
      </c>
      <c r="V109" s="15">
        <f t="shared" si="17"/>
        <v>3.3732660444476106</v>
      </c>
      <c r="W109" s="65">
        <v>3.7433999999999998</v>
      </c>
      <c r="X109" s="15">
        <f t="shared" si="18"/>
        <v>1.1097256933415107</v>
      </c>
      <c r="Y109" s="15">
        <f>'Global Only'!Y109</f>
        <v>0.15739228831669186</v>
      </c>
      <c r="Z109" s="15">
        <f t="shared" si="19"/>
        <v>0.17466226627884782</v>
      </c>
      <c r="AA109" s="16">
        <v>0.15108412540401975</v>
      </c>
      <c r="AB109" s="15">
        <v>0.3550200773318104</v>
      </c>
      <c r="AC109" s="17">
        <v>2.5</v>
      </c>
      <c r="AD109" s="15"/>
      <c r="AE109" s="15"/>
      <c r="AF109" s="22" t="s">
        <v>5</v>
      </c>
      <c r="AG109" s="17">
        <f t="shared" si="20"/>
        <v>7878.9336820755398</v>
      </c>
      <c r="AH109" s="17">
        <v>937.98160586938718</v>
      </c>
      <c r="AI109" s="15">
        <f t="shared" si="21"/>
        <v>0.53811515847660307</v>
      </c>
      <c r="AJ109" s="17">
        <f t="shared" si="22"/>
        <v>2.5037311020303892</v>
      </c>
      <c r="AK109" s="15">
        <f t="shared" si="23"/>
        <v>1.1097256933415107</v>
      </c>
      <c r="AL109" s="5">
        <v>26.521000000000001</v>
      </c>
      <c r="AM109" s="5">
        <v>24.673999999999999</v>
      </c>
      <c r="AN109" s="5">
        <f t="shared" si="24"/>
        <v>0.36974773063441196</v>
      </c>
      <c r="AO109" s="5">
        <f t="shared" si="25"/>
        <v>0.86500724296577236</v>
      </c>
      <c r="AP109" t="str">
        <f t="shared" si="26"/>
        <v>Classe 1</v>
      </c>
      <c r="AR109" s="15" t="s">
        <v>379</v>
      </c>
    </row>
    <row r="110" spans="1:44" ht="1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5"/>
        <v>11835.099999999999</v>
      </c>
      <c r="M110" s="15"/>
      <c r="N110" s="15"/>
      <c r="O110" s="15"/>
      <c r="P110" s="15">
        <f t="shared" si="16"/>
        <v>262443135.65833333</v>
      </c>
      <c r="Q110" s="15"/>
      <c r="R110" s="15"/>
      <c r="S110" s="15">
        <v>1619.8960141856301</v>
      </c>
      <c r="T110" s="15">
        <v>460</v>
      </c>
      <c r="U110" s="15">
        <v>210000</v>
      </c>
      <c r="V110" s="15">
        <f t="shared" si="17"/>
        <v>3.3607996762291767</v>
      </c>
      <c r="W110" s="63">
        <v>3.4331200000000002</v>
      </c>
      <c r="X110" s="15">
        <f t="shared" si="18"/>
        <v>1.0215187844376274</v>
      </c>
      <c r="Y110" s="15">
        <f>'Global Only'!Y110</f>
        <v>1.1967777426078328</v>
      </c>
      <c r="Z110" s="15">
        <f t="shared" si="19"/>
        <v>1.2225309448707611</v>
      </c>
      <c r="AA110" s="16"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20"/>
        <v>5561.2974042209707</v>
      </c>
      <c r="AH110" s="17">
        <v>5167.2991704491842</v>
      </c>
      <c r="AI110" s="15">
        <f t="shared" si="21"/>
        <v>37.34221862476862</v>
      </c>
      <c r="AJ110" s="17">
        <f t="shared" si="22"/>
        <v>0.30000000000000004</v>
      </c>
      <c r="AK110" s="15">
        <f t="shared" si="23"/>
        <v>1.0215187844376274</v>
      </c>
      <c r="AL110" s="56">
        <v>15.672000000000001</v>
      </c>
      <c r="AM110" s="56">
        <v>14.519</v>
      </c>
      <c r="AN110" s="56">
        <f t="shared" si="24"/>
        <v>0.48111950144396182</v>
      </c>
      <c r="AO110" s="5">
        <f t="shared" si="25"/>
        <v>0.8071683490935383</v>
      </c>
      <c r="AP110" t="str">
        <f t="shared" si="26"/>
        <v>Hors classe</v>
      </c>
      <c r="AR110" s="15" t="s">
        <v>387</v>
      </c>
    </row>
    <row r="111" spans="1:44" ht="1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5"/>
        <v>11835.099999999999</v>
      </c>
      <c r="M111" s="15"/>
      <c r="N111" s="15"/>
      <c r="O111" s="15"/>
      <c r="P111" s="15">
        <f t="shared" si="16"/>
        <v>262443135.65833333</v>
      </c>
      <c r="Q111" s="15"/>
      <c r="R111" s="15"/>
      <c r="S111" s="15">
        <v>1619.8960141856301</v>
      </c>
      <c r="T111" s="15">
        <v>460</v>
      </c>
      <c r="U111" s="15">
        <v>210000</v>
      </c>
      <c r="V111" s="15">
        <f t="shared" si="17"/>
        <v>3.3607996762291767</v>
      </c>
      <c r="W111" s="63">
        <v>3.4331200000000002</v>
      </c>
      <c r="X111" s="15">
        <f t="shared" si="18"/>
        <v>1.0215187844376274</v>
      </c>
      <c r="Y111" s="15">
        <f>'Global Only'!Y111</f>
        <v>1.048138918840164</v>
      </c>
      <c r="Z111" s="15">
        <f t="shared" si="19"/>
        <v>1.0706935942953733</v>
      </c>
      <c r="AA111" s="16">
        <v>0.90539886050468188</v>
      </c>
      <c r="AB111" s="15">
        <v>0.50420742049940981</v>
      </c>
      <c r="AC111" s="17">
        <v>0.5</v>
      </c>
      <c r="AD111" s="15"/>
      <c r="AE111" s="15"/>
      <c r="AF111" s="22" t="s">
        <v>5</v>
      </c>
      <c r="AG111" s="17">
        <f t="shared" si="20"/>
        <v>5561.2974042209707</v>
      </c>
      <c r="AH111" s="17">
        <v>4589.3662454341384</v>
      </c>
      <c r="AI111" s="15">
        <f t="shared" si="21"/>
        <v>13.443198704916703</v>
      </c>
      <c r="AJ111" s="17">
        <f t="shared" si="22"/>
        <v>0.5</v>
      </c>
      <c r="AK111" s="15">
        <f t="shared" si="23"/>
        <v>1.0215187844376274</v>
      </c>
      <c r="AL111" s="5">
        <v>15.672000000000001</v>
      </c>
      <c r="AM111" s="5">
        <v>14.519</v>
      </c>
      <c r="AN111" s="5">
        <f t="shared" si="24"/>
        <v>0.48111950144396182</v>
      </c>
      <c r="AO111" s="5">
        <f t="shared" si="25"/>
        <v>0.84561901306650444</v>
      </c>
      <c r="AP111" t="str">
        <f t="shared" si="26"/>
        <v>Hors classe</v>
      </c>
      <c r="AR111" s="15" t="s">
        <v>395</v>
      </c>
    </row>
    <row r="112" spans="1:44" ht="1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5"/>
        <v>11835.099999999999</v>
      </c>
      <c r="M112" s="15"/>
      <c r="N112" s="15"/>
      <c r="O112" s="15"/>
      <c r="P112" s="15">
        <f t="shared" si="16"/>
        <v>262443135.65833333</v>
      </c>
      <c r="Q112" s="15"/>
      <c r="R112" s="15"/>
      <c r="S112" s="15">
        <v>1619.8960141856301</v>
      </c>
      <c r="T112" s="15">
        <v>460</v>
      </c>
      <c r="U112" s="15">
        <v>210000</v>
      </c>
      <c r="V112" s="15">
        <f t="shared" si="17"/>
        <v>3.3607996762291767</v>
      </c>
      <c r="W112" s="63">
        <v>3.4331200000000002</v>
      </c>
      <c r="X112" s="15">
        <f t="shared" si="18"/>
        <v>1.0215187844376274</v>
      </c>
      <c r="Y112" s="15">
        <f>'Global Only'!Y112</f>
        <v>0.88856643339239971</v>
      </c>
      <c r="Z112" s="15">
        <f t="shared" si="19"/>
        <v>0.90768730293108224</v>
      </c>
      <c r="AA112" s="16">
        <v>0.80316241112951359</v>
      </c>
      <c r="AB112" s="15">
        <v>0.50420742049940981</v>
      </c>
      <c r="AC112" s="17">
        <v>0.75</v>
      </c>
      <c r="AD112" s="15"/>
      <c r="AE112" s="15"/>
      <c r="AF112" s="22" t="s">
        <v>5</v>
      </c>
      <c r="AG112" s="17">
        <f t="shared" si="20"/>
        <v>5561.2974042209707</v>
      </c>
      <c r="AH112" s="17">
        <v>3775.7120223953771</v>
      </c>
      <c r="AI112" s="15">
        <f t="shared" si="21"/>
        <v>5.9747549799629782</v>
      </c>
      <c r="AJ112" s="17">
        <f t="shared" si="22"/>
        <v>0.75000000000000011</v>
      </c>
      <c r="AK112" s="15">
        <f t="shared" si="23"/>
        <v>1.0215187844376274</v>
      </c>
      <c r="AL112" s="5">
        <v>15.672000000000001</v>
      </c>
      <c r="AM112" s="5">
        <v>14.519</v>
      </c>
      <c r="AN112" s="5">
        <f t="shared" si="24"/>
        <v>0.48111950144396182</v>
      </c>
      <c r="AO112" s="5">
        <f t="shared" si="25"/>
        <v>0.88484482325131208</v>
      </c>
      <c r="AP112" t="str">
        <f t="shared" si="26"/>
        <v>Hors classe</v>
      </c>
      <c r="AR112" s="15" t="s">
        <v>403</v>
      </c>
    </row>
    <row r="113" spans="1:44" ht="1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5"/>
        <v>11835.099999999999</v>
      </c>
      <c r="M113" s="15"/>
      <c r="N113" s="15"/>
      <c r="O113" s="15"/>
      <c r="P113" s="15">
        <f t="shared" si="16"/>
        <v>262443135.65833333</v>
      </c>
      <c r="Q113" s="15"/>
      <c r="R113" s="15"/>
      <c r="S113" s="15">
        <v>1619.8960141856301</v>
      </c>
      <c r="T113" s="15">
        <v>460</v>
      </c>
      <c r="U113" s="15">
        <v>210000</v>
      </c>
      <c r="V113" s="15">
        <f t="shared" si="17"/>
        <v>3.3607996762291767</v>
      </c>
      <c r="W113" s="63">
        <v>3.4331200000000002</v>
      </c>
      <c r="X113" s="15">
        <f t="shared" si="18"/>
        <v>1.0215187844376274</v>
      </c>
      <c r="Y113" s="15">
        <f>'Global Only'!Y113</f>
        <v>0.74632223562401134</v>
      </c>
      <c r="Z113" s="15">
        <f t="shared" si="19"/>
        <v>0.76238218293341264</v>
      </c>
      <c r="AA113" s="16">
        <v>0.68204789382328534</v>
      </c>
      <c r="AB113" s="15">
        <v>0.50420742049940981</v>
      </c>
      <c r="AC113" s="17">
        <v>1</v>
      </c>
      <c r="AD113" s="15"/>
      <c r="AE113" s="15"/>
      <c r="AF113" s="22" t="s">
        <v>5</v>
      </c>
      <c r="AG113" s="17">
        <f t="shared" si="20"/>
        <v>5561.2974042209707</v>
      </c>
      <c r="AH113" s="17">
        <v>2939.506895304562</v>
      </c>
      <c r="AI113" s="15">
        <f t="shared" si="21"/>
        <v>3.3607996762291759</v>
      </c>
      <c r="AJ113" s="17">
        <f t="shared" si="22"/>
        <v>1</v>
      </c>
      <c r="AK113" s="15">
        <f t="shared" si="23"/>
        <v>1.0215187844376274</v>
      </c>
      <c r="AL113" s="5">
        <v>15.672000000000001</v>
      </c>
      <c r="AM113" s="5">
        <v>14.519</v>
      </c>
      <c r="AN113" s="5">
        <f t="shared" si="24"/>
        <v>0.48111950144396182</v>
      </c>
      <c r="AO113" s="5">
        <f t="shared" si="25"/>
        <v>0.89462727368440642</v>
      </c>
      <c r="AP113" t="str">
        <f t="shared" si="26"/>
        <v>Hors classe</v>
      </c>
      <c r="AR113" s="15" t="s">
        <v>411</v>
      </c>
    </row>
    <row r="114" spans="1:44" ht="1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5"/>
        <v>11835.099999999999</v>
      </c>
      <c r="M114" s="15"/>
      <c r="N114" s="15"/>
      <c r="O114" s="15"/>
      <c r="P114" s="15">
        <f t="shared" si="16"/>
        <v>262443135.65833333</v>
      </c>
      <c r="Q114" s="15"/>
      <c r="R114" s="15"/>
      <c r="S114" s="15">
        <v>1619.8960141856301</v>
      </c>
      <c r="T114" s="15">
        <v>460</v>
      </c>
      <c r="U114" s="15">
        <v>210000</v>
      </c>
      <c r="V114" s="15">
        <f t="shared" si="17"/>
        <v>3.3607996762291767</v>
      </c>
      <c r="W114" s="63">
        <v>3.4331200000000002</v>
      </c>
      <c r="X114" s="15">
        <f t="shared" si="18"/>
        <v>1.0215187844376274</v>
      </c>
      <c r="Y114" s="15">
        <f>'Global Only'!Y114</f>
        <v>0.5109134833785498</v>
      </c>
      <c r="Z114" s="15">
        <f t="shared" si="19"/>
        <v>0.5219077204936502</v>
      </c>
      <c r="AA114" s="16">
        <v>0.48955910473828135</v>
      </c>
      <c r="AB114" s="15">
        <v>0.50420742049940981</v>
      </c>
      <c r="AC114" s="17">
        <v>1.33</v>
      </c>
      <c r="AD114" s="15"/>
      <c r="AE114" s="15"/>
      <c r="AF114" s="22" t="s">
        <v>5</v>
      </c>
      <c r="AG114" s="17">
        <f t="shared" si="20"/>
        <v>5561.2974042209707</v>
      </c>
      <c r="AH114" s="17">
        <v>2049.137546956541</v>
      </c>
      <c r="AI114" s="15">
        <f t="shared" si="21"/>
        <v>1.899937631425844</v>
      </c>
      <c r="AJ114" s="17">
        <f t="shared" si="22"/>
        <v>1.3300000000000003</v>
      </c>
      <c r="AK114" s="15">
        <f t="shared" si="23"/>
        <v>1.0215187844376274</v>
      </c>
      <c r="AL114" s="5">
        <v>15.672000000000001</v>
      </c>
      <c r="AM114" s="5">
        <v>14.519</v>
      </c>
      <c r="AN114" s="5">
        <f t="shared" si="24"/>
        <v>0.48111950144396182</v>
      </c>
      <c r="AO114" s="5">
        <f t="shared" si="25"/>
        <v>0.93801851460489671</v>
      </c>
      <c r="AP114" t="str">
        <f t="shared" si="26"/>
        <v>Hors classe</v>
      </c>
      <c r="AR114" s="15"/>
    </row>
    <row r="115" spans="1:44" ht="1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5"/>
        <v>11835.099999999999</v>
      </c>
      <c r="M115" s="15"/>
      <c r="N115" s="15"/>
      <c r="O115" s="15"/>
      <c r="P115" s="15">
        <f t="shared" si="16"/>
        <v>262443135.65833333</v>
      </c>
      <c r="Q115" s="15"/>
      <c r="R115" s="15"/>
      <c r="S115" s="15">
        <v>1619.8960141856301</v>
      </c>
      <c r="T115" s="15">
        <v>460</v>
      </c>
      <c r="U115" s="15">
        <v>210000</v>
      </c>
      <c r="V115" s="15">
        <f t="shared" si="17"/>
        <v>3.3607996762291767</v>
      </c>
      <c r="W115" s="63">
        <v>3.4331200000000002</v>
      </c>
      <c r="X115" s="15">
        <f t="shared" si="18"/>
        <v>1.0215187844376274</v>
      </c>
      <c r="Y115" s="15">
        <f>'Global Only'!Y115</f>
        <v>0.34280014038351342</v>
      </c>
      <c r="Z115" s="15">
        <f t="shared" si="19"/>
        <v>0.35017678270961466</v>
      </c>
      <c r="AA115" s="16">
        <v>0.32920383638175538</v>
      </c>
      <c r="AB115" s="15">
        <v>0.50420742049940981</v>
      </c>
      <c r="AC115" s="17">
        <v>1.67</v>
      </c>
      <c r="AD115" s="15"/>
      <c r="AE115" s="15"/>
      <c r="AF115" s="22" t="s">
        <v>5</v>
      </c>
      <c r="AG115" s="17">
        <f t="shared" si="20"/>
        <v>5561.2974042209707</v>
      </c>
      <c r="AH115" s="17">
        <v>1444.3380953383705</v>
      </c>
      <c r="AI115" s="15">
        <f t="shared" si="21"/>
        <v>1.2050628119434819</v>
      </c>
      <c r="AJ115" s="17">
        <f t="shared" si="22"/>
        <v>1.67</v>
      </c>
      <c r="AK115" s="15">
        <f t="shared" si="23"/>
        <v>1.0215187844376274</v>
      </c>
      <c r="AL115" s="5">
        <v>15.672000000000001</v>
      </c>
      <c r="AM115" s="5">
        <v>14.519</v>
      </c>
      <c r="AN115" s="5">
        <f t="shared" si="24"/>
        <v>0.48111950144396182</v>
      </c>
      <c r="AO115" s="5">
        <f t="shared" si="25"/>
        <v>0.94010754749194447</v>
      </c>
      <c r="AP115" t="str">
        <f t="shared" si="26"/>
        <v>Hors classe</v>
      </c>
      <c r="AR115" s="15"/>
    </row>
    <row r="116" spans="1:44" ht="1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5"/>
        <v>11835.099999999999</v>
      </c>
      <c r="M116" s="15"/>
      <c r="N116" s="15"/>
      <c r="O116" s="15"/>
      <c r="P116" s="15">
        <f t="shared" si="16"/>
        <v>262443135.65833333</v>
      </c>
      <c r="Q116" s="15"/>
      <c r="R116" s="15"/>
      <c r="S116" s="15">
        <v>1619.8960141856301</v>
      </c>
      <c r="T116" s="15">
        <v>460</v>
      </c>
      <c r="U116" s="15">
        <v>210000</v>
      </c>
      <c r="V116" s="15">
        <f t="shared" si="17"/>
        <v>3.3607996762291767</v>
      </c>
      <c r="W116" s="63">
        <v>3.4331200000000002</v>
      </c>
      <c r="X116" s="15">
        <f t="shared" si="18"/>
        <v>1.0215187844376274</v>
      </c>
      <c r="Y116" s="15">
        <f>'Global Only'!Y116</f>
        <v>0.24394592307730428</v>
      </c>
      <c r="Z116" s="15">
        <f t="shared" si="19"/>
        <v>0.24919534281044284</v>
      </c>
      <c r="AA116" s="16">
        <v>0.231715836232738</v>
      </c>
      <c r="AB116" s="15">
        <v>0.50420742049940981</v>
      </c>
      <c r="AC116" s="17">
        <v>2</v>
      </c>
      <c r="AD116" s="15"/>
      <c r="AE116" s="15"/>
      <c r="AF116" s="22" t="s">
        <v>5</v>
      </c>
      <c r="AG116" s="17">
        <f t="shared" si="20"/>
        <v>5561.2974042209707</v>
      </c>
      <c r="AH116" s="17">
        <v>1068.0522677975339</v>
      </c>
      <c r="AI116" s="15">
        <f t="shared" si="21"/>
        <v>0.84019991905729396</v>
      </c>
      <c r="AJ116" s="17">
        <f t="shared" si="22"/>
        <v>2</v>
      </c>
      <c r="AK116" s="15">
        <f t="shared" si="23"/>
        <v>1.0215187844376274</v>
      </c>
      <c r="AL116" s="5">
        <v>15.672000000000001</v>
      </c>
      <c r="AM116" s="5">
        <v>14.519</v>
      </c>
      <c r="AN116" s="5">
        <f t="shared" si="24"/>
        <v>0.48111950144396182</v>
      </c>
      <c r="AO116" s="5">
        <f t="shared" si="25"/>
        <v>0.92985620685936698</v>
      </c>
      <c r="AP116" t="str">
        <f t="shared" si="26"/>
        <v>Hors classe</v>
      </c>
      <c r="AR116" s="15"/>
    </row>
    <row r="117" spans="1:44" ht="1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5"/>
        <v>11835.099999999999</v>
      </c>
      <c r="M117" s="15"/>
      <c r="N117" s="15"/>
      <c r="O117" s="15"/>
      <c r="P117" s="15">
        <f t="shared" si="16"/>
        <v>262443135.65833333</v>
      </c>
      <c r="Q117" s="15"/>
      <c r="R117" s="15"/>
      <c r="S117" s="15">
        <v>1619.8960141856301</v>
      </c>
      <c r="T117" s="15">
        <v>460</v>
      </c>
      <c r="U117" s="15">
        <v>210000</v>
      </c>
      <c r="V117" s="15">
        <f t="shared" si="17"/>
        <v>3.3607996762291767</v>
      </c>
      <c r="W117" s="63">
        <v>3.4331200000000002</v>
      </c>
      <c r="X117" s="15">
        <f t="shared" si="18"/>
        <v>1.0215187844376274</v>
      </c>
      <c r="Y117" s="15">
        <f>'Global Only'!Y117</f>
        <v>0.15692762546383879</v>
      </c>
      <c r="Z117" s="15">
        <f t="shared" si="19"/>
        <v>0.16030451720850386</v>
      </c>
      <c r="AA117" s="16">
        <v>0.14914011603607302</v>
      </c>
      <c r="AB117" s="15">
        <v>0.50420742049940981</v>
      </c>
      <c r="AC117" s="17">
        <v>2.5</v>
      </c>
      <c r="AD117" s="15"/>
      <c r="AE117" s="15"/>
      <c r="AF117" s="22" t="s">
        <v>5</v>
      </c>
      <c r="AG117" s="17">
        <f t="shared" si="20"/>
        <v>5561.2974042209707</v>
      </c>
      <c r="AH117" s="17">
        <v>721.16632996678868</v>
      </c>
      <c r="AI117" s="15">
        <f t="shared" si="21"/>
        <v>0.53772794819666825</v>
      </c>
      <c r="AJ117" s="17">
        <f t="shared" si="22"/>
        <v>2.5</v>
      </c>
      <c r="AK117" s="15">
        <f t="shared" si="23"/>
        <v>1.0215187844376274</v>
      </c>
      <c r="AL117" s="5">
        <v>15.672000000000001</v>
      </c>
      <c r="AM117" s="5">
        <v>14.519</v>
      </c>
      <c r="AN117" s="5">
        <f t="shared" si="24"/>
        <v>0.48111950144396182</v>
      </c>
      <c r="AO117" s="5">
        <f t="shared" si="25"/>
        <v>0.93035504322121132</v>
      </c>
      <c r="AP117" t="str">
        <f t="shared" si="26"/>
        <v>Hors classe</v>
      </c>
      <c r="AR117" s="15"/>
    </row>
    <row r="118" spans="1:44" ht="1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5"/>
        <v>10343.099999999999</v>
      </c>
      <c r="M118" s="15"/>
      <c r="N118" s="15"/>
      <c r="O118" s="15"/>
      <c r="P118" s="15">
        <f t="shared" si="16"/>
        <v>245144763.32499999</v>
      </c>
      <c r="Q118" s="15"/>
      <c r="R118" s="15"/>
      <c r="S118" s="15">
        <v>1418.5120364076763</v>
      </c>
      <c r="T118" s="15">
        <v>460</v>
      </c>
      <c r="U118" s="15">
        <v>210000</v>
      </c>
      <c r="V118" s="15">
        <f t="shared" si="17"/>
        <v>3.3540963191606035</v>
      </c>
      <c r="W118" s="63">
        <v>3.3358500000000002</v>
      </c>
      <c r="X118" s="15">
        <f t="shared" si="18"/>
        <v>0.99455998951003011</v>
      </c>
      <c r="Y118" s="15">
        <f>'Global Only'!Y118</f>
        <v>1.1058520957171876</v>
      </c>
      <c r="Z118" s="15">
        <f t="shared" si="19"/>
        <v>1.0998362487161308</v>
      </c>
      <c r="AA118" s="16"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20"/>
        <v>4731.9433766505472</v>
      </c>
      <c r="AH118" s="17">
        <v>4515.8800559245765</v>
      </c>
      <c r="AI118" s="15">
        <f t="shared" si="21"/>
        <v>37.267736879562257</v>
      </c>
      <c r="AJ118" s="17">
        <f t="shared" si="22"/>
        <v>0.30000000000000004</v>
      </c>
      <c r="AK118" s="15">
        <f t="shared" si="23"/>
        <v>0.99455998951003011</v>
      </c>
      <c r="AL118" s="56">
        <v>10.936</v>
      </c>
      <c r="AM118" s="56">
        <v>10.108000000000001</v>
      </c>
      <c r="AN118" s="56">
        <f t="shared" si="24"/>
        <v>0.57604332481658893</v>
      </c>
      <c r="AO118" s="5">
        <f t="shared" si="25"/>
        <v>0.88541551466735746</v>
      </c>
      <c r="AP118" t="str">
        <f t="shared" si="26"/>
        <v>Classe 2</v>
      </c>
      <c r="AR118" s="15"/>
    </row>
    <row r="119" spans="1:44" ht="1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5"/>
        <v>10343.099999999999</v>
      </c>
      <c r="M119" s="15"/>
      <c r="N119" s="15"/>
      <c r="O119" s="15"/>
      <c r="P119" s="15">
        <f t="shared" si="16"/>
        <v>245144763.32499999</v>
      </c>
      <c r="Q119" s="15"/>
      <c r="R119" s="15"/>
      <c r="S119" s="15">
        <v>1418.5120364076763</v>
      </c>
      <c r="T119" s="15">
        <v>460</v>
      </c>
      <c r="U119" s="15">
        <v>210000</v>
      </c>
      <c r="V119" s="15">
        <f t="shared" si="17"/>
        <v>3.3540963191606035</v>
      </c>
      <c r="W119" s="63">
        <v>3.3358500000000002</v>
      </c>
      <c r="X119" s="15">
        <f t="shared" si="18"/>
        <v>0.99455998951003011</v>
      </c>
      <c r="Y119" s="15">
        <f>'Global Only'!Y119</f>
        <v>1.0421825850749162</v>
      </c>
      <c r="Z119" s="15">
        <f t="shared" si="19"/>
        <v>1.0365131008796447</v>
      </c>
      <c r="AA119" s="16">
        <v>0.89369332791305045</v>
      </c>
      <c r="AB119" s="15">
        <v>0.60172287236842936</v>
      </c>
      <c r="AC119" s="17">
        <v>0.5</v>
      </c>
      <c r="AD119" s="15"/>
      <c r="AE119" s="15"/>
      <c r="AF119" s="22" t="s">
        <v>5</v>
      </c>
      <c r="AG119" s="17">
        <f t="shared" si="20"/>
        <v>4731.9433766505472</v>
      </c>
      <c r="AH119" s="17">
        <v>4010.8046415450513</v>
      </c>
      <c r="AI119" s="15">
        <f t="shared" si="21"/>
        <v>13.416385276642414</v>
      </c>
      <c r="AJ119" s="17">
        <f t="shared" si="22"/>
        <v>0.5</v>
      </c>
      <c r="AK119" s="15">
        <f t="shared" si="23"/>
        <v>0.99455998951003011</v>
      </c>
      <c r="AL119" s="5">
        <v>10.936</v>
      </c>
      <c r="AM119" s="5">
        <v>10.108000000000001</v>
      </c>
      <c r="AN119" s="5">
        <f t="shared" si="24"/>
        <v>0.57604332481658893</v>
      </c>
      <c r="AO119" s="5">
        <f t="shared" si="25"/>
        <v>0.86221131904132309</v>
      </c>
      <c r="AP119" t="str">
        <f t="shared" si="26"/>
        <v>Classe 2</v>
      </c>
      <c r="AR119" s="15"/>
    </row>
    <row r="120" spans="1:44" ht="1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5"/>
        <v>10343.099999999999</v>
      </c>
      <c r="M120" s="15"/>
      <c r="N120" s="15"/>
      <c r="O120" s="15"/>
      <c r="P120" s="15">
        <f t="shared" si="16"/>
        <v>245144763.32499999</v>
      </c>
      <c r="Q120" s="15"/>
      <c r="R120" s="15"/>
      <c r="S120" s="15">
        <v>1418.5120364076763</v>
      </c>
      <c r="T120" s="15">
        <v>460</v>
      </c>
      <c r="U120" s="15">
        <v>210000</v>
      </c>
      <c r="V120" s="15">
        <f t="shared" si="17"/>
        <v>3.3540963191606035</v>
      </c>
      <c r="W120" s="63">
        <v>3.3358500000000002</v>
      </c>
      <c r="X120" s="15">
        <f t="shared" si="18"/>
        <v>0.99455998951003011</v>
      </c>
      <c r="Y120" s="15">
        <f>'Global Only'!Y120</f>
        <v>0.88300823658387562</v>
      </c>
      <c r="Z120" s="15">
        <f t="shared" si="19"/>
        <v>0.87820466251412954</v>
      </c>
      <c r="AA120" s="16">
        <v>0.78945219233515396</v>
      </c>
      <c r="AB120" s="15">
        <v>0.60172287236842936</v>
      </c>
      <c r="AC120" s="17">
        <v>0.75</v>
      </c>
      <c r="AD120" s="15"/>
      <c r="AE120" s="15"/>
      <c r="AF120" s="22" t="s">
        <v>5</v>
      </c>
      <c r="AG120" s="17">
        <f t="shared" si="20"/>
        <v>4731.9433766505472</v>
      </c>
      <c r="AH120" s="17">
        <v>3299.7242962744403</v>
      </c>
      <c r="AI120" s="15">
        <f t="shared" si="21"/>
        <v>5.9628379007299621</v>
      </c>
      <c r="AJ120" s="17">
        <f t="shared" si="22"/>
        <v>0.75</v>
      </c>
      <c r="AK120" s="15">
        <f t="shared" si="23"/>
        <v>0.99455998951003011</v>
      </c>
      <c r="AL120" s="5">
        <v>10.936</v>
      </c>
      <c r="AM120" s="5">
        <v>10.108000000000001</v>
      </c>
      <c r="AN120" s="5">
        <f t="shared" si="24"/>
        <v>0.57604332481658893</v>
      </c>
      <c r="AO120" s="5">
        <f t="shared" si="25"/>
        <v>0.8989387394905255</v>
      </c>
      <c r="AP120" t="str">
        <f t="shared" si="26"/>
        <v>Classe 2</v>
      </c>
      <c r="AR120" s="15"/>
    </row>
    <row r="121" spans="1:44" ht="1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5"/>
        <v>10343.099999999999</v>
      </c>
      <c r="M121" s="15"/>
      <c r="N121" s="15"/>
      <c r="O121" s="15"/>
      <c r="P121" s="15">
        <f t="shared" si="16"/>
        <v>245144763.32499999</v>
      </c>
      <c r="Q121" s="15"/>
      <c r="R121" s="15"/>
      <c r="S121" s="15">
        <v>1418.5120364076763</v>
      </c>
      <c r="T121" s="15">
        <v>460</v>
      </c>
      <c r="U121" s="15">
        <v>210000</v>
      </c>
      <c r="V121" s="15">
        <f t="shared" si="17"/>
        <v>3.3540963191606035</v>
      </c>
      <c r="W121" s="63">
        <v>3.3358500000000002</v>
      </c>
      <c r="X121" s="15">
        <f t="shared" si="18"/>
        <v>0.99455998951003011</v>
      </c>
      <c r="Y121" s="15">
        <f>'Global Only'!Y121</f>
        <v>0.74475486976212746</v>
      </c>
      <c r="Z121" s="15">
        <f t="shared" si="19"/>
        <v>0.74070339545816533</v>
      </c>
      <c r="AA121" s="16">
        <v>0.67529402793418269</v>
      </c>
      <c r="AB121" s="15">
        <v>0.60172287236842936</v>
      </c>
      <c r="AC121" s="17">
        <v>1</v>
      </c>
      <c r="AD121" s="15"/>
      <c r="AE121" s="15"/>
      <c r="AF121" s="22" t="s">
        <v>5</v>
      </c>
      <c r="AG121" s="17">
        <f t="shared" si="20"/>
        <v>4731.9433766505472</v>
      </c>
      <c r="AH121" s="17">
        <v>2568.935942140296</v>
      </c>
      <c r="AI121" s="15">
        <f t="shared" si="21"/>
        <v>3.3540963191606035</v>
      </c>
      <c r="AJ121" s="17">
        <f t="shared" si="22"/>
        <v>1</v>
      </c>
      <c r="AK121" s="15">
        <f t="shared" si="23"/>
        <v>0.99455998951003011</v>
      </c>
      <c r="AL121" s="5">
        <v>10.936</v>
      </c>
      <c r="AM121" s="5">
        <v>10.108000000000001</v>
      </c>
      <c r="AN121" s="5">
        <f t="shared" si="24"/>
        <v>0.57604332481658893</v>
      </c>
      <c r="AO121" s="5">
        <f t="shared" si="25"/>
        <v>0.91169290174034723</v>
      </c>
      <c r="AP121" t="str">
        <f t="shared" si="26"/>
        <v>Classe 2</v>
      </c>
      <c r="AR121" s="15"/>
    </row>
    <row r="122" spans="1:44" ht="1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5"/>
        <v>10343.099999999999</v>
      </c>
      <c r="M122" s="15"/>
      <c r="N122" s="15"/>
      <c r="O122" s="15"/>
      <c r="P122" s="15">
        <f t="shared" si="16"/>
        <v>245144763.32499999</v>
      </c>
      <c r="Q122" s="15"/>
      <c r="R122" s="15"/>
      <c r="S122" s="15">
        <v>1418.5120364076763</v>
      </c>
      <c r="T122" s="15">
        <v>460</v>
      </c>
      <c r="U122" s="15">
        <v>210000</v>
      </c>
      <c r="V122" s="15">
        <f t="shared" si="17"/>
        <v>3.3540963191606035</v>
      </c>
      <c r="W122" s="63">
        <v>3.3358500000000002</v>
      </c>
      <c r="X122" s="15">
        <f t="shared" si="18"/>
        <v>0.99455998951003011</v>
      </c>
      <c r="Y122" s="15">
        <f>'Global Only'!Y122</f>
        <v>0.51024027790799487</v>
      </c>
      <c r="Z122" s="15">
        <f t="shared" si="19"/>
        <v>0.50746456544377017</v>
      </c>
      <c r="AA122" s="16">
        <v>0.48735451813342912</v>
      </c>
      <c r="AB122" s="15">
        <v>0.60172287236842936</v>
      </c>
      <c r="AC122" s="17">
        <v>1.33</v>
      </c>
      <c r="AD122" s="15"/>
      <c r="AE122" s="15"/>
      <c r="AF122" s="22" t="s">
        <v>5</v>
      </c>
      <c r="AG122" s="17">
        <f t="shared" si="20"/>
        <v>4731.9433766505472</v>
      </c>
      <c r="AH122" s="17">
        <v>1790.8116164566586</v>
      </c>
      <c r="AI122" s="15">
        <f t="shared" si="21"/>
        <v>1.8961480689471439</v>
      </c>
      <c r="AJ122" s="17">
        <f t="shared" si="22"/>
        <v>1.33</v>
      </c>
      <c r="AK122" s="15">
        <f t="shared" si="23"/>
        <v>0.99455998951003011</v>
      </c>
      <c r="AL122" s="5">
        <v>10.936</v>
      </c>
      <c r="AM122" s="5">
        <v>10.108000000000001</v>
      </c>
      <c r="AN122" s="5">
        <f t="shared" si="24"/>
        <v>0.57604332481658893</v>
      </c>
      <c r="AO122" s="5">
        <f t="shared" si="25"/>
        <v>0.96037152408315418</v>
      </c>
      <c r="AP122" t="str">
        <f t="shared" si="26"/>
        <v>Classe 2</v>
      </c>
      <c r="AR122" s="15"/>
    </row>
    <row r="123" spans="1:44" ht="1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5"/>
        <v>10343.099999999999</v>
      </c>
      <c r="M123" s="15"/>
      <c r="N123" s="15"/>
      <c r="O123" s="15"/>
      <c r="P123" s="15">
        <f t="shared" si="16"/>
        <v>245144763.32499999</v>
      </c>
      <c r="Q123" s="15"/>
      <c r="R123" s="15"/>
      <c r="S123" s="15">
        <v>1418.5120364076763</v>
      </c>
      <c r="T123" s="15">
        <v>460</v>
      </c>
      <c r="U123" s="15">
        <v>210000</v>
      </c>
      <c r="V123" s="15">
        <f t="shared" si="17"/>
        <v>3.3540963191606035</v>
      </c>
      <c r="W123" s="63">
        <v>3.3358500000000002</v>
      </c>
      <c r="X123" s="15">
        <f t="shared" si="18"/>
        <v>0.99455998951003011</v>
      </c>
      <c r="Y123" s="15">
        <f>'Global Only'!Y123</f>
        <v>0.34197012684268036</v>
      </c>
      <c r="Z123" s="15">
        <f t="shared" si="19"/>
        <v>0.34010980576539984</v>
      </c>
      <c r="AA123" s="16">
        <v>0.32763780170106016</v>
      </c>
      <c r="AB123" s="15">
        <v>0.60172287236842936</v>
      </c>
      <c r="AC123" s="17">
        <v>1.67</v>
      </c>
      <c r="AD123" s="15"/>
      <c r="AE123" s="15"/>
      <c r="AF123" s="22" t="s">
        <v>5</v>
      </c>
      <c r="AG123" s="17">
        <f t="shared" si="20"/>
        <v>4731.9433766505472</v>
      </c>
      <c r="AH123" s="17">
        <v>1262.2566225798096</v>
      </c>
      <c r="AI123" s="15">
        <f t="shared" si="21"/>
        <v>1.2026592273515022</v>
      </c>
      <c r="AJ123" s="17">
        <f t="shared" si="22"/>
        <v>1.6699999999999997</v>
      </c>
      <c r="AK123" s="15">
        <f t="shared" si="23"/>
        <v>0.99455998951003011</v>
      </c>
      <c r="AL123" s="5">
        <v>10.936</v>
      </c>
      <c r="AM123" s="5">
        <v>10.108000000000001</v>
      </c>
      <c r="AN123" s="5">
        <f t="shared" si="24"/>
        <v>0.57604332481658893</v>
      </c>
      <c r="AO123" s="5">
        <f t="shared" si="25"/>
        <v>0.96332947814817604</v>
      </c>
      <c r="AP123" t="str">
        <f t="shared" si="26"/>
        <v>Classe 2</v>
      </c>
      <c r="AR123" s="15"/>
    </row>
    <row r="124" spans="1:44" ht="1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5"/>
        <v>10343.099999999999</v>
      </c>
      <c r="M124" s="15"/>
      <c r="N124" s="15"/>
      <c r="O124" s="15"/>
      <c r="P124" s="15">
        <f t="shared" si="16"/>
        <v>245144763.32499999</v>
      </c>
      <c r="Q124" s="15"/>
      <c r="R124" s="15"/>
      <c r="S124" s="15">
        <v>1418.5120364076763</v>
      </c>
      <c r="T124" s="15">
        <v>460</v>
      </c>
      <c r="U124" s="15">
        <v>210000</v>
      </c>
      <c r="V124" s="15">
        <f t="shared" si="17"/>
        <v>3.3540963191606035</v>
      </c>
      <c r="W124" s="63">
        <v>3.3358500000000002</v>
      </c>
      <c r="X124" s="15">
        <f t="shared" si="18"/>
        <v>0.99455998951003011</v>
      </c>
      <c r="Y124" s="15">
        <f>'Global Only'!Y124</f>
        <v>0.24323349627591812</v>
      </c>
      <c r="Z124" s="15">
        <f t="shared" si="19"/>
        <v>0.24191030350466508</v>
      </c>
      <c r="AA124" s="16">
        <v>0.2300858306163486</v>
      </c>
      <c r="AB124" s="15">
        <v>0.60172287236842936</v>
      </c>
      <c r="AC124" s="17">
        <v>2</v>
      </c>
      <c r="AD124" s="15"/>
      <c r="AE124" s="15"/>
      <c r="AF124" s="22" t="s">
        <v>5</v>
      </c>
      <c r="AG124" s="17">
        <f t="shared" si="20"/>
        <v>4731.9433766505472</v>
      </c>
      <c r="AH124" s="17">
        <v>933.4075260079486</v>
      </c>
      <c r="AI124" s="15">
        <f t="shared" si="21"/>
        <v>0.83852407979015087</v>
      </c>
      <c r="AJ124" s="17">
        <f t="shared" si="22"/>
        <v>2</v>
      </c>
      <c r="AK124" s="15">
        <f t="shared" si="23"/>
        <v>0.99455998951003011</v>
      </c>
      <c r="AL124" s="5">
        <v>10.936</v>
      </c>
      <c r="AM124" s="5">
        <v>10.108000000000001</v>
      </c>
      <c r="AN124" s="5">
        <f t="shared" si="24"/>
        <v>0.57604332481658893</v>
      </c>
      <c r="AO124" s="5">
        <f t="shared" si="25"/>
        <v>0.95112042473177072</v>
      </c>
      <c r="AP124" t="str">
        <f t="shared" si="26"/>
        <v>Classe 2</v>
      </c>
      <c r="AR124" s="15"/>
    </row>
    <row r="125" spans="1:44" ht="1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5"/>
        <v>10343.099999999999</v>
      </c>
      <c r="M125" s="15"/>
      <c r="N125" s="15"/>
      <c r="O125" s="15"/>
      <c r="P125" s="15">
        <f t="shared" si="16"/>
        <v>245144763.32499999</v>
      </c>
      <c r="Q125" s="15"/>
      <c r="R125" s="15"/>
      <c r="S125" s="15">
        <v>1418.5120364076763</v>
      </c>
      <c r="T125" s="15">
        <v>460</v>
      </c>
      <c r="U125" s="15">
        <v>210000</v>
      </c>
      <c r="V125" s="15">
        <f t="shared" si="17"/>
        <v>3.3540963191606035</v>
      </c>
      <c r="W125" s="63">
        <v>3.3358500000000002</v>
      </c>
      <c r="X125" s="15">
        <f t="shared" si="18"/>
        <v>0.99455998951003011</v>
      </c>
      <c r="Y125" s="15">
        <f>'Global Only'!Y125</f>
        <v>0.15644847563221206</v>
      </c>
      <c r="Z125" s="15">
        <f t="shared" si="19"/>
        <v>0.15559739428363303</v>
      </c>
      <c r="AA125" s="16">
        <v>0.14787525131466975</v>
      </c>
      <c r="AB125" s="15">
        <v>0.60172287236842936</v>
      </c>
      <c r="AC125" s="17">
        <v>2.5</v>
      </c>
      <c r="AD125" s="15"/>
      <c r="AE125" s="15"/>
      <c r="AF125" s="22" t="s">
        <v>5</v>
      </c>
      <c r="AG125" s="17">
        <f t="shared" si="20"/>
        <v>4731.9433766505472</v>
      </c>
      <c r="AH125" s="17">
        <v>630.25200188249289</v>
      </c>
      <c r="AI125" s="15">
        <f t="shared" si="21"/>
        <v>0.53665541106569647</v>
      </c>
      <c r="AJ125" s="17">
        <f t="shared" si="22"/>
        <v>2.5</v>
      </c>
      <c r="AK125" s="15">
        <f t="shared" si="23"/>
        <v>0.99455998951003011</v>
      </c>
      <c r="AL125" s="5">
        <v>10.936</v>
      </c>
      <c r="AM125" s="5">
        <v>10.108000000000001</v>
      </c>
      <c r="AN125" s="5">
        <f t="shared" si="24"/>
        <v>0.57604332481658893</v>
      </c>
      <c r="AO125" s="5">
        <f t="shared" si="25"/>
        <v>0.95037100071941527</v>
      </c>
      <c r="AP125" t="str">
        <f t="shared" si="26"/>
        <v>Classe 2</v>
      </c>
      <c r="AR125" s="15"/>
    </row>
    <row r="126" spans="1:44" ht="1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5"/>
        <v>8515.4</v>
      </c>
      <c r="M126" s="15"/>
      <c r="N126" s="15"/>
      <c r="O126" s="15"/>
      <c r="P126" s="15">
        <f t="shared" si="16"/>
        <v>223954257.21666667</v>
      </c>
      <c r="Q126" s="15"/>
      <c r="R126" s="15"/>
      <c r="S126" s="15">
        <v>1171.3517228287108</v>
      </c>
      <c r="T126" s="15">
        <v>460</v>
      </c>
      <c r="U126" s="15">
        <v>210000</v>
      </c>
      <c r="V126" s="15">
        <f t="shared" si="17"/>
        <v>3.3440715744546727</v>
      </c>
      <c r="W126" s="63">
        <v>2.9978799999999999</v>
      </c>
      <c r="X126" s="15">
        <f t="shared" si="18"/>
        <v>0.8964760272778769</v>
      </c>
      <c r="Y126" s="15">
        <f>'Global Only'!Y126</f>
        <v>1.0209142154862862</v>
      </c>
      <c r="Z126" s="15">
        <f t="shared" si="19"/>
        <v>0.91522512009065626</v>
      </c>
      <c r="AA126" s="16"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20"/>
        <v>3511.5719028337353</v>
      </c>
      <c r="AH126" s="17">
        <v>3717.8916406319318</v>
      </c>
      <c r="AI126" s="15">
        <f t="shared" si="21"/>
        <v>37.156350827274139</v>
      </c>
      <c r="AJ126" s="17">
        <f t="shared" si="22"/>
        <v>0.30000000000000004</v>
      </c>
      <c r="AK126" s="15">
        <f t="shared" si="23"/>
        <v>0.8964760272778769</v>
      </c>
      <c r="AL126" s="56">
        <v>6.1308999999999996</v>
      </c>
      <c r="AM126" s="56">
        <v>5.6441999999999997</v>
      </c>
      <c r="AN126" s="56">
        <f t="shared" si="24"/>
        <v>0.76972675927706968</v>
      </c>
      <c r="AO126" s="5">
        <f t="shared" si="25"/>
        <v>0.9675459413167562</v>
      </c>
      <c r="AP126" t="str">
        <f t="shared" si="26"/>
        <v>Classe 2</v>
      </c>
      <c r="AR126" s="15"/>
    </row>
    <row r="127" spans="1:44" ht="1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5"/>
        <v>8515.4</v>
      </c>
      <c r="M127" s="15"/>
      <c r="N127" s="15"/>
      <c r="O127" s="15"/>
      <c r="P127" s="15">
        <f t="shared" si="16"/>
        <v>223954257.21666667</v>
      </c>
      <c r="Q127" s="15"/>
      <c r="R127" s="15"/>
      <c r="S127" s="15">
        <v>1171.3517228287108</v>
      </c>
      <c r="T127" s="15">
        <v>460</v>
      </c>
      <c r="U127" s="15">
        <v>210000</v>
      </c>
      <c r="V127" s="15">
        <f t="shared" si="17"/>
        <v>3.3440715744546727</v>
      </c>
      <c r="W127" s="63">
        <v>2.9978799999999999</v>
      </c>
      <c r="X127" s="15">
        <f t="shared" si="18"/>
        <v>0.8964760272778769</v>
      </c>
      <c r="Y127" s="15">
        <f>'Global Only'!Y127</f>
        <v>1.0328422444596184</v>
      </c>
      <c r="Z127" s="15">
        <f t="shared" si="19"/>
        <v>0.92591831211792441</v>
      </c>
      <c r="AA127" s="16">
        <v>0.83816189593102275</v>
      </c>
      <c r="AB127" s="15">
        <v>0.80762280341764636</v>
      </c>
      <c r="AC127" s="17">
        <v>0.5</v>
      </c>
      <c r="AD127" s="15"/>
      <c r="AE127" s="15"/>
      <c r="AF127" s="22" t="s">
        <v>5</v>
      </c>
      <c r="AG127" s="17">
        <f t="shared" si="20"/>
        <v>3511.5719028337353</v>
      </c>
      <c r="AH127" s="17">
        <v>3302.0666767809194</v>
      </c>
      <c r="AI127" s="15">
        <f t="shared" si="21"/>
        <v>13.376286297818691</v>
      </c>
      <c r="AJ127" s="17">
        <f t="shared" si="22"/>
        <v>0.5</v>
      </c>
      <c r="AK127" s="15">
        <f t="shared" si="23"/>
        <v>0.8964760272778769</v>
      </c>
      <c r="AL127" s="5">
        <v>6.1308999999999996</v>
      </c>
      <c r="AM127" s="5">
        <v>5.6441999999999997</v>
      </c>
      <c r="AN127" s="5">
        <f t="shared" si="24"/>
        <v>0.76972675927706968</v>
      </c>
      <c r="AO127" s="5">
        <f t="shared" si="25"/>
        <v>0.90522229116932607</v>
      </c>
      <c r="AP127" t="str">
        <f t="shared" si="26"/>
        <v>Classe 2</v>
      </c>
      <c r="AR127" s="15"/>
    </row>
    <row r="128" spans="1:44" ht="1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5"/>
        <v>8515.4</v>
      </c>
      <c r="M128" s="15"/>
      <c r="N128" s="15"/>
      <c r="O128" s="15"/>
      <c r="P128" s="15">
        <f t="shared" si="16"/>
        <v>223954257.21666667</v>
      </c>
      <c r="Q128" s="15"/>
      <c r="R128" s="15"/>
      <c r="S128" s="15">
        <v>1171.3517228287108</v>
      </c>
      <c r="T128" s="15">
        <v>460</v>
      </c>
      <c r="U128" s="15">
        <v>210000</v>
      </c>
      <c r="V128" s="15">
        <f t="shared" si="17"/>
        <v>3.3440715744546727</v>
      </c>
      <c r="W128" s="63">
        <v>2.9978799999999999</v>
      </c>
      <c r="X128" s="15">
        <f t="shared" si="18"/>
        <v>0.8964760272778769</v>
      </c>
      <c r="Y128" s="15">
        <f>'Global Only'!Y128</f>
        <v>0.87611250578399513</v>
      </c>
      <c r="Z128" s="15">
        <f t="shared" si="19"/>
        <v>0.78541385863370194</v>
      </c>
      <c r="AA128" s="16">
        <v>0.7555759240148221</v>
      </c>
      <c r="AB128" s="15">
        <v>0.80762280341764636</v>
      </c>
      <c r="AC128" s="17">
        <v>0.75</v>
      </c>
      <c r="AD128" s="15"/>
      <c r="AE128" s="15"/>
      <c r="AF128" s="22" t="s">
        <v>5</v>
      </c>
      <c r="AG128" s="17">
        <f t="shared" si="20"/>
        <v>3511.5719028337353</v>
      </c>
      <c r="AH128" s="17">
        <v>2716.6393317762927</v>
      </c>
      <c r="AI128" s="15">
        <f t="shared" si="21"/>
        <v>5.9450161323638628</v>
      </c>
      <c r="AJ128" s="17">
        <f t="shared" si="22"/>
        <v>0.75</v>
      </c>
      <c r="AK128" s="15">
        <f t="shared" si="23"/>
        <v>0.8964760272778769</v>
      </c>
      <c r="AL128" s="5">
        <v>6.1308999999999996</v>
      </c>
      <c r="AM128" s="5">
        <v>5.6441999999999997</v>
      </c>
      <c r="AN128" s="5">
        <f t="shared" si="24"/>
        <v>0.76972675927706968</v>
      </c>
      <c r="AO128" s="5">
        <f t="shared" si="25"/>
        <v>0.96200992089599024</v>
      </c>
      <c r="AP128" t="str">
        <f t="shared" si="26"/>
        <v>Classe 2</v>
      </c>
      <c r="AR128" s="15"/>
    </row>
    <row r="129" spans="1:44" ht="1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5"/>
        <v>8515.4</v>
      </c>
      <c r="M129" s="15"/>
      <c r="N129" s="15"/>
      <c r="O129" s="15"/>
      <c r="P129" s="15">
        <f t="shared" si="16"/>
        <v>223954257.21666667</v>
      </c>
      <c r="Q129" s="15"/>
      <c r="R129" s="15"/>
      <c r="S129" s="15">
        <v>1171.3517228287108</v>
      </c>
      <c r="T129" s="15">
        <v>460</v>
      </c>
      <c r="U129" s="15">
        <v>210000</v>
      </c>
      <c r="V129" s="15">
        <f t="shared" si="17"/>
        <v>3.3440715744546727</v>
      </c>
      <c r="W129" s="63">
        <v>2.9978799999999999</v>
      </c>
      <c r="X129" s="15">
        <f t="shared" si="18"/>
        <v>0.8964760272778769</v>
      </c>
      <c r="Y129" s="15">
        <f>'Global Only'!Y129</f>
        <v>0.74309802829001781</v>
      </c>
      <c r="Z129" s="15">
        <f t="shared" si="19"/>
        <v>0.6661695682794585</v>
      </c>
      <c r="AA129" s="16">
        <v>0.66076658273599165</v>
      </c>
      <c r="AB129" s="15">
        <v>0.80762280341764636</v>
      </c>
      <c r="AC129" s="17">
        <v>1</v>
      </c>
      <c r="AD129" s="15"/>
      <c r="AE129" s="15"/>
      <c r="AF129" s="22" t="s">
        <v>5</v>
      </c>
      <c r="AG129" s="17">
        <f t="shared" si="20"/>
        <v>3511.5719028337353</v>
      </c>
      <c r="AH129" s="17">
        <v>2114.9865245140704</v>
      </c>
      <c r="AI129" s="15">
        <f t="shared" si="21"/>
        <v>3.3440715744546727</v>
      </c>
      <c r="AJ129" s="17">
        <f t="shared" si="22"/>
        <v>1</v>
      </c>
      <c r="AK129" s="15">
        <f t="shared" si="23"/>
        <v>0.8964760272778769</v>
      </c>
      <c r="AL129" s="5">
        <v>6.1308999999999996</v>
      </c>
      <c r="AM129" s="5">
        <v>5.6441999999999997</v>
      </c>
      <c r="AN129" s="5">
        <f t="shared" si="24"/>
        <v>0.76972675927706968</v>
      </c>
      <c r="AO129" s="5">
        <f t="shared" si="25"/>
        <v>0.99188947409077644</v>
      </c>
      <c r="AP129" t="str">
        <f t="shared" si="26"/>
        <v>Classe 2</v>
      </c>
      <c r="AR129" s="15"/>
    </row>
    <row r="130" spans="1:44" ht="1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5"/>
        <v>8515.4</v>
      </c>
      <c r="M130" s="15"/>
      <c r="N130" s="15"/>
      <c r="O130" s="15"/>
      <c r="P130" s="15">
        <f t="shared" si="16"/>
        <v>223954257.21666667</v>
      </c>
      <c r="Q130" s="15"/>
      <c r="R130" s="15"/>
      <c r="S130" s="15">
        <v>1171.3517228287108</v>
      </c>
      <c r="T130" s="15">
        <v>460</v>
      </c>
      <c r="U130" s="15">
        <v>210000</v>
      </c>
      <c r="V130" s="15">
        <f t="shared" si="17"/>
        <v>3.3440715744546727</v>
      </c>
      <c r="W130" s="63">
        <v>2.9978799999999999</v>
      </c>
      <c r="X130" s="15">
        <f t="shared" si="18"/>
        <v>0.8964760272778769</v>
      </c>
      <c r="Y130" s="15">
        <f>'Global Only'!Y130</f>
        <v>0.50923154511026247</v>
      </c>
      <c r="Z130" s="15">
        <f t="shared" si="19"/>
        <v>0.45651387252502307</v>
      </c>
      <c r="AA130" s="16">
        <v>0.48290878104832713</v>
      </c>
      <c r="AB130" s="15">
        <v>0.80762280341764636</v>
      </c>
      <c r="AC130" s="17">
        <v>1.33</v>
      </c>
      <c r="AD130" s="15"/>
      <c r="AE130" s="15"/>
      <c r="AF130" s="22" t="s">
        <v>5</v>
      </c>
      <c r="AG130" s="17">
        <f t="shared" si="20"/>
        <v>3511.5719028337353</v>
      </c>
      <c r="AH130" s="17">
        <v>1474.3623515943029</v>
      </c>
      <c r="AI130" s="15">
        <f t="shared" si="21"/>
        <v>1.8904808493723062</v>
      </c>
      <c r="AJ130" s="17">
        <f t="shared" si="22"/>
        <v>1.33</v>
      </c>
      <c r="AK130" s="15">
        <f t="shared" si="23"/>
        <v>0.8964760272778769</v>
      </c>
      <c r="AL130" s="5">
        <v>6.1308999999999996</v>
      </c>
      <c r="AM130" s="5">
        <v>5.6441999999999997</v>
      </c>
      <c r="AN130" s="5">
        <f t="shared" si="24"/>
        <v>0.76972675927706968</v>
      </c>
      <c r="AO130" s="5">
        <f t="shared" si="25"/>
        <v>1.0578184149745795</v>
      </c>
      <c r="AP130" t="str">
        <f t="shared" si="26"/>
        <v>Classe 2</v>
      </c>
      <c r="AR130" s="15"/>
    </row>
    <row r="131" spans="1:44" ht="1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5"/>
        <v>8515.4</v>
      </c>
      <c r="M131" s="15"/>
      <c r="N131" s="15"/>
      <c r="O131" s="15"/>
      <c r="P131" s="15">
        <f t="shared" si="16"/>
        <v>223954257.21666667</v>
      </c>
      <c r="Q131" s="15"/>
      <c r="R131" s="15"/>
      <c r="S131" s="15">
        <v>1171.3517228287108</v>
      </c>
      <c r="T131" s="15">
        <v>460</v>
      </c>
      <c r="U131" s="15">
        <v>210000</v>
      </c>
      <c r="V131" s="15">
        <f t="shared" si="17"/>
        <v>3.3440715744546727</v>
      </c>
      <c r="W131" s="63">
        <v>2.9978799999999999</v>
      </c>
      <c r="X131" s="15">
        <f t="shared" si="18"/>
        <v>0.8964760272778769</v>
      </c>
      <c r="Y131" s="15">
        <f>'Global Only'!Y131</f>
        <v>0.3407406455977201</v>
      </c>
      <c r="Z131" s="15">
        <f t="shared" si="19"/>
        <v>0.3054658202975431</v>
      </c>
      <c r="AA131" s="16">
        <v>0.32527283161211068</v>
      </c>
      <c r="AB131" s="15">
        <v>0.80762280341764636</v>
      </c>
      <c r="AC131" s="17">
        <v>1.67</v>
      </c>
      <c r="AD131" s="15"/>
      <c r="AE131" s="15"/>
      <c r="AF131" s="22" t="s">
        <v>5</v>
      </c>
      <c r="AG131" s="17">
        <f t="shared" si="20"/>
        <v>3511.5719028337353</v>
      </c>
      <c r="AH131" s="17">
        <v>1039.206818450572</v>
      </c>
      <c r="AI131" s="15">
        <f t="shared" si="21"/>
        <v>1.1990647116980435</v>
      </c>
      <c r="AJ131" s="17">
        <f t="shared" si="22"/>
        <v>1.67</v>
      </c>
      <c r="AK131" s="15">
        <f t="shared" si="23"/>
        <v>0.8964760272778769</v>
      </c>
      <c r="AL131" s="5">
        <v>6.1308999999999996</v>
      </c>
      <c r="AM131" s="5">
        <v>5.6441999999999997</v>
      </c>
      <c r="AN131" s="5">
        <f t="shared" si="24"/>
        <v>0.76972675927706968</v>
      </c>
      <c r="AO131" s="5">
        <f t="shared" si="25"/>
        <v>1.0648419888525475</v>
      </c>
      <c r="AP131" t="str">
        <f t="shared" si="26"/>
        <v>Classe 2</v>
      </c>
      <c r="AR131" s="15"/>
    </row>
    <row r="132" spans="1:44" ht="1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5"/>
        <v>8515.4</v>
      </c>
      <c r="M132" s="15"/>
      <c r="N132" s="15"/>
      <c r="O132" s="15"/>
      <c r="P132" s="15">
        <f t="shared" si="16"/>
        <v>223954257.21666667</v>
      </c>
      <c r="Q132" s="15"/>
      <c r="R132" s="15"/>
      <c r="S132" s="15">
        <v>1171.3517228287108</v>
      </c>
      <c r="T132" s="15">
        <v>460</v>
      </c>
      <c r="U132" s="15">
        <v>210000</v>
      </c>
      <c r="V132" s="15">
        <f t="shared" si="17"/>
        <v>3.3440715744546727</v>
      </c>
      <c r="W132" s="63">
        <v>2.9978799999999999</v>
      </c>
      <c r="X132" s="15">
        <f t="shared" si="18"/>
        <v>0.8964760272778769</v>
      </c>
      <c r="Y132" s="15">
        <f>'Global Only'!Y132</f>
        <v>0.24216681791003478</v>
      </c>
      <c r="Z132" s="15">
        <f t="shared" si="19"/>
        <v>0.21709674685851299</v>
      </c>
      <c r="AA132" s="16">
        <v>0.22769855622838367</v>
      </c>
      <c r="AB132" s="15">
        <v>0.80762280341764636</v>
      </c>
      <c r="AC132" s="17">
        <v>2</v>
      </c>
      <c r="AD132" s="15"/>
      <c r="AE132" s="15"/>
      <c r="AF132" s="22" t="s">
        <v>5</v>
      </c>
      <c r="AG132" s="17">
        <f t="shared" si="20"/>
        <v>3511.5719028337353</v>
      </c>
      <c r="AH132" s="17">
        <v>768.46771731570686</v>
      </c>
      <c r="AI132" s="15">
        <f t="shared" si="21"/>
        <v>0.83601789361366818</v>
      </c>
      <c r="AJ132" s="17">
        <f t="shared" si="22"/>
        <v>2</v>
      </c>
      <c r="AK132" s="15">
        <f t="shared" si="23"/>
        <v>0.8964760272778769</v>
      </c>
      <c r="AL132" s="5">
        <v>6.1308999999999996</v>
      </c>
      <c r="AM132" s="5">
        <v>5.6441999999999997</v>
      </c>
      <c r="AN132" s="5">
        <f t="shared" si="24"/>
        <v>0.76972675927706968</v>
      </c>
      <c r="AO132" s="5">
        <f t="shared" si="25"/>
        <v>1.0488344921021784</v>
      </c>
      <c r="AP132" t="str">
        <f t="shared" si="26"/>
        <v>Classe 2</v>
      </c>
      <c r="AR132" s="15"/>
    </row>
    <row r="133" spans="1:44" ht="1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5"/>
        <v>8515.4</v>
      </c>
      <c r="M133" s="15"/>
      <c r="N133" s="15"/>
      <c r="O133" s="15"/>
      <c r="P133" s="15">
        <f t="shared" si="16"/>
        <v>223954257.21666667</v>
      </c>
      <c r="Q133" s="15"/>
      <c r="R133" s="15"/>
      <c r="S133" s="15">
        <v>1171.3517228287108</v>
      </c>
      <c r="T133" s="15">
        <v>460</v>
      </c>
      <c r="U133" s="15">
        <v>210000</v>
      </c>
      <c r="V133" s="15">
        <f t="shared" si="17"/>
        <v>3.3440715744546727</v>
      </c>
      <c r="W133" s="63">
        <v>2.9978799999999999</v>
      </c>
      <c r="X133" s="15">
        <f t="shared" si="18"/>
        <v>0.8964760272778769</v>
      </c>
      <c r="Y133" s="15">
        <f>'Global Only'!Y133</f>
        <v>0.1557479177030327</v>
      </c>
      <c r="Z133" s="15">
        <f t="shared" si="19"/>
        <v>0.13962427451921647</v>
      </c>
      <c r="AA133" s="16">
        <v>0.14598590221555394</v>
      </c>
      <c r="AB133" s="15">
        <v>0.80762280341764636</v>
      </c>
      <c r="AC133" s="17">
        <v>2.5</v>
      </c>
      <c r="AD133" s="15"/>
      <c r="AE133" s="15"/>
      <c r="AF133" s="22" t="s">
        <v>5</v>
      </c>
      <c r="AG133" s="17">
        <f t="shared" si="20"/>
        <v>3511.5719028337353</v>
      </c>
      <c r="AH133" s="17">
        <v>518.88194997923063</v>
      </c>
      <c r="AI133" s="15">
        <f t="shared" si="21"/>
        <v>0.53505145191274761</v>
      </c>
      <c r="AJ133" s="17">
        <f t="shared" si="22"/>
        <v>2.5</v>
      </c>
      <c r="AK133" s="15">
        <f t="shared" si="23"/>
        <v>0.8964760272778769</v>
      </c>
      <c r="AL133" s="5">
        <v>6.1308999999999996</v>
      </c>
      <c r="AM133" s="5">
        <v>5.6441999999999997</v>
      </c>
      <c r="AN133" s="5">
        <f t="shared" si="24"/>
        <v>0.76972675927706968</v>
      </c>
      <c r="AO133" s="5">
        <f t="shared" si="25"/>
        <v>1.0455624762831761</v>
      </c>
      <c r="AP133" t="str">
        <f t="shared" si="26"/>
        <v>Classe 2</v>
      </c>
      <c r="AR133" s="15"/>
    </row>
    <row r="134" spans="1:44" ht="1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5"/>
        <v>7396.4</v>
      </c>
      <c r="M134" s="15"/>
      <c r="N134" s="15"/>
      <c r="O134" s="15"/>
      <c r="P134" s="15">
        <f t="shared" si="16"/>
        <v>210980477.96666667</v>
      </c>
      <c r="Q134" s="15"/>
      <c r="R134" s="15"/>
      <c r="S134" s="15">
        <v>1019.7002240129958</v>
      </c>
      <c r="T134" s="15">
        <v>460</v>
      </c>
      <c r="U134" s="15">
        <v>210000</v>
      </c>
      <c r="V134" s="15">
        <f t="shared" si="17"/>
        <v>3.3366119962298231</v>
      </c>
      <c r="W134" s="63">
        <v>2.9071500000000001</v>
      </c>
      <c r="X134" s="15">
        <f t="shared" si="18"/>
        <v>0.87128800210660096</v>
      </c>
      <c r="Y134" s="15">
        <f>'Global Only'!Y134</f>
        <v>1.0479025550686092</v>
      </c>
      <c r="Z134" s="15">
        <f t="shared" si="19"/>
        <v>0.91302492360813092</v>
      </c>
      <c r="AA134" s="16"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20"/>
        <v>2964.421506239381</v>
      </c>
      <c r="AH134" s="17">
        <v>3229.3273047384764</v>
      </c>
      <c r="AI134" s="15">
        <f t="shared" si="21"/>
        <v>37.073466624775818</v>
      </c>
      <c r="AJ134" s="17">
        <f t="shared" si="22"/>
        <v>0.3</v>
      </c>
      <c r="AK134" s="15">
        <f t="shared" si="23"/>
        <v>0.87128800210660096</v>
      </c>
      <c r="AL134" s="56">
        <v>3.2757000000000001</v>
      </c>
      <c r="AM134" s="56">
        <v>3.0047999999999999</v>
      </c>
      <c r="AN134" s="56">
        <f t="shared" si="24"/>
        <v>1.0537681505147192</v>
      </c>
      <c r="AO134" s="5">
        <f t="shared" si="25"/>
        <v>0.93381950378779532</v>
      </c>
      <c r="AP134" t="str">
        <f t="shared" si="26"/>
        <v>Hors classe</v>
      </c>
      <c r="AR134" s="15"/>
    </row>
    <row r="135" spans="1:44" ht="1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27">2*C135*F135+(E135-2*F135)*H135</f>
        <v>7396.4</v>
      </c>
      <c r="M135" s="15"/>
      <c r="N135" s="15"/>
      <c r="O135" s="15"/>
      <c r="P135" s="15">
        <f t="shared" ref="P135:P198" si="28">(H135*(E135-2*F135)^3)/12 + (C135*F135^3)/6 + 2*C135*F135*(E135/2 - F135/2)^2</f>
        <v>210980477.96666667</v>
      </c>
      <c r="Q135" s="15"/>
      <c r="R135" s="15"/>
      <c r="S135" s="15">
        <v>1019.7002240129958</v>
      </c>
      <c r="T135" s="15">
        <v>460</v>
      </c>
      <c r="U135" s="15">
        <v>210000</v>
      </c>
      <c r="V135" s="15">
        <f t="shared" ref="V135:V198" si="29">L135*T135/(S135*1000)</f>
        <v>3.3366119962298231</v>
      </c>
      <c r="W135" s="63">
        <v>2.9071500000000001</v>
      </c>
      <c r="X135" s="15">
        <f t="shared" ref="X135:X198" si="30">AK135</f>
        <v>0.87128800210660096</v>
      </c>
      <c r="Y135" s="15">
        <f>'Global Only'!Y135</f>
        <v>1.0245809323630557</v>
      </c>
      <c r="Z135" s="15">
        <f t="shared" ref="Z135:Z198" si="31">X135*Y135</f>
        <v>0.89270507355512529</v>
      </c>
      <c r="AA135" s="16">
        <v>0.78084573151064163</v>
      </c>
      <c r="AB135" s="15">
        <v>1.1133153135475653</v>
      </c>
      <c r="AC135" s="17">
        <v>0.5</v>
      </c>
      <c r="AD135" s="15"/>
      <c r="AE135" s="15"/>
      <c r="AF135" s="22" t="s">
        <v>5</v>
      </c>
      <c r="AG135" s="17">
        <f t="shared" ref="AG135:AG198" si="32">W135*S135</f>
        <v>2964.421506239381</v>
      </c>
      <c r="AH135" s="17">
        <v>2868.1454738641041</v>
      </c>
      <c r="AI135" s="15">
        <f t="shared" ref="AI135:AI198" si="33">(PI()^2*U135*P135/K135^2)/(S135*1000)</f>
        <v>13.346447984919294</v>
      </c>
      <c r="AJ135" s="17">
        <f t="shared" ref="AJ135:AJ198" si="34">(V135/AI135)^0.5</f>
        <v>0.5</v>
      </c>
      <c r="AK135" s="15">
        <f t="shared" ref="AK135:AK198" si="35">W135/V135</f>
        <v>0.87128800210660096</v>
      </c>
      <c r="AL135" s="5">
        <v>3.2757000000000001</v>
      </c>
      <c r="AM135" s="5">
        <v>3.0047999999999999</v>
      </c>
      <c r="AN135" s="5">
        <f t="shared" ref="AN135:AN198" si="36">(V135/AM135)^0.5</f>
        <v>1.0537681505147192</v>
      </c>
      <c r="AO135" s="5">
        <f t="shared" ref="AO135:AO198" si="37">AA135/Z135</f>
        <v>0.87469619546463095</v>
      </c>
      <c r="AP135" t="str">
        <f t="shared" ref="AP135:AP152" si="38">IF(AND(AK135&gt;=1.03,AK135&lt;=1.15),"Classe 1",IF(AND(AK135&gt;=0.88,AK135&lt;=1.01),"Classe 2",IF(AND(AK135&gt;=0.8179,AK135&lt;=0.819),"Classe 3","Hors classe")))</f>
        <v>Hors classe</v>
      </c>
      <c r="AR135" s="15"/>
    </row>
    <row r="136" spans="1:44" ht="1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27"/>
        <v>7396.4</v>
      </c>
      <c r="M136" s="15"/>
      <c r="N136" s="15"/>
      <c r="O136" s="15"/>
      <c r="P136" s="15">
        <f t="shared" si="28"/>
        <v>210980477.96666667</v>
      </c>
      <c r="Q136" s="15"/>
      <c r="R136" s="15"/>
      <c r="S136" s="15">
        <v>1019.7002240129958</v>
      </c>
      <c r="T136" s="15">
        <v>460</v>
      </c>
      <c r="U136" s="15">
        <v>210000</v>
      </c>
      <c r="V136" s="15">
        <f t="shared" si="29"/>
        <v>3.3366119962298231</v>
      </c>
      <c r="W136" s="63">
        <v>2.9071500000000001</v>
      </c>
      <c r="X136" s="15">
        <f t="shared" si="30"/>
        <v>0.87128800210660096</v>
      </c>
      <c r="Y136" s="15">
        <f>'Global Only'!Y136</f>
        <v>0.87122406673706843</v>
      </c>
      <c r="Z136" s="15">
        <f t="shared" si="31"/>
        <v>0.75908707649452833</v>
      </c>
      <c r="AA136" s="16">
        <v>0.69538491287195825</v>
      </c>
      <c r="AB136" s="15">
        <v>1.1133153135475653</v>
      </c>
      <c r="AC136" s="17">
        <v>0.75</v>
      </c>
      <c r="AD136" s="15"/>
      <c r="AE136" s="15"/>
      <c r="AF136" s="22" t="s">
        <v>5</v>
      </c>
      <c r="AG136" s="17">
        <f t="shared" si="32"/>
        <v>2964.421506239381</v>
      </c>
      <c r="AH136" s="17">
        <v>2359.6485371855892</v>
      </c>
      <c r="AI136" s="15">
        <f t="shared" si="33"/>
        <v>5.9317546599641293</v>
      </c>
      <c r="AJ136" s="17">
        <f t="shared" si="34"/>
        <v>0.75000000000000011</v>
      </c>
      <c r="AK136" s="15">
        <f t="shared" si="35"/>
        <v>0.87128800210660096</v>
      </c>
      <c r="AL136" s="5">
        <v>3.2757000000000001</v>
      </c>
      <c r="AM136" s="5">
        <v>3.0047999999999999</v>
      </c>
      <c r="AN136" s="5">
        <f t="shared" si="36"/>
        <v>1.0537681505147192</v>
      </c>
      <c r="AO136" s="5">
        <f t="shared" si="37"/>
        <v>0.91608055835076618</v>
      </c>
      <c r="AP136" t="str">
        <f t="shared" si="38"/>
        <v>Hors classe</v>
      </c>
      <c r="AR136" s="15"/>
    </row>
    <row r="137" spans="1:44" ht="1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27"/>
        <v>7396.4</v>
      </c>
      <c r="M137" s="15"/>
      <c r="N137" s="15"/>
      <c r="O137" s="15"/>
      <c r="P137" s="15">
        <f t="shared" si="28"/>
        <v>210980477.96666667</v>
      </c>
      <c r="Q137" s="15"/>
      <c r="R137" s="15"/>
      <c r="S137" s="15">
        <v>1019.7002240129958</v>
      </c>
      <c r="T137" s="15">
        <v>460</v>
      </c>
      <c r="U137" s="15">
        <v>210000</v>
      </c>
      <c r="V137" s="15">
        <f t="shared" si="29"/>
        <v>3.3366119962298231</v>
      </c>
      <c r="W137" s="63">
        <v>2.9071500000000001</v>
      </c>
      <c r="X137" s="15">
        <f t="shared" si="30"/>
        <v>0.87128800210660096</v>
      </c>
      <c r="Y137" s="15">
        <f>'Global Only'!Y137</f>
        <v>0.74221252828537065</v>
      </c>
      <c r="Z137" s="15">
        <f t="shared" si="31"/>
        <v>0.64668087090824966</v>
      </c>
      <c r="AA137" s="16">
        <v>0.62768683256238933</v>
      </c>
      <c r="AB137" s="15">
        <v>1.1133153135475653</v>
      </c>
      <c r="AC137" s="17">
        <v>1</v>
      </c>
      <c r="AD137" s="15"/>
      <c r="AE137" s="15"/>
      <c r="AF137" s="22" t="s">
        <v>5</v>
      </c>
      <c r="AG137" s="17">
        <f t="shared" si="32"/>
        <v>2964.421506239381</v>
      </c>
      <c r="AH137" s="17">
        <v>1837.0583096408704</v>
      </c>
      <c r="AI137" s="15">
        <f t="shared" si="33"/>
        <v>3.3366119962298235</v>
      </c>
      <c r="AJ137" s="17">
        <f t="shared" si="34"/>
        <v>1</v>
      </c>
      <c r="AK137" s="15">
        <f t="shared" si="35"/>
        <v>0.87128800210660096</v>
      </c>
      <c r="AL137" s="5">
        <v>3.2757000000000001</v>
      </c>
      <c r="AM137" s="5">
        <v>3.0047999999999999</v>
      </c>
      <c r="AN137" s="5">
        <f t="shared" si="36"/>
        <v>1.0537681505147192</v>
      </c>
      <c r="AO137" s="5">
        <f t="shared" si="37"/>
        <v>0.97062842091001766</v>
      </c>
      <c r="AP137" t="str">
        <f t="shared" si="38"/>
        <v>Hors classe</v>
      </c>
      <c r="AR137" s="15"/>
    </row>
    <row r="138" spans="1:44" ht="1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27"/>
        <v>7396.4</v>
      </c>
      <c r="M138" s="15"/>
      <c r="N138" s="15"/>
      <c r="O138" s="15"/>
      <c r="P138" s="15">
        <f t="shared" si="28"/>
        <v>210980477.96666667</v>
      </c>
      <c r="Q138" s="15"/>
      <c r="R138" s="15"/>
      <c r="S138" s="15">
        <v>1019.7002240129958</v>
      </c>
      <c r="T138" s="15">
        <v>460</v>
      </c>
      <c r="U138" s="15">
        <v>210000</v>
      </c>
      <c r="V138" s="15">
        <f t="shared" si="29"/>
        <v>3.3366119962298231</v>
      </c>
      <c r="W138" s="63">
        <v>2.9071500000000001</v>
      </c>
      <c r="X138" s="15">
        <f t="shared" si="30"/>
        <v>0.87128800210660096</v>
      </c>
      <c r="Y138" s="15">
        <f>'Global Only'!Y138</f>
        <v>0.50822066149633049</v>
      </c>
      <c r="Z138" s="15">
        <f t="shared" si="31"/>
        <v>0.44280656478443292</v>
      </c>
      <c r="AA138" s="16">
        <v>0.47574226147040766</v>
      </c>
      <c r="AB138" s="15">
        <v>1.1133153135475653</v>
      </c>
      <c r="AC138" s="17">
        <v>1.33</v>
      </c>
      <c r="AD138" s="15"/>
      <c r="AE138" s="15"/>
      <c r="AF138" s="22" t="s">
        <v>5</v>
      </c>
      <c r="AG138" s="17">
        <f t="shared" si="32"/>
        <v>2964.421506239381</v>
      </c>
      <c r="AH138" s="17">
        <v>1280.6179037193911</v>
      </c>
      <c r="AI138" s="15">
        <f t="shared" si="33"/>
        <v>1.8862637776187592</v>
      </c>
      <c r="AJ138" s="17">
        <f t="shared" si="34"/>
        <v>1.33</v>
      </c>
      <c r="AK138" s="15">
        <f t="shared" si="35"/>
        <v>0.87128800210660096</v>
      </c>
      <c r="AL138" s="5">
        <v>3.2757000000000001</v>
      </c>
      <c r="AM138" s="5">
        <v>3.0047999999999999</v>
      </c>
      <c r="AN138" s="5">
        <f t="shared" si="36"/>
        <v>1.0537681505147192</v>
      </c>
      <c r="AO138" s="5">
        <f t="shared" si="37"/>
        <v>1.0743794227667074</v>
      </c>
      <c r="AP138" t="str">
        <f t="shared" si="38"/>
        <v>Hors classe</v>
      </c>
      <c r="AR138" s="15"/>
    </row>
    <row r="139" spans="1:44" ht="1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27"/>
        <v>7396.4</v>
      </c>
      <c r="M139" s="15"/>
      <c r="N139" s="15"/>
      <c r="O139" s="15"/>
      <c r="P139" s="15">
        <f t="shared" si="28"/>
        <v>210980477.96666667</v>
      </c>
      <c r="Q139" s="15"/>
      <c r="R139" s="15"/>
      <c r="S139" s="15">
        <v>1019.7002240129958</v>
      </c>
      <c r="T139" s="15">
        <v>460</v>
      </c>
      <c r="U139" s="15">
        <v>210000</v>
      </c>
      <c r="V139" s="15">
        <f t="shared" si="29"/>
        <v>3.3366119962298231</v>
      </c>
      <c r="W139" s="63">
        <v>2.9071500000000001</v>
      </c>
      <c r="X139" s="15">
        <f t="shared" si="30"/>
        <v>0.87128800210660096</v>
      </c>
      <c r="Y139" s="15">
        <f>'Global Only'!Y139</f>
        <v>0.33969081111913207</v>
      </c>
      <c r="Z139" s="15">
        <f t="shared" si="31"/>
        <v>0.29596852815395935</v>
      </c>
      <c r="AA139" s="16">
        <v>0.32337327550861483</v>
      </c>
      <c r="AB139" s="15">
        <v>1.1133153135475653</v>
      </c>
      <c r="AC139" s="17">
        <v>1.67</v>
      </c>
      <c r="AD139" s="15"/>
      <c r="AE139" s="15"/>
      <c r="AF139" s="22" t="s">
        <v>5</v>
      </c>
      <c r="AG139" s="17">
        <f t="shared" si="32"/>
        <v>2964.421506239381</v>
      </c>
      <c r="AH139" s="17">
        <v>902.64571388165109</v>
      </c>
      <c r="AI139" s="15">
        <f t="shared" si="33"/>
        <v>1.1963899731900836</v>
      </c>
      <c r="AJ139" s="17">
        <f t="shared" si="34"/>
        <v>1.6699999999999997</v>
      </c>
      <c r="AK139" s="15">
        <f t="shared" si="35"/>
        <v>0.87128800210660096</v>
      </c>
      <c r="AL139" s="5">
        <v>3.2757000000000001</v>
      </c>
      <c r="AM139" s="5">
        <v>3.0047999999999999</v>
      </c>
      <c r="AN139" s="5">
        <f t="shared" si="36"/>
        <v>1.0537681505147192</v>
      </c>
      <c r="AO139" s="5">
        <f t="shared" si="37"/>
        <v>1.0925934508158242</v>
      </c>
      <c r="AP139" t="str">
        <f t="shared" si="38"/>
        <v>Hors classe</v>
      </c>
      <c r="AR139" s="15"/>
    </row>
    <row r="140" spans="1:44" ht="1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27"/>
        <v>7396.4</v>
      </c>
      <c r="M140" s="15"/>
      <c r="N140" s="15"/>
      <c r="O140" s="15"/>
      <c r="P140" s="15">
        <f t="shared" si="28"/>
        <v>210980477.96666667</v>
      </c>
      <c r="Q140" s="15"/>
      <c r="R140" s="15"/>
      <c r="S140" s="15">
        <v>1019.7002240129958</v>
      </c>
      <c r="T140" s="15">
        <v>460</v>
      </c>
      <c r="U140" s="15">
        <v>210000</v>
      </c>
      <c r="V140" s="15">
        <f t="shared" si="29"/>
        <v>3.3366119962298231</v>
      </c>
      <c r="W140" s="63">
        <v>2.9071500000000001</v>
      </c>
      <c r="X140" s="15">
        <f t="shared" si="30"/>
        <v>0.87128800210660096</v>
      </c>
      <c r="Y140" s="15">
        <f>'Global Only'!Y140</f>
        <v>0.24132378887047165</v>
      </c>
      <c r="Z140" s="15">
        <f t="shared" si="31"/>
        <v>0.21026252186574843</v>
      </c>
      <c r="AA140" s="16">
        <v>0.22590655899468468</v>
      </c>
      <c r="AB140" s="15">
        <v>1.1133153135475653</v>
      </c>
      <c r="AC140" s="17">
        <v>2</v>
      </c>
      <c r="AD140" s="15"/>
      <c r="AE140" s="15"/>
      <c r="AF140" s="22" t="s">
        <v>5</v>
      </c>
      <c r="AG140" s="17">
        <f t="shared" si="32"/>
        <v>2964.421506239381</v>
      </c>
      <c r="AH140" s="17">
        <v>667.48416097351787</v>
      </c>
      <c r="AI140" s="15">
        <f t="shared" si="33"/>
        <v>0.83415299905745588</v>
      </c>
      <c r="AJ140" s="17">
        <f t="shared" si="34"/>
        <v>2</v>
      </c>
      <c r="AK140" s="15">
        <f t="shared" si="35"/>
        <v>0.87128800210660096</v>
      </c>
      <c r="AL140" s="5">
        <v>3.2757000000000001</v>
      </c>
      <c r="AM140" s="5">
        <v>3.0047999999999999</v>
      </c>
      <c r="AN140" s="5">
        <f t="shared" si="36"/>
        <v>1.0537681505147192</v>
      </c>
      <c r="AO140" s="5">
        <f t="shared" si="37"/>
        <v>1.0744024041475393</v>
      </c>
      <c r="AP140" t="str">
        <f t="shared" si="38"/>
        <v>Hors classe</v>
      </c>
      <c r="AR140" s="15"/>
    </row>
    <row r="141" spans="1:44" ht="1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27"/>
        <v>7396.4</v>
      </c>
      <c r="M141" s="15"/>
      <c r="N141" s="15"/>
      <c r="O141" s="15"/>
      <c r="P141" s="15">
        <f t="shared" si="28"/>
        <v>210980477.96666667</v>
      </c>
      <c r="Q141" s="15"/>
      <c r="R141" s="15"/>
      <c r="S141" s="15">
        <v>1019.7002240129958</v>
      </c>
      <c r="T141" s="15">
        <v>460</v>
      </c>
      <c r="U141" s="15">
        <v>210000</v>
      </c>
      <c r="V141" s="15">
        <f t="shared" si="29"/>
        <v>3.3366119962298231</v>
      </c>
      <c r="W141" s="63">
        <v>2.9071500000000001</v>
      </c>
      <c r="X141" s="15">
        <f t="shared" si="30"/>
        <v>0.87128800210660096</v>
      </c>
      <c r="Y141" s="15">
        <f>'Global Only'!Y141</f>
        <v>0.15521615979352593</v>
      </c>
      <c r="Z141" s="15">
        <f t="shared" si="31"/>
        <v>0.13523797776116014</v>
      </c>
      <c r="AA141" s="16">
        <v>0.14458440788181481</v>
      </c>
      <c r="AB141" s="15">
        <v>1.1133153135475653</v>
      </c>
      <c r="AC141" s="17">
        <v>2.5</v>
      </c>
      <c r="AD141" s="15"/>
      <c r="AE141" s="15"/>
      <c r="AF141" s="22" t="s">
        <v>5</v>
      </c>
      <c r="AG141" s="17">
        <f t="shared" si="32"/>
        <v>2964.421506239381</v>
      </c>
      <c r="AH141" s="17">
        <v>450.69620391600881</v>
      </c>
      <c r="AI141" s="15">
        <f t="shared" si="33"/>
        <v>0.53385791939677174</v>
      </c>
      <c r="AJ141" s="17">
        <f t="shared" si="34"/>
        <v>2.5</v>
      </c>
      <c r="AK141" s="15">
        <f t="shared" si="35"/>
        <v>0.87128800210660096</v>
      </c>
      <c r="AL141" s="5">
        <v>3.2757000000000001</v>
      </c>
      <c r="AM141" s="5">
        <v>3.0047999999999999</v>
      </c>
      <c r="AN141" s="5">
        <f t="shared" si="36"/>
        <v>1.0537681505147192</v>
      </c>
      <c r="AO141" s="5">
        <f t="shared" si="37"/>
        <v>1.0691109869829696</v>
      </c>
      <c r="AP141" t="str">
        <f t="shared" si="38"/>
        <v>Hors classe</v>
      </c>
      <c r="AR141" s="15"/>
    </row>
    <row r="142" spans="1:44" ht="1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27"/>
        <v>6687.7</v>
      </c>
      <c r="M142" s="15"/>
      <c r="N142" s="15"/>
      <c r="O142" s="15"/>
      <c r="P142" s="15">
        <f t="shared" si="28"/>
        <v>202763751.10833335</v>
      </c>
      <c r="Q142" s="15"/>
      <c r="R142" s="15"/>
      <c r="S142" s="15">
        <v>923.49092417162433</v>
      </c>
      <c r="T142" s="15">
        <v>460</v>
      </c>
      <c r="U142" s="15">
        <v>210000</v>
      </c>
      <c r="V142" s="15">
        <f t="shared" si="29"/>
        <v>3.3312097817956285</v>
      </c>
      <c r="W142" s="63">
        <v>2.8843999999999999</v>
      </c>
      <c r="X142" s="15">
        <f t="shared" si="30"/>
        <v>0.86587161690105752</v>
      </c>
      <c r="Y142" s="15">
        <f>'Global Only'!Y142</f>
        <v>1.1025409258387697</v>
      </c>
      <c r="Z142" s="15">
        <f t="shared" si="31"/>
        <v>0.95465889415560445</v>
      </c>
      <c r="AA142" s="16"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2"/>
        <v>2663.717221680633</v>
      </c>
      <c r="AH142" s="17">
        <v>2919.9032253392879</v>
      </c>
      <c r="AI142" s="15">
        <f t="shared" si="33"/>
        <v>37.013442019951427</v>
      </c>
      <c r="AJ142" s="17">
        <f t="shared" si="34"/>
        <v>0.30000000000000004</v>
      </c>
      <c r="AK142" s="15">
        <f t="shared" si="35"/>
        <v>0.86587161690105752</v>
      </c>
      <c r="AL142" s="56">
        <v>1.7927999999999999</v>
      </c>
      <c r="AM142" s="56">
        <v>1.6408</v>
      </c>
      <c r="AN142" s="56">
        <f t="shared" si="36"/>
        <v>1.4248631927699065</v>
      </c>
      <c r="AO142" s="5">
        <f t="shared" si="37"/>
        <v>0.88255840017168063</v>
      </c>
      <c r="AP142" t="str">
        <f t="shared" si="38"/>
        <v>Hors classe</v>
      </c>
      <c r="AR142" s="15"/>
    </row>
    <row r="143" spans="1:44" ht="1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27"/>
        <v>6687.7</v>
      </c>
      <c r="M143" s="15"/>
      <c r="N143" s="15"/>
      <c r="O143" s="15"/>
      <c r="P143" s="15">
        <f t="shared" si="28"/>
        <v>202763751.10833335</v>
      </c>
      <c r="Q143" s="15"/>
      <c r="R143" s="15"/>
      <c r="S143" s="15">
        <v>923.49092417162433</v>
      </c>
      <c r="T143" s="15">
        <v>460</v>
      </c>
      <c r="U143" s="15">
        <v>210000</v>
      </c>
      <c r="V143" s="15">
        <f t="shared" si="29"/>
        <v>3.3312097817956285</v>
      </c>
      <c r="W143" s="63">
        <v>2.8843999999999999</v>
      </c>
      <c r="X143" s="15">
        <f t="shared" si="30"/>
        <v>0.86587161690105752</v>
      </c>
      <c r="Y143" s="15">
        <f>'Global Only'!Y143</f>
        <v>1.0160594973200121</v>
      </c>
      <c r="Z143" s="15">
        <f t="shared" si="31"/>
        <v>0.87977707981215458</v>
      </c>
      <c r="AA143" s="16">
        <v>0.75777908837688568</v>
      </c>
      <c r="AB143" s="15">
        <v>1.5137471488237149</v>
      </c>
      <c r="AC143" s="17">
        <v>0.5</v>
      </c>
      <c r="AD143" s="15"/>
      <c r="AE143" s="15"/>
      <c r="AF143" s="22" t="s">
        <v>5</v>
      </c>
      <c r="AG143" s="17">
        <f t="shared" si="32"/>
        <v>2663.717221680633</v>
      </c>
      <c r="AH143" s="17">
        <v>2593.3287120167879</v>
      </c>
      <c r="AI143" s="15">
        <f t="shared" si="33"/>
        <v>13.324839127182516</v>
      </c>
      <c r="AJ143" s="17">
        <f t="shared" si="34"/>
        <v>0.5</v>
      </c>
      <c r="AK143" s="15">
        <f t="shared" si="35"/>
        <v>0.86587161690105752</v>
      </c>
      <c r="AL143" s="5">
        <v>1.7927999999999999</v>
      </c>
      <c r="AM143" s="5">
        <v>1.6408</v>
      </c>
      <c r="AN143" s="5">
        <f t="shared" si="36"/>
        <v>1.4248631927699065</v>
      </c>
      <c r="AO143" s="5">
        <f t="shared" si="37"/>
        <v>0.86133079136215129</v>
      </c>
      <c r="AP143" t="str">
        <f t="shared" si="38"/>
        <v>Hors classe</v>
      </c>
      <c r="AR143" s="15"/>
    </row>
    <row r="144" spans="1:44" ht="1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27"/>
        <v>6687.7</v>
      </c>
      <c r="M144" s="15"/>
      <c r="N144" s="15"/>
      <c r="O144" s="15"/>
      <c r="P144" s="15">
        <f t="shared" si="28"/>
        <v>202763751.10833335</v>
      </c>
      <c r="Q144" s="15"/>
      <c r="R144" s="15"/>
      <c r="S144" s="15">
        <v>923.49092417162433</v>
      </c>
      <c r="T144" s="15">
        <v>460</v>
      </c>
      <c r="U144" s="15">
        <v>210000</v>
      </c>
      <c r="V144" s="15">
        <f t="shared" si="29"/>
        <v>3.3312097817956285</v>
      </c>
      <c r="W144" s="63">
        <v>2.8843999999999999</v>
      </c>
      <c r="X144" s="15">
        <f t="shared" si="30"/>
        <v>0.86587161690105752</v>
      </c>
      <c r="Y144" s="15">
        <f>'Global Only'!Y144</f>
        <v>0.86766127249046365</v>
      </c>
      <c r="Z144" s="15">
        <f t="shared" si="31"/>
        <v>0.75128326893374686</v>
      </c>
      <c r="AA144" s="16">
        <v>0.6597371550875194</v>
      </c>
      <c r="AB144" s="15">
        <v>1.5137471488237149</v>
      </c>
      <c r="AC144" s="17">
        <v>0.75</v>
      </c>
      <c r="AD144" s="15"/>
      <c r="AE144" s="15"/>
      <c r="AF144" s="22" t="s">
        <v>5</v>
      </c>
      <c r="AG144" s="17">
        <f t="shared" si="32"/>
        <v>2663.717221680633</v>
      </c>
      <c r="AH144" s="17">
        <v>2133.5543672781446</v>
      </c>
      <c r="AI144" s="15">
        <f t="shared" si="33"/>
        <v>5.9221507231922281</v>
      </c>
      <c r="AJ144" s="17">
        <f t="shared" si="34"/>
        <v>0.75</v>
      </c>
      <c r="AK144" s="15">
        <f t="shared" si="35"/>
        <v>0.86587161690105752</v>
      </c>
      <c r="AL144" s="5">
        <v>1.7927999999999999</v>
      </c>
      <c r="AM144" s="5">
        <v>1.6408</v>
      </c>
      <c r="AN144" s="5">
        <f t="shared" si="36"/>
        <v>1.4248631927699065</v>
      </c>
      <c r="AO144" s="5">
        <f t="shared" si="37"/>
        <v>0.87814700841647442</v>
      </c>
      <c r="AP144" t="str">
        <f t="shared" si="38"/>
        <v>Hors classe</v>
      </c>
      <c r="AR144" s="15"/>
    </row>
    <row r="145" spans="1:44" ht="1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27"/>
        <v>6687.7</v>
      </c>
      <c r="M145" s="15"/>
      <c r="N145" s="15"/>
      <c r="O145" s="15"/>
      <c r="P145" s="15">
        <f t="shared" si="28"/>
        <v>202763751.10833335</v>
      </c>
      <c r="Q145" s="15"/>
      <c r="R145" s="15"/>
      <c r="S145" s="15">
        <v>923.49092417162433</v>
      </c>
      <c r="T145" s="15">
        <v>460</v>
      </c>
      <c r="U145" s="15">
        <v>210000</v>
      </c>
      <c r="V145" s="15">
        <f t="shared" si="29"/>
        <v>3.3312097817956285</v>
      </c>
      <c r="W145" s="63">
        <v>2.8843999999999999</v>
      </c>
      <c r="X145" s="15">
        <f t="shared" si="30"/>
        <v>0.86587161690105752</v>
      </c>
      <c r="Y145" s="15">
        <f>'Global Only'!Y145</f>
        <v>0.74140107706160008</v>
      </c>
      <c r="Z145" s="15">
        <f t="shared" si="31"/>
        <v>0.64195814936751316</v>
      </c>
      <c r="AA145" s="16">
        <v>0.59830180801793298</v>
      </c>
      <c r="AB145" s="15">
        <v>1.5137471488237149</v>
      </c>
      <c r="AC145" s="17">
        <v>1</v>
      </c>
      <c r="AD145" s="15"/>
      <c r="AE145" s="15"/>
      <c r="AF145" s="22" t="s">
        <v>5</v>
      </c>
      <c r="AG145" s="17">
        <f t="shared" si="32"/>
        <v>2663.717221680633</v>
      </c>
      <c r="AH145" s="17">
        <v>1661.0371068878442</v>
      </c>
      <c r="AI145" s="15">
        <f t="shared" si="33"/>
        <v>3.331209781795629</v>
      </c>
      <c r="AJ145" s="17">
        <f t="shared" si="34"/>
        <v>1</v>
      </c>
      <c r="AK145" s="15">
        <f>W145/V145</f>
        <v>0.86587161690105752</v>
      </c>
      <c r="AL145" s="5">
        <v>1.7927999999999999</v>
      </c>
      <c r="AM145" s="5">
        <v>1.6408</v>
      </c>
      <c r="AN145" s="5">
        <f t="shared" si="36"/>
        <v>1.4248631927699065</v>
      </c>
      <c r="AO145" s="5">
        <f t="shared" si="37"/>
        <v>0.93199503520191707</v>
      </c>
      <c r="AP145" t="str">
        <f t="shared" si="38"/>
        <v>Hors classe</v>
      </c>
      <c r="AR145" s="15"/>
    </row>
    <row r="146" spans="1:44" ht="1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27"/>
        <v>6687.7</v>
      </c>
      <c r="M146" s="15"/>
      <c r="N146" s="15"/>
      <c r="O146" s="15"/>
      <c r="P146" s="15">
        <f t="shared" si="28"/>
        <v>202763751.10833335</v>
      </c>
      <c r="Q146" s="15"/>
      <c r="R146" s="15"/>
      <c r="S146" s="15">
        <v>923.49092417162433</v>
      </c>
      <c r="T146" s="15">
        <v>460</v>
      </c>
      <c r="U146" s="15">
        <v>210000</v>
      </c>
      <c r="V146" s="15">
        <f t="shared" si="29"/>
        <v>3.3312097817956285</v>
      </c>
      <c r="W146" s="63">
        <v>2.8843999999999999</v>
      </c>
      <c r="X146" s="15">
        <f t="shared" si="30"/>
        <v>0.86587161690105752</v>
      </c>
      <c r="Y146" s="15">
        <f>'Global Only'!Y146</f>
        <v>0.50719794839329879</v>
      </c>
      <c r="Z146" s="15">
        <f t="shared" si="31"/>
        <v>0.43916830766420473</v>
      </c>
      <c r="AA146" s="16">
        <v>0.4629524329379649</v>
      </c>
      <c r="AB146" s="15">
        <v>1.5137471488237149</v>
      </c>
      <c r="AC146" s="17">
        <v>1.33</v>
      </c>
      <c r="AD146" s="15"/>
      <c r="AE146" s="15"/>
      <c r="AF146" s="22" t="s">
        <v>5</v>
      </c>
      <c r="AG146" s="17">
        <f t="shared" si="32"/>
        <v>2663.717221680633</v>
      </c>
      <c r="AH146" s="17">
        <v>1157.9130867319466</v>
      </c>
      <c r="AI146" s="15">
        <f t="shared" si="33"/>
        <v>1.883209781104431</v>
      </c>
      <c r="AJ146" s="17">
        <f t="shared" si="34"/>
        <v>1.33</v>
      </c>
      <c r="AK146" s="15">
        <f t="shared" si="35"/>
        <v>0.86587161690105752</v>
      </c>
      <c r="AL146" s="5">
        <v>1.7927999999999999</v>
      </c>
      <c r="AM146" s="5">
        <v>1.6408</v>
      </c>
      <c r="AN146" s="5">
        <f t="shared" si="36"/>
        <v>1.4248631927699065</v>
      </c>
      <c r="AO146" s="5">
        <f t="shared" si="37"/>
        <v>1.0541571986381719</v>
      </c>
      <c r="AP146" t="str">
        <f t="shared" si="38"/>
        <v>Hors classe</v>
      </c>
      <c r="AR146" s="15"/>
    </row>
    <row r="147" spans="1:44" ht="1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27"/>
        <v>6687.7</v>
      </c>
      <c r="M147" s="15"/>
      <c r="N147" s="15"/>
      <c r="O147" s="15"/>
      <c r="P147" s="15">
        <f t="shared" si="28"/>
        <v>202763751.10833335</v>
      </c>
      <c r="Q147" s="15"/>
      <c r="R147" s="15"/>
      <c r="S147" s="15">
        <v>923.49092417162433</v>
      </c>
      <c r="T147" s="15">
        <v>460</v>
      </c>
      <c r="U147" s="15">
        <v>210000</v>
      </c>
      <c r="V147" s="15">
        <f t="shared" si="29"/>
        <v>3.3312097817956285</v>
      </c>
      <c r="W147" s="63">
        <v>2.8843999999999999</v>
      </c>
      <c r="X147" s="15">
        <f t="shared" si="30"/>
        <v>0.86587161690105752</v>
      </c>
      <c r="Y147" s="15">
        <f>'Global Only'!Y147</f>
        <v>0.33876528917086041</v>
      </c>
      <c r="Z147" s="15">
        <f t="shared" si="31"/>
        <v>0.29332724868432719</v>
      </c>
      <c r="AA147" s="16">
        <v>0.32112503791764563</v>
      </c>
      <c r="AB147" s="15">
        <v>1.5137471488237149</v>
      </c>
      <c r="AC147" s="17">
        <v>1.67</v>
      </c>
      <c r="AD147" s="15"/>
      <c r="AE147" s="15"/>
      <c r="AF147" s="22" t="s">
        <v>5</v>
      </c>
      <c r="AG147" s="17">
        <f t="shared" si="32"/>
        <v>2663.717221680633</v>
      </c>
      <c r="AH147" s="17">
        <v>816.15701432133437</v>
      </c>
      <c r="AI147" s="15">
        <f t="shared" si="33"/>
        <v>1.1944529319070707</v>
      </c>
      <c r="AJ147" s="17">
        <f t="shared" si="34"/>
        <v>1.6699999999999997</v>
      </c>
      <c r="AK147" s="15">
        <f t="shared" si="35"/>
        <v>0.86587161690105752</v>
      </c>
      <c r="AL147" s="5">
        <v>1.7927999999999999</v>
      </c>
      <c r="AM147" s="5">
        <v>1.6408</v>
      </c>
      <c r="AN147" s="5">
        <f t="shared" si="36"/>
        <v>1.4248631927699065</v>
      </c>
      <c r="AO147" s="5">
        <f t="shared" si="37"/>
        <v>1.0947671563347796</v>
      </c>
      <c r="AP147" t="str">
        <f t="shared" si="38"/>
        <v>Hors classe</v>
      </c>
      <c r="AR147" s="15"/>
    </row>
    <row r="148" spans="1:44" ht="1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27"/>
        <v>6687.7</v>
      </c>
      <c r="M148" s="15"/>
      <c r="N148" s="15"/>
      <c r="O148" s="15"/>
      <c r="P148" s="15">
        <f t="shared" si="28"/>
        <v>202763751.10833335</v>
      </c>
      <c r="Q148" s="15"/>
      <c r="R148" s="15"/>
      <c r="S148" s="15">
        <v>923.49092417162433</v>
      </c>
      <c r="T148" s="15">
        <v>460</v>
      </c>
      <c r="U148" s="15">
        <v>210000</v>
      </c>
      <c r="V148" s="15">
        <f t="shared" si="29"/>
        <v>3.3312097817956285</v>
      </c>
      <c r="W148" s="63">
        <v>2.8843999999999999</v>
      </c>
      <c r="X148" s="15">
        <f t="shared" si="30"/>
        <v>0.86587161690105752</v>
      </c>
      <c r="Y148" s="15">
        <f>'Global Only'!Y148</f>
        <v>0.2406197699384961</v>
      </c>
      <c r="Z148" s="15">
        <f t="shared" si="31"/>
        <v>0.20834582925500608</v>
      </c>
      <c r="AA148" s="16">
        <v>0.22445367916054396</v>
      </c>
      <c r="AB148" s="15">
        <v>1.5137471488237149</v>
      </c>
      <c r="AC148" s="17">
        <v>2</v>
      </c>
      <c r="AD148" s="15"/>
      <c r="AE148" s="15"/>
      <c r="AF148" s="22" t="s">
        <v>5</v>
      </c>
      <c r="AG148" s="17">
        <f t="shared" si="32"/>
        <v>2663.717221680633</v>
      </c>
      <c r="AH148" s="17">
        <v>603.5279086234649</v>
      </c>
      <c r="AI148" s="15">
        <f t="shared" si="33"/>
        <v>0.83280244544890725</v>
      </c>
      <c r="AJ148" s="17">
        <f t="shared" si="34"/>
        <v>2</v>
      </c>
      <c r="AK148" s="15">
        <f t="shared" si="35"/>
        <v>0.86587161690105752</v>
      </c>
      <c r="AL148" s="5">
        <v>1.7927999999999999</v>
      </c>
      <c r="AM148" s="5">
        <v>1.6408</v>
      </c>
      <c r="AN148" s="5">
        <f t="shared" si="36"/>
        <v>1.4248631927699065</v>
      </c>
      <c r="AO148" s="5">
        <f t="shared" si="37"/>
        <v>1.077313042277523</v>
      </c>
      <c r="AP148" t="str">
        <f t="shared" si="38"/>
        <v>Hors classe</v>
      </c>
      <c r="AR148" s="15"/>
    </row>
    <row r="149" spans="1:44" ht="1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27"/>
        <v>6687.7</v>
      </c>
      <c r="M149" s="15"/>
      <c r="N149" s="15"/>
      <c r="O149" s="15"/>
      <c r="P149" s="15">
        <f t="shared" si="28"/>
        <v>202763751.10833335</v>
      </c>
      <c r="Q149" s="15"/>
      <c r="R149" s="15"/>
      <c r="S149" s="15">
        <v>923.49092417162433</v>
      </c>
      <c r="T149" s="15">
        <v>460</v>
      </c>
      <c r="U149" s="15">
        <v>210000</v>
      </c>
      <c r="V149" s="15">
        <f t="shared" si="29"/>
        <v>3.3312097817956285</v>
      </c>
      <c r="W149" s="63">
        <v>2.8843999999999999</v>
      </c>
      <c r="X149" s="15">
        <f t="shared" si="30"/>
        <v>0.86587161690105752</v>
      </c>
      <c r="Y149" s="15">
        <f>'Global Only'!Y149</f>
        <v>0.15479832297352913</v>
      </c>
      <c r="Z149" s="15">
        <f t="shared" si="31"/>
        <v>0.13403547420666179</v>
      </c>
      <c r="AA149" s="16">
        <v>0.14351370103057309</v>
      </c>
      <c r="AB149" s="15">
        <v>1.5137471488237149</v>
      </c>
      <c r="AC149" s="17">
        <v>2.5</v>
      </c>
      <c r="AD149" s="15"/>
      <c r="AE149" s="15"/>
      <c r="AF149" s="22" t="s">
        <v>5</v>
      </c>
      <c r="AG149" s="17">
        <f t="shared" si="32"/>
        <v>2663.717221680633</v>
      </c>
      <c r="AH149" s="17">
        <v>407.5118980759683</v>
      </c>
      <c r="AI149" s="15">
        <f t="shared" si="33"/>
        <v>0.53299356508730045</v>
      </c>
      <c r="AJ149" s="17">
        <f t="shared" si="34"/>
        <v>2.5000000000000004</v>
      </c>
      <c r="AK149" s="15">
        <f t="shared" si="35"/>
        <v>0.86587161690105752</v>
      </c>
      <c r="AL149" s="5">
        <v>1.7927999999999999</v>
      </c>
      <c r="AM149" s="5">
        <v>1.6408</v>
      </c>
      <c r="AN149" s="5">
        <f t="shared" si="36"/>
        <v>1.4248631927699065</v>
      </c>
      <c r="AO149" s="5">
        <f t="shared" si="37"/>
        <v>1.070714315594522</v>
      </c>
      <c r="AP149" t="str">
        <f t="shared" si="38"/>
        <v>Hors classe</v>
      </c>
      <c r="AR149" s="15"/>
    </row>
    <row r="150" spans="1:44" ht="1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27"/>
        <v>20570.9912</v>
      </c>
      <c r="M150" s="15"/>
      <c r="N150" s="15"/>
      <c r="O150" s="15"/>
      <c r="P150" s="15">
        <f t="shared" si="28"/>
        <v>329069787.7671777</v>
      </c>
      <c r="Q150" s="15"/>
      <c r="R150" s="15"/>
      <c r="S150" s="15">
        <v>2835.7762185721595</v>
      </c>
      <c r="T150" s="15">
        <v>460</v>
      </c>
      <c r="U150" s="15">
        <v>210000</v>
      </c>
      <c r="V150" s="15">
        <f t="shared" si="29"/>
        <v>3.336883880338251</v>
      </c>
      <c r="W150" s="63">
        <v>3.45092</v>
      </c>
      <c r="X150" s="15">
        <f t="shared" si="30"/>
        <v>1.0341744345176882</v>
      </c>
      <c r="Y150" s="15">
        <f>'Global Only'!Y150</f>
        <v>1.0778820661299613</v>
      </c>
      <c r="Z150" s="15">
        <f t="shared" si="31"/>
        <v>1.1147180762167102</v>
      </c>
      <c r="AA150" s="16"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2"/>
        <v>9786.0368681950367</v>
      </c>
      <c r="AH150" s="17">
        <v>8981.4590297570321</v>
      </c>
      <c r="AI150" s="15">
        <f t="shared" si="33"/>
        <v>37.076487559313918</v>
      </c>
      <c r="AJ150" s="17">
        <f t="shared" si="34"/>
        <v>0.29999999999999993</v>
      </c>
      <c r="AK150" s="15">
        <f t="shared" si="35"/>
        <v>1.0341744345176882</v>
      </c>
      <c r="AL150" s="56">
        <v>29.24</v>
      </c>
      <c r="AM150" s="56">
        <v>26.817</v>
      </c>
      <c r="AN150" s="56">
        <f t="shared" si="36"/>
        <v>0.35274872362356979</v>
      </c>
      <c r="AO150" s="5">
        <f t="shared" si="37"/>
        <v>0.88689489105344699</v>
      </c>
      <c r="AP150" t="str">
        <f t="shared" si="38"/>
        <v>Classe 1</v>
      </c>
      <c r="AR150" s="15"/>
    </row>
    <row r="151" spans="1:44" ht="1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27"/>
        <v>20570.9912</v>
      </c>
      <c r="M151" s="15"/>
      <c r="N151" s="15"/>
      <c r="O151" s="15"/>
      <c r="P151" s="15">
        <f t="shared" si="28"/>
        <v>329069787.7671777</v>
      </c>
      <c r="Q151" s="15"/>
      <c r="R151" s="15"/>
      <c r="S151" s="15">
        <v>2835.7762185721595</v>
      </c>
      <c r="T151" s="15">
        <v>460</v>
      </c>
      <c r="U151" s="15">
        <v>210000</v>
      </c>
      <c r="V151" s="15">
        <f t="shared" si="29"/>
        <v>3.336883880338251</v>
      </c>
      <c r="W151" s="63">
        <v>3.45092</v>
      </c>
      <c r="X151" s="15">
        <f t="shared" si="30"/>
        <v>1.0341744345176882</v>
      </c>
      <c r="Y151" s="15">
        <f>'Global Only'!Y151</f>
        <v>1.013708756618483</v>
      </c>
      <c r="Z151" s="15">
        <f t="shared" si="31"/>
        <v>1.0483516801415484</v>
      </c>
      <c r="AA151" s="16">
        <v>0.86436205715155112</v>
      </c>
      <c r="AB151" s="15">
        <v>0.35499999999999998</v>
      </c>
      <c r="AC151" s="17">
        <v>0.5</v>
      </c>
      <c r="AD151" s="15"/>
      <c r="AE151" s="15"/>
      <c r="AF151" s="22" t="s">
        <v>5</v>
      </c>
      <c r="AG151" s="17">
        <f t="shared" si="32"/>
        <v>9786.0368681950367</v>
      </c>
      <c r="AH151" s="17">
        <v>7976.9340899867948</v>
      </c>
      <c r="AI151" s="15">
        <f t="shared" si="33"/>
        <v>13.347535521353009</v>
      </c>
      <c r="AJ151" s="17">
        <f t="shared" si="34"/>
        <v>0.49999999999999989</v>
      </c>
      <c r="AK151" s="15">
        <f t="shared" si="35"/>
        <v>1.0341744345176882</v>
      </c>
      <c r="AL151" s="5">
        <v>29.24</v>
      </c>
      <c r="AM151" s="5">
        <v>26.817</v>
      </c>
      <c r="AN151" s="5">
        <f t="shared" si="36"/>
        <v>0.35274872362356979</v>
      </c>
      <c r="AO151" s="5">
        <f t="shared" si="37"/>
        <v>0.82449627689330829</v>
      </c>
      <c r="AP151" t="str">
        <f t="shared" si="38"/>
        <v>Classe 1</v>
      </c>
      <c r="AR151" s="15"/>
    </row>
    <row r="152" spans="1:44" ht="1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27"/>
        <v>20570.9912</v>
      </c>
      <c r="M152" s="15"/>
      <c r="N152" s="15"/>
      <c r="O152" s="15"/>
      <c r="P152" s="15">
        <f t="shared" si="28"/>
        <v>329069787.7671777</v>
      </c>
      <c r="Q152" s="15"/>
      <c r="R152" s="15"/>
      <c r="S152" s="15">
        <v>2835.7762185721595</v>
      </c>
      <c r="T152" s="15">
        <v>460</v>
      </c>
      <c r="U152" s="15">
        <v>210000</v>
      </c>
      <c r="V152" s="15">
        <f t="shared" si="29"/>
        <v>3.336883880338251</v>
      </c>
      <c r="W152" s="63">
        <v>3.45092</v>
      </c>
      <c r="X152" s="15">
        <f t="shared" si="30"/>
        <v>1.0341744345176882</v>
      </c>
      <c r="Y152" s="15">
        <f>'Global Only'!Y152</f>
        <v>0.87829813540246293</v>
      </c>
      <c r="Z152" s="15">
        <f t="shared" si="31"/>
        <v>0.90831347751778202</v>
      </c>
      <c r="AA152" s="16">
        <v>0.73845548892546398</v>
      </c>
      <c r="AB152" s="15">
        <v>0.35499999999999998</v>
      </c>
      <c r="AC152" s="17">
        <v>0.75</v>
      </c>
      <c r="AD152" s="15"/>
      <c r="AE152" s="15"/>
      <c r="AF152" s="22" t="s">
        <v>5</v>
      </c>
      <c r="AG152" s="17">
        <f t="shared" si="32"/>
        <v>9786.0368681950367</v>
      </c>
      <c r="AH152" s="17">
        <v>6562.6939177894164</v>
      </c>
      <c r="AI152" s="15">
        <f t="shared" si="33"/>
        <v>5.9322380094902263</v>
      </c>
      <c r="AJ152" s="17">
        <f t="shared" si="34"/>
        <v>0.74999999999999989</v>
      </c>
      <c r="AK152" s="15">
        <f t="shared" si="35"/>
        <v>1.0341744345176882</v>
      </c>
      <c r="AL152" s="5">
        <v>29.24</v>
      </c>
      <c r="AM152" s="5">
        <v>26.817</v>
      </c>
      <c r="AN152" s="5">
        <f t="shared" si="36"/>
        <v>0.35274872362356979</v>
      </c>
      <c r="AO152" s="5">
        <f t="shared" si="37"/>
        <v>0.81299629170261567</v>
      </c>
      <c r="AP152" t="str">
        <f t="shared" si="38"/>
        <v>Classe 1</v>
      </c>
      <c r="AR152" s="15"/>
    </row>
    <row r="153" spans="1:44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27"/>
        <v>20570.9912</v>
      </c>
      <c r="M153" s="15"/>
      <c r="N153" s="15"/>
      <c r="O153" s="15"/>
      <c r="P153" s="15">
        <f t="shared" si="28"/>
        <v>329069787.7671777</v>
      </c>
      <c r="Q153" s="15"/>
      <c r="R153" s="15"/>
      <c r="S153" s="15">
        <v>2835.7762185721595</v>
      </c>
      <c r="T153" s="15">
        <v>460</v>
      </c>
      <c r="U153" s="15">
        <v>210000</v>
      </c>
      <c r="V153" s="15">
        <f t="shared" si="29"/>
        <v>3.336883880338251</v>
      </c>
      <c r="W153" s="63">
        <v>3.45092</v>
      </c>
      <c r="X153" s="15">
        <f t="shared" si="30"/>
        <v>1.0341744345176882</v>
      </c>
      <c r="Y153" s="15">
        <f>'Global Only'!Y153</f>
        <v>0.7476396868504378</v>
      </c>
      <c r="Z153" s="15">
        <f t="shared" si="31"/>
        <v>0.77318985037153298</v>
      </c>
      <c r="AA153" s="16">
        <v>0.65219389366661218</v>
      </c>
      <c r="AB153" s="15">
        <v>0.35499999999999998</v>
      </c>
      <c r="AC153" s="17">
        <v>1</v>
      </c>
      <c r="AD153" s="15"/>
      <c r="AE153" s="15"/>
      <c r="AF153" s="22" t="s">
        <v>5</v>
      </c>
      <c r="AG153" s="17">
        <f t="shared" si="32"/>
        <v>9786.0368681950367</v>
      </c>
      <c r="AH153" s="17">
        <v>5109.2572496767662</v>
      </c>
      <c r="AI153" s="15">
        <f t="shared" si="33"/>
        <v>3.3368838803382523</v>
      </c>
      <c r="AJ153" s="17">
        <f t="shared" si="34"/>
        <v>0.99999999999999978</v>
      </c>
      <c r="AK153" s="15">
        <f t="shared" si="35"/>
        <v>1.0341744345176882</v>
      </c>
      <c r="AL153" s="5">
        <v>29.24</v>
      </c>
      <c r="AM153" s="5">
        <v>26.817</v>
      </c>
      <c r="AN153" s="5">
        <f t="shared" si="36"/>
        <v>0.35274872362356979</v>
      </c>
      <c r="AO153" s="5">
        <f t="shared" si="37"/>
        <v>0.84351067639237653</v>
      </c>
      <c r="AR153" s="15"/>
    </row>
    <row r="154" spans="1:44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27"/>
        <v>20570.9912</v>
      </c>
      <c r="M154" s="15"/>
      <c r="N154" s="15"/>
      <c r="O154" s="15"/>
      <c r="P154" s="15">
        <f t="shared" si="28"/>
        <v>329069787.7671777</v>
      </c>
      <c r="Q154" s="15"/>
      <c r="R154" s="15"/>
      <c r="S154" s="15">
        <v>2835.7762185721595</v>
      </c>
      <c r="T154" s="15">
        <v>460</v>
      </c>
      <c r="U154" s="15">
        <v>210000</v>
      </c>
      <c r="V154" s="15">
        <f t="shared" si="29"/>
        <v>3.336883880338251</v>
      </c>
      <c r="W154" s="63">
        <v>3.45092</v>
      </c>
      <c r="X154" s="15">
        <f t="shared" si="30"/>
        <v>1.0341744345176882</v>
      </c>
      <c r="Y154" s="15">
        <f>'Global Only'!Y154</f>
        <v>0.51010477648740427</v>
      </c>
      <c r="Z154" s="15">
        <f t="shared" si="31"/>
        <v>0.52753731876863308</v>
      </c>
      <c r="AA154" s="16">
        <v>0.48031274589510142</v>
      </c>
      <c r="AB154" s="15">
        <v>0.35499999999999998</v>
      </c>
      <c r="AC154" s="17">
        <v>1.33</v>
      </c>
      <c r="AD154" s="15"/>
      <c r="AE154" s="15"/>
      <c r="AF154" s="22" t="s">
        <v>5</v>
      </c>
      <c r="AG154" s="17">
        <f t="shared" si="32"/>
        <v>9786.0368681950367</v>
      </c>
      <c r="AH154" s="17">
        <v>3561.6759001641408</v>
      </c>
      <c r="AI154" s="15">
        <f t="shared" si="33"/>
        <v>1.8864174799809217</v>
      </c>
      <c r="AJ154" s="17">
        <f t="shared" si="34"/>
        <v>1.3299999999999996</v>
      </c>
      <c r="AK154" s="15">
        <f t="shared" si="35"/>
        <v>1.0341744345176882</v>
      </c>
      <c r="AL154" s="5">
        <v>29.24</v>
      </c>
      <c r="AM154" s="5">
        <v>26.817</v>
      </c>
      <c r="AN154" s="5">
        <f t="shared" si="36"/>
        <v>0.35274872362356979</v>
      </c>
      <c r="AO154" s="5">
        <f t="shared" si="37"/>
        <v>0.91048107651651589</v>
      </c>
      <c r="AR154" s="15"/>
    </row>
    <row r="155" spans="1:44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27"/>
        <v>20570.9912</v>
      </c>
      <c r="M155" s="15"/>
      <c r="N155" s="15"/>
      <c r="O155" s="15"/>
      <c r="P155" s="15">
        <f t="shared" si="28"/>
        <v>329069787.7671777</v>
      </c>
      <c r="Q155" s="15"/>
      <c r="R155" s="15"/>
      <c r="S155" s="15">
        <v>2835.7762185721595</v>
      </c>
      <c r="T155" s="15">
        <v>460</v>
      </c>
      <c r="U155" s="15">
        <v>210000</v>
      </c>
      <c r="V155" s="15">
        <f t="shared" si="29"/>
        <v>3.336883880338251</v>
      </c>
      <c r="W155" s="63">
        <v>3.45092</v>
      </c>
      <c r="X155" s="15">
        <f t="shared" si="30"/>
        <v>1.0341744345176882</v>
      </c>
      <c r="Y155" s="15">
        <f>'Global Only'!Y155</f>
        <v>0.34092105036732595</v>
      </c>
      <c r="Z155" s="15">
        <f t="shared" si="31"/>
        <v>0.35257183447880563</v>
      </c>
      <c r="AA155" s="16">
        <v>0.32458001665656599</v>
      </c>
      <c r="AB155" s="15">
        <v>0.35499999999999998</v>
      </c>
      <c r="AC155" s="17">
        <v>1.67</v>
      </c>
      <c r="AD155" s="15"/>
      <c r="AE155" s="15"/>
      <c r="AF155" s="22" t="s">
        <v>5</v>
      </c>
      <c r="AG155" s="17">
        <f t="shared" si="32"/>
        <v>9786.0368681950367</v>
      </c>
      <c r="AH155" s="17">
        <v>2510.4533336457143</v>
      </c>
      <c r="AI155" s="15">
        <f t="shared" si="33"/>
        <v>1.1964874611274168</v>
      </c>
      <c r="AJ155" s="17">
        <f t="shared" si="34"/>
        <v>1.6699999999999995</v>
      </c>
      <c r="AK155" s="15">
        <f t="shared" si="35"/>
        <v>1.0341744345176882</v>
      </c>
      <c r="AL155" s="5">
        <v>29.24</v>
      </c>
      <c r="AM155" s="5">
        <v>26.817</v>
      </c>
      <c r="AN155" s="5">
        <f t="shared" si="36"/>
        <v>0.35274872362356979</v>
      </c>
      <c r="AO155" s="5">
        <f t="shared" si="37"/>
        <v>0.92060676694830446</v>
      </c>
      <c r="AR155" s="15"/>
    </row>
    <row r="156" spans="1:44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27"/>
        <v>20570.9912</v>
      </c>
      <c r="M156" s="15"/>
      <c r="N156" s="15"/>
      <c r="O156" s="15"/>
      <c r="P156" s="15">
        <f t="shared" si="28"/>
        <v>329069787.7671777</v>
      </c>
      <c r="Q156" s="15"/>
      <c r="R156" s="15"/>
      <c r="S156" s="15">
        <v>2835.7762185721595</v>
      </c>
      <c r="T156" s="15">
        <v>460</v>
      </c>
      <c r="U156" s="15">
        <v>210000</v>
      </c>
      <c r="V156" s="15">
        <f t="shared" si="29"/>
        <v>3.336883880338251</v>
      </c>
      <c r="W156" s="63">
        <v>3.45092</v>
      </c>
      <c r="X156" s="15">
        <f t="shared" si="30"/>
        <v>1.0341744345176882</v>
      </c>
      <c r="Y156" s="15">
        <f>'Global Only'!Y156</f>
        <v>0.24252106947453211</v>
      </c>
      <c r="Z156" s="15">
        <f t="shared" si="31"/>
        <v>0.25080908988244921</v>
      </c>
      <c r="AA156" s="16">
        <v>0.22608592687544291</v>
      </c>
      <c r="AB156" s="15">
        <v>0.35499999999999998</v>
      </c>
      <c r="AC156" s="17">
        <v>2</v>
      </c>
      <c r="AD156" s="15"/>
      <c r="AE156" s="15"/>
      <c r="AF156" s="22" t="s">
        <v>5</v>
      </c>
      <c r="AG156" s="17">
        <f t="shared" si="32"/>
        <v>9786.0368681950367</v>
      </c>
      <c r="AH156" s="17">
        <v>1856.4180954958663</v>
      </c>
      <c r="AI156" s="15">
        <f t="shared" si="33"/>
        <v>0.83422097008456308</v>
      </c>
      <c r="AJ156" s="17">
        <f t="shared" si="34"/>
        <v>1.9999999999999996</v>
      </c>
      <c r="AK156" s="15">
        <f t="shared" si="35"/>
        <v>1.0341744345176882</v>
      </c>
      <c r="AL156" s="5">
        <v>29.24</v>
      </c>
      <c r="AM156" s="5">
        <v>26.817</v>
      </c>
      <c r="AN156" s="5">
        <f t="shared" si="36"/>
        <v>0.35274872362356979</v>
      </c>
      <c r="AO156" s="5">
        <f t="shared" si="37"/>
        <v>0.90142636768629991</v>
      </c>
      <c r="AR156" s="15"/>
    </row>
    <row r="157" spans="1:44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27"/>
        <v>20570.9912</v>
      </c>
      <c r="M157" s="15"/>
      <c r="N157" s="15"/>
      <c r="O157" s="15"/>
      <c r="P157" s="15">
        <f t="shared" si="28"/>
        <v>329069787.7671777</v>
      </c>
      <c r="Q157" s="15"/>
      <c r="R157" s="15"/>
      <c r="S157" s="15">
        <v>2835.7762185721595</v>
      </c>
      <c r="T157" s="15">
        <v>460</v>
      </c>
      <c r="U157" s="15">
        <v>210000</v>
      </c>
      <c r="V157" s="15">
        <f t="shared" si="29"/>
        <v>3.336883880338251</v>
      </c>
      <c r="W157" s="63">
        <v>3.45092</v>
      </c>
      <c r="X157" s="15">
        <f t="shared" si="30"/>
        <v>1.0341744345176882</v>
      </c>
      <c r="Y157" s="15">
        <f>'Global Only'!Y157</f>
        <v>0.15625734556509394</v>
      </c>
      <c r="Z157" s="15">
        <f t="shared" si="31"/>
        <v>0.16159735198901601</v>
      </c>
      <c r="AA157" s="16">
        <v>0.14445042759714194</v>
      </c>
      <c r="AB157" s="15">
        <v>0.35499999999999998</v>
      </c>
      <c r="AC157" s="17">
        <v>2.5</v>
      </c>
      <c r="AD157" s="15"/>
      <c r="AE157" s="15"/>
      <c r="AF157" s="22" t="s">
        <v>5</v>
      </c>
      <c r="AG157" s="17">
        <f t="shared" si="32"/>
        <v>9786.0368681950367</v>
      </c>
      <c r="AH157" s="17">
        <v>1253.4838089651214</v>
      </c>
      <c r="AI157" s="15">
        <f t="shared" si="33"/>
        <v>0.5339014208541204</v>
      </c>
      <c r="AJ157" s="17">
        <f t="shared" si="34"/>
        <v>2.4999999999999996</v>
      </c>
      <c r="AK157" s="15">
        <f t="shared" si="35"/>
        <v>1.0341744345176882</v>
      </c>
      <c r="AL157" s="5">
        <v>29.24</v>
      </c>
      <c r="AM157" s="5">
        <v>26.817</v>
      </c>
      <c r="AN157" s="5">
        <f t="shared" si="36"/>
        <v>0.35274872362356979</v>
      </c>
      <c r="AO157" s="5">
        <f t="shared" si="37"/>
        <v>0.89389105588166096</v>
      </c>
      <c r="AR157" s="15"/>
    </row>
    <row r="158" spans="1:44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27"/>
        <v>14282</v>
      </c>
      <c r="M158" s="15"/>
      <c r="N158" s="15"/>
      <c r="O158" s="15"/>
      <c r="P158" s="15">
        <f t="shared" si="28"/>
        <v>241867800.66666666</v>
      </c>
      <c r="Q158" s="15"/>
      <c r="R158" s="15"/>
      <c r="S158" s="15">
        <v>1971.8096784881695</v>
      </c>
      <c r="T158" s="15">
        <v>460</v>
      </c>
      <c r="U158" s="15">
        <v>210000</v>
      </c>
      <c r="V158" s="15">
        <f t="shared" si="29"/>
        <v>3.3318225748020218</v>
      </c>
      <c r="W158" s="63">
        <v>3.3235100000000002</v>
      </c>
      <c r="X158" s="15">
        <f t="shared" si="30"/>
        <v>0.99750509680050548</v>
      </c>
      <c r="Y158" s="15">
        <f>'Global Only'!Y158</f>
        <v>1.1775995334512621</v>
      </c>
      <c r="Z158" s="15">
        <f t="shared" si="31"/>
        <v>1.1746615366075313</v>
      </c>
      <c r="AA158" s="16"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2"/>
        <v>6553.3291845522172</v>
      </c>
      <c r="AH158" s="17">
        <v>6235.6352504292518</v>
      </c>
      <c r="AI158" s="15">
        <f t="shared" si="33"/>
        <v>37.020250831133566</v>
      </c>
      <c r="AJ158" s="17">
        <f t="shared" si="34"/>
        <v>0.30000000000000004</v>
      </c>
      <c r="AK158" s="15">
        <f t="shared" si="35"/>
        <v>0.99750509680050548</v>
      </c>
      <c r="AL158" s="56">
        <v>14.43</v>
      </c>
      <c r="AM158" s="56">
        <v>13.205</v>
      </c>
      <c r="AN158" s="56">
        <f t="shared" si="36"/>
        <v>0.50230989157260186</v>
      </c>
      <c r="AO158" s="5">
        <f t="shared" si="37"/>
        <v>0.81704944393013079</v>
      </c>
      <c r="AR158" s="15"/>
    </row>
    <row r="159" spans="1:44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27"/>
        <v>14282</v>
      </c>
      <c r="M159" s="15"/>
      <c r="N159" s="15"/>
      <c r="O159" s="15"/>
      <c r="P159" s="15">
        <f t="shared" si="28"/>
        <v>241867800.66666666</v>
      </c>
      <c r="Q159" s="15"/>
      <c r="R159" s="15"/>
      <c r="S159" s="15">
        <v>1971.8096784881695</v>
      </c>
      <c r="T159" s="15">
        <v>460</v>
      </c>
      <c r="U159" s="15">
        <v>210000</v>
      </c>
      <c r="V159" s="15">
        <f t="shared" si="29"/>
        <v>3.3318225748020218</v>
      </c>
      <c r="W159" s="63">
        <v>3.3235100000000002</v>
      </c>
      <c r="X159" s="15">
        <f t="shared" si="30"/>
        <v>0.99750509680050548</v>
      </c>
      <c r="Y159" s="15">
        <f>'Global Only'!Y159</f>
        <v>1.0182271885406846</v>
      </c>
      <c r="Z159" s="15">
        <f t="shared" si="31"/>
        <v>1.0156868102701821</v>
      </c>
      <c r="AA159" s="16">
        <v>0.85019739929735672</v>
      </c>
      <c r="AB159" s="15">
        <v>0.50316512905442312</v>
      </c>
      <c r="AC159" s="17">
        <v>0.5</v>
      </c>
      <c r="AD159" s="15"/>
      <c r="AE159" s="15"/>
      <c r="AF159" s="22" t="s">
        <v>5</v>
      </c>
      <c r="AG159" s="17">
        <f t="shared" si="32"/>
        <v>6553.3291845522172</v>
      </c>
      <c r="AH159" s="17">
        <v>5538.2150313297197</v>
      </c>
      <c r="AI159" s="15">
        <f t="shared" si="33"/>
        <v>13.327290299208084</v>
      </c>
      <c r="AJ159" s="17">
        <f t="shared" si="34"/>
        <v>0.5</v>
      </c>
      <c r="AK159" s="15">
        <f t="shared" si="35"/>
        <v>0.99750509680050548</v>
      </c>
      <c r="AL159" s="5">
        <v>14.43</v>
      </c>
      <c r="AM159" s="5">
        <v>13.205</v>
      </c>
      <c r="AN159" s="5">
        <f t="shared" si="36"/>
        <v>0.50230989157260186</v>
      </c>
      <c r="AO159" s="5">
        <f t="shared" si="37"/>
        <v>0.8370664959912163</v>
      </c>
      <c r="AR159" s="15"/>
    </row>
    <row r="160" spans="1:44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27"/>
        <v>14282</v>
      </c>
      <c r="M160" s="15"/>
      <c r="N160" s="15"/>
      <c r="O160" s="15"/>
      <c r="P160" s="15">
        <f t="shared" si="28"/>
        <v>241867800.66666666</v>
      </c>
      <c r="Q160" s="15"/>
      <c r="R160" s="15"/>
      <c r="S160" s="15">
        <v>1971.8096784881695</v>
      </c>
      <c r="T160" s="15">
        <v>460</v>
      </c>
      <c r="U160" s="15">
        <v>210000</v>
      </c>
      <c r="V160" s="15">
        <f t="shared" si="29"/>
        <v>3.3318225748020218</v>
      </c>
      <c r="W160" s="63">
        <v>3.3235100000000002</v>
      </c>
      <c r="X160" s="15">
        <f t="shared" si="30"/>
        <v>0.99750509680050548</v>
      </c>
      <c r="Y160" s="15">
        <f>'Global Only'!Y160</f>
        <v>0.87849827011820647</v>
      </c>
      <c r="Z160" s="15">
        <f t="shared" si="31"/>
        <v>0.87630650197333815</v>
      </c>
      <c r="AA160" s="16">
        <v>0.72851018062529138</v>
      </c>
      <c r="AB160" s="15">
        <v>0.50316512905442312</v>
      </c>
      <c r="AC160" s="17">
        <v>0.75</v>
      </c>
      <c r="AD160" s="15"/>
      <c r="AE160" s="15"/>
      <c r="AF160" s="22" t="s">
        <v>5</v>
      </c>
      <c r="AG160" s="17">
        <f t="shared" si="32"/>
        <v>6553.3291845522172</v>
      </c>
      <c r="AH160" s="17">
        <v>4556.3382737662359</v>
      </c>
      <c r="AI160" s="15">
        <f t="shared" si="33"/>
        <v>5.9232401329813715</v>
      </c>
      <c r="AJ160" s="17">
        <f t="shared" si="34"/>
        <v>0.75000000000000011</v>
      </c>
      <c r="AK160" s="15">
        <f t="shared" si="35"/>
        <v>0.99750509680050548</v>
      </c>
      <c r="AL160" s="5">
        <v>14.43</v>
      </c>
      <c r="AM160" s="5">
        <v>13.205</v>
      </c>
      <c r="AN160" s="5">
        <f t="shared" si="36"/>
        <v>0.50230989157260186</v>
      </c>
      <c r="AO160" s="5">
        <f t="shared" si="37"/>
        <v>0.83134174970147201</v>
      </c>
      <c r="AR160" s="15"/>
    </row>
    <row r="161" spans="1:44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27"/>
        <v>14282</v>
      </c>
      <c r="M161" s="15"/>
      <c r="N161" s="15"/>
      <c r="O161" s="15"/>
      <c r="P161" s="15">
        <f t="shared" si="28"/>
        <v>241867800.66666666</v>
      </c>
      <c r="Q161" s="15"/>
      <c r="R161" s="15"/>
      <c r="S161" s="15">
        <v>1971.8096784881695</v>
      </c>
      <c r="T161" s="15">
        <v>460</v>
      </c>
      <c r="U161" s="15">
        <v>210000</v>
      </c>
      <c r="V161" s="15">
        <f t="shared" si="29"/>
        <v>3.3318225748020218</v>
      </c>
      <c r="W161" s="63">
        <v>3.3235100000000002</v>
      </c>
      <c r="X161" s="15">
        <f t="shared" si="30"/>
        <v>0.99750509680050548</v>
      </c>
      <c r="Y161" s="15">
        <f>'Global Only'!Y161</f>
        <v>0.74608311976909802</v>
      </c>
      <c r="Z161" s="15">
        <f t="shared" si="31"/>
        <v>0.74422171460649722</v>
      </c>
      <c r="AA161" s="16">
        <v>0.6397228448206761</v>
      </c>
      <c r="AB161" s="15">
        <v>0.50316512905442312</v>
      </c>
      <c r="AC161" s="17">
        <v>1</v>
      </c>
      <c r="AD161" s="15"/>
      <c r="AE161" s="15"/>
      <c r="AF161" s="22" t="s">
        <v>5</v>
      </c>
      <c r="AG161" s="17">
        <f t="shared" si="32"/>
        <v>6553.3291845522172</v>
      </c>
      <c r="AH161" s="17">
        <v>3547.2482259330095</v>
      </c>
      <c r="AI161" s="15">
        <f t="shared" si="33"/>
        <v>3.3318225748020209</v>
      </c>
      <c r="AJ161" s="17">
        <f t="shared" si="34"/>
        <v>1</v>
      </c>
      <c r="AK161" s="15">
        <f t="shared" si="35"/>
        <v>0.99750509680050548</v>
      </c>
      <c r="AL161" s="5">
        <v>14.43</v>
      </c>
      <c r="AM161" s="5">
        <v>13.205</v>
      </c>
      <c r="AN161" s="5">
        <f t="shared" si="36"/>
        <v>0.50230989157260186</v>
      </c>
      <c r="AO161" s="5">
        <f t="shared" si="37"/>
        <v>0.8595863736103504</v>
      </c>
      <c r="AR161" s="15"/>
    </row>
    <row r="162" spans="1:44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27"/>
        <v>14282</v>
      </c>
      <c r="M162" s="15"/>
      <c r="N162" s="15"/>
      <c r="O162" s="15"/>
      <c r="P162" s="15">
        <f t="shared" si="28"/>
        <v>241867800.66666666</v>
      </c>
      <c r="Q162" s="15"/>
      <c r="R162" s="15"/>
      <c r="S162" s="15">
        <v>1971.8096784881695</v>
      </c>
      <c r="T162" s="15">
        <v>460</v>
      </c>
      <c r="U162" s="15">
        <v>210000</v>
      </c>
      <c r="V162" s="15">
        <f t="shared" si="29"/>
        <v>3.3318225748020218</v>
      </c>
      <c r="W162" s="63">
        <v>3.3235100000000002</v>
      </c>
      <c r="X162" s="15">
        <f t="shared" si="30"/>
        <v>0.99750509680050548</v>
      </c>
      <c r="Y162" s="15">
        <f>'Global Only'!Y162</f>
        <v>0.50925412868036102</v>
      </c>
      <c r="Z162" s="15">
        <f t="shared" si="31"/>
        <v>0.50798358892536055</v>
      </c>
      <c r="AA162" s="16">
        <v>0.47313117060378251</v>
      </c>
      <c r="AB162" s="15">
        <v>0.50316512905442312</v>
      </c>
      <c r="AC162" s="17">
        <v>1.33</v>
      </c>
      <c r="AD162" s="15"/>
      <c r="AE162" s="15"/>
      <c r="AF162" s="22" t="s">
        <v>5</v>
      </c>
      <c r="AG162" s="17">
        <f t="shared" si="32"/>
        <v>6553.3291845522172</v>
      </c>
      <c r="AH162" s="17">
        <v>2472.7955357904307</v>
      </c>
      <c r="AI162" s="15">
        <f t="shared" si="33"/>
        <v>1.8835562071355201</v>
      </c>
      <c r="AJ162" s="17">
        <f t="shared" si="34"/>
        <v>1.33</v>
      </c>
      <c r="AK162" s="15">
        <f t="shared" si="35"/>
        <v>0.99750509680050548</v>
      </c>
      <c r="AL162" s="5">
        <v>14.43</v>
      </c>
      <c r="AM162" s="5">
        <v>13.205</v>
      </c>
      <c r="AN162" s="5">
        <f t="shared" si="36"/>
        <v>0.50230989157260186</v>
      </c>
      <c r="AO162" s="5">
        <f t="shared" si="37"/>
        <v>0.93139066087684375</v>
      </c>
      <c r="AR162" s="15"/>
    </row>
    <row r="163" spans="1:44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27"/>
        <v>14282</v>
      </c>
      <c r="M163" s="15"/>
      <c r="N163" s="15"/>
      <c r="O163" s="15"/>
      <c r="P163" s="15">
        <f t="shared" si="28"/>
        <v>241867800.66666666</v>
      </c>
      <c r="Q163" s="15"/>
      <c r="R163" s="15"/>
      <c r="S163" s="15">
        <v>1971.8096784881695</v>
      </c>
      <c r="T163" s="15">
        <v>460</v>
      </c>
      <c r="U163" s="15">
        <v>210000</v>
      </c>
      <c r="V163" s="15">
        <f t="shared" si="29"/>
        <v>3.3318225748020218</v>
      </c>
      <c r="W163" s="63">
        <v>3.3235100000000002</v>
      </c>
      <c r="X163" s="15">
        <f t="shared" si="30"/>
        <v>0.99750509680050548</v>
      </c>
      <c r="Y163" s="15">
        <f>'Global Only'!Y163</f>
        <v>0.34020170529860377</v>
      </c>
      <c r="Z163" s="15">
        <f t="shared" si="31"/>
        <v>0.33935293497558078</v>
      </c>
      <c r="AA163" s="16">
        <v>0.32138351702031603</v>
      </c>
      <c r="AB163" s="15">
        <v>0.50316512905442312</v>
      </c>
      <c r="AC163" s="17">
        <v>1.67</v>
      </c>
      <c r="AD163" s="15"/>
      <c r="AE163" s="15"/>
      <c r="AF163" s="22" t="s">
        <v>5</v>
      </c>
      <c r="AG163" s="17">
        <f t="shared" si="32"/>
        <v>6553.3291845522172</v>
      </c>
      <c r="AH163" s="17">
        <v>1742.9541514328239</v>
      </c>
      <c r="AI163" s="15">
        <f t="shared" si="33"/>
        <v>1.1946726576076667</v>
      </c>
      <c r="AJ163" s="17">
        <f t="shared" si="34"/>
        <v>1.67</v>
      </c>
      <c r="AK163" s="15">
        <f t="shared" si="35"/>
        <v>0.99750509680050548</v>
      </c>
      <c r="AL163" s="5">
        <v>14.43</v>
      </c>
      <c r="AM163" s="5">
        <v>13.205</v>
      </c>
      <c r="AN163" s="5">
        <f t="shared" si="36"/>
        <v>0.50230989157260186</v>
      </c>
      <c r="AO163" s="5">
        <f t="shared" si="37"/>
        <v>0.94704799604412504</v>
      </c>
      <c r="AR163" s="15"/>
    </row>
    <row r="164" spans="1:44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27"/>
        <v>14282</v>
      </c>
      <c r="M164" s="15"/>
      <c r="N164" s="15"/>
      <c r="O164" s="15"/>
      <c r="P164" s="15">
        <f t="shared" si="28"/>
        <v>241867800.66666666</v>
      </c>
      <c r="Q164" s="15"/>
      <c r="R164" s="15"/>
      <c r="S164" s="15">
        <v>1971.8096784881695</v>
      </c>
      <c r="T164" s="15">
        <v>460</v>
      </c>
      <c r="U164" s="15">
        <v>210000</v>
      </c>
      <c r="V164" s="15">
        <f t="shared" si="29"/>
        <v>3.3318225748020218</v>
      </c>
      <c r="W164" s="63">
        <v>3.3235100000000002</v>
      </c>
      <c r="X164" s="15">
        <f t="shared" si="30"/>
        <v>0.99750509680050548</v>
      </c>
      <c r="Y164" s="15">
        <f>'Global Only'!Y164</f>
        <v>0.24186077146349108</v>
      </c>
      <c r="Z164" s="15">
        <f t="shared" si="31"/>
        <v>0.24125735225093461</v>
      </c>
      <c r="AA164" s="16">
        <v>0.22407868818483392</v>
      </c>
      <c r="AB164" s="15">
        <v>0.50316512905442312</v>
      </c>
      <c r="AC164" s="17">
        <v>2</v>
      </c>
      <c r="AD164" s="15"/>
      <c r="AE164" s="15"/>
      <c r="AF164" s="22" t="s">
        <v>5</v>
      </c>
      <c r="AG164" s="17">
        <f t="shared" si="32"/>
        <v>6553.3291845522172</v>
      </c>
      <c r="AH164" s="17">
        <v>1288.8714492217537</v>
      </c>
      <c r="AI164" s="15">
        <f t="shared" si="33"/>
        <v>0.83295564370050523</v>
      </c>
      <c r="AJ164" s="17">
        <f t="shared" si="34"/>
        <v>2</v>
      </c>
      <c r="AK164" s="15">
        <f t="shared" si="35"/>
        <v>0.99750509680050548</v>
      </c>
      <c r="AL164" s="5">
        <v>14.43</v>
      </c>
      <c r="AM164" s="5">
        <v>13.205</v>
      </c>
      <c r="AN164" s="5">
        <f t="shared" si="36"/>
        <v>0.50230989157260186</v>
      </c>
      <c r="AO164" s="5">
        <f t="shared" si="37"/>
        <v>0.92879527232714976</v>
      </c>
      <c r="AR164" s="15"/>
    </row>
    <row r="165" spans="1:44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27"/>
        <v>14282</v>
      </c>
      <c r="M165" s="15"/>
      <c r="N165" s="15"/>
      <c r="O165" s="15"/>
      <c r="P165" s="15">
        <f t="shared" si="28"/>
        <v>241867800.66666666</v>
      </c>
      <c r="Q165" s="15"/>
      <c r="R165" s="15"/>
      <c r="S165" s="15">
        <v>1971.8096784881695</v>
      </c>
      <c r="T165" s="15">
        <v>460</v>
      </c>
      <c r="U165" s="15">
        <v>210000</v>
      </c>
      <c r="V165" s="15">
        <f t="shared" si="29"/>
        <v>3.3318225748020218</v>
      </c>
      <c r="W165" s="63">
        <v>3.3235100000000002</v>
      </c>
      <c r="X165" s="15">
        <f t="shared" si="30"/>
        <v>0.99750509680050548</v>
      </c>
      <c r="Y165" s="15">
        <f>'Global Only'!Y165</f>
        <v>0.15573429258933713</v>
      </c>
      <c r="Z165" s="15">
        <f t="shared" si="31"/>
        <v>0.15534575060448497</v>
      </c>
      <c r="AA165" s="16">
        <v>0.14320789292318417</v>
      </c>
      <c r="AB165" s="15">
        <v>0.50316512905442312</v>
      </c>
      <c r="AC165" s="17">
        <v>2.5</v>
      </c>
      <c r="AD165" s="15"/>
      <c r="AE165" s="15"/>
      <c r="AF165" s="22" t="s">
        <v>5</v>
      </c>
      <c r="AG165" s="17">
        <f t="shared" si="32"/>
        <v>6553.3291845522172</v>
      </c>
      <c r="AH165" s="17">
        <v>870.26704671575874</v>
      </c>
      <c r="AI165" s="15">
        <f t="shared" si="33"/>
        <v>0.53309161196832344</v>
      </c>
      <c r="AJ165" s="17">
        <f t="shared" si="34"/>
        <v>2.5</v>
      </c>
      <c r="AK165" s="15">
        <f t="shared" si="35"/>
        <v>0.99750509680050548</v>
      </c>
      <c r="AL165" s="5">
        <v>14.43</v>
      </c>
      <c r="AM165" s="5">
        <v>13.205</v>
      </c>
      <c r="AN165" s="5">
        <f t="shared" si="36"/>
        <v>0.50230989157260186</v>
      </c>
      <c r="AO165" s="5">
        <f t="shared" si="37"/>
        <v>0.92186553134495353</v>
      </c>
      <c r="AR165" s="15"/>
    </row>
    <row r="166" spans="1:44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27"/>
        <v>12053.0592</v>
      </c>
      <c r="M166" s="15"/>
      <c r="N166" s="15"/>
      <c r="O166" s="15"/>
      <c r="P166" s="15">
        <f t="shared" si="28"/>
        <v>208183005.02490622</v>
      </c>
      <c r="Q166" s="15"/>
      <c r="R166" s="15"/>
      <c r="S166" s="15">
        <v>1664.9337341733371</v>
      </c>
      <c r="T166" s="15">
        <v>460</v>
      </c>
      <c r="U166" s="15">
        <v>210000</v>
      </c>
      <c r="V166" s="15">
        <f t="shared" si="29"/>
        <v>3.3301068494193706</v>
      </c>
      <c r="W166" s="63">
        <v>3.1391399999999998</v>
      </c>
      <c r="X166" s="15">
        <f t="shared" si="30"/>
        <v>0.9426544378140097</v>
      </c>
      <c r="Y166" s="15">
        <f>'Global Only'!Y166</f>
        <v>1.2483083323127451</v>
      </c>
      <c r="Z166" s="15">
        <f t="shared" si="31"/>
        <v>1.1767233892148148</v>
      </c>
      <c r="AA166" s="16"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2"/>
        <v>5226.4600822928896</v>
      </c>
      <c r="AH166" s="17">
        <v>5262.4618977055443</v>
      </c>
      <c r="AI166" s="15">
        <f t="shared" si="33"/>
        <v>37.001187215770784</v>
      </c>
      <c r="AJ166" s="17">
        <f t="shared" si="34"/>
        <v>0.3</v>
      </c>
      <c r="AK166" s="15">
        <f t="shared" si="35"/>
        <v>0.9426544378140097</v>
      </c>
      <c r="AL166" s="56">
        <v>10.167</v>
      </c>
      <c r="AM166" s="56">
        <v>9.2965999999999998</v>
      </c>
      <c r="AN166" s="56">
        <f t="shared" si="36"/>
        <v>0.59850393707821425</v>
      </c>
      <c r="AO166" s="5">
        <f t="shared" si="37"/>
        <v>0.77313522039521076</v>
      </c>
      <c r="AR166" s="15"/>
    </row>
    <row r="167" spans="1:44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27"/>
        <v>12053.0592</v>
      </c>
      <c r="M167" s="15"/>
      <c r="N167" s="15"/>
      <c r="O167" s="15"/>
      <c r="P167" s="15">
        <f t="shared" si="28"/>
        <v>208183005.02490622</v>
      </c>
      <c r="Q167" s="15"/>
      <c r="R167" s="15"/>
      <c r="S167" s="15">
        <v>1664.9337341733371</v>
      </c>
      <c r="T167" s="15">
        <v>460</v>
      </c>
      <c r="U167" s="15">
        <v>210000</v>
      </c>
      <c r="V167" s="15">
        <f t="shared" si="29"/>
        <v>3.3301068494193706</v>
      </c>
      <c r="W167" s="63">
        <v>3.1391399999999998</v>
      </c>
      <c r="X167" s="15">
        <f t="shared" si="30"/>
        <v>0.9426544378140097</v>
      </c>
      <c r="Y167" s="15">
        <f>'Global Only'!Y167</f>
        <v>1.021748482501377</v>
      </c>
      <c r="Z167" s="15">
        <f t="shared" si="31"/>
        <v>0.96315574135965298</v>
      </c>
      <c r="AA167" s="16">
        <v>0.82414415937067409</v>
      </c>
      <c r="AB167" s="15">
        <v>0.60092698120307431</v>
      </c>
      <c r="AC167" s="17">
        <v>0.5</v>
      </c>
      <c r="AD167" s="15"/>
      <c r="AE167" s="15"/>
      <c r="AF167" s="22" t="s">
        <v>5</v>
      </c>
      <c r="AG167" s="17">
        <f t="shared" si="32"/>
        <v>5226.4600822928896</v>
      </c>
      <c r="AH167" s="17">
        <v>4673.8855646931079</v>
      </c>
      <c r="AI167" s="15">
        <f t="shared" si="33"/>
        <v>13.320427397677483</v>
      </c>
      <c r="AJ167" s="17">
        <f t="shared" si="34"/>
        <v>0.5</v>
      </c>
      <c r="AK167" s="15">
        <f t="shared" si="35"/>
        <v>0.9426544378140097</v>
      </c>
      <c r="AL167" s="5">
        <v>10.167</v>
      </c>
      <c r="AM167" s="5">
        <v>9.2965999999999998</v>
      </c>
      <c r="AN167" s="5">
        <f t="shared" si="36"/>
        <v>0.59850393707821425</v>
      </c>
      <c r="AO167" s="5">
        <f t="shared" si="37"/>
        <v>0.85567071240966586</v>
      </c>
      <c r="AR167" s="15"/>
    </row>
    <row r="168" spans="1:44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27"/>
        <v>12053.0592</v>
      </c>
      <c r="M168" s="15"/>
      <c r="N168" s="15"/>
      <c r="O168" s="15"/>
      <c r="P168" s="15">
        <f t="shared" si="28"/>
        <v>208183005.02490622</v>
      </c>
      <c r="Q168" s="15"/>
      <c r="R168" s="15"/>
      <c r="S168" s="15">
        <v>1664.9337341733371</v>
      </c>
      <c r="T168" s="15">
        <v>460</v>
      </c>
      <c r="U168" s="15">
        <v>210000</v>
      </c>
      <c r="V168" s="15">
        <f t="shared" si="29"/>
        <v>3.3301068494193706</v>
      </c>
      <c r="W168" s="63">
        <v>3.1391399999999998</v>
      </c>
      <c r="X168" s="15">
        <f t="shared" si="30"/>
        <v>0.9426544378140097</v>
      </c>
      <c r="Y168" s="15">
        <f>'Global Only'!Y168</f>
        <v>0.87982193338668913</v>
      </c>
      <c r="Z168" s="15">
        <f t="shared" si="31"/>
        <v>0.82936804999306457</v>
      </c>
      <c r="AA168" s="16">
        <v>0.7175721248737571</v>
      </c>
      <c r="AB168" s="15">
        <v>0.60092698120307431</v>
      </c>
      <c r="AC168" s="17">
        <v>0.75</v>
      </c>
      <c r="AD168" s="15"/>
      <c r="AE168" s="15"/>
      <c r="AF168" s="22" t="s">
        <v>5</v>
      </c>
      <c r="AG168" s="17">
        <f t="shared" si="32"/>
        <v>5226.4600822928896</v>
      </c>
      <c r="AH168" s="17">
        <v>3845.2468105958719</v>
      </c>
      <c r="AI168" s="15">
        <f t="shared" si="33"/>
        <v>5.920189954523325</v>
      </c>
      <c r="AJ168" s="17">
        <f t="shared" si="34"/>
        <v>0.75000000000000011</v>
      </c>
      <c r="AK168" s="15">
        <f t="shared" si="35"/>
        <v>0.9426544378140097</v>
      </c>
      <c r="AL168" s="5">
        <v>10.167</v>
      </c>
      <c r="AM168" s="5">
        <v>9.2965999999999998</v>
      </c>
      <c r="AN168" s="5">
        <f t="shared" si="36"/>
        <v>0.59850393707821425</v>
      </c>
      <c r="AO168" s="5">
        <f t="shared" si="37"/>
        <v>0.86520348219316823</v>
      </c>
      <c r="AR168" s="15"/>
    </row>
    <row r="169" spans="1:44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27"/>
        <v>12053.0592</v>
      </c>
      <c r="M169" s="15"/>
      <c r="N169" s="15"/>
      <c r="O169" s="15"/>
      <c r="P169" s="15">
        <f t="shared" si="28"/>
        <v>208183005.02490622</v>
      </c>
      <c r="Q169" s="15"/>
      <c r="R169" s="15"/>
      <c r="S169" s="15">
        <v>1664.9337341733371</v>
      </c>
      <c r="T169" s="15">
        <v>460</v>
      </c>
      <c r="U169" s="15">
        <v>210000</v>
      </c>
      <c r="V169" s="15">
        <f t="shared" si="29"/>
        <v>3.3301068494193706</v>
      </c>
      <c r="W169" s="63">
        <v>3.1391399999999998</v>
      </c>
      <c r="X169" s="15">
        <f t="shared" si="30"/>
        <v>0.9426544378140097</v>
      </c>
      <c r="Y169" s="15">
        <f>'Global Only'!Y169</f>
        <v>0.74612631489127557</v>
      </c>
      <c r="Z169" s="15">
        <f t="shared" si="31"/>
        <v>0.70333928190207418</v>
      </c>
      <c r="AA169" s="16">
        <v>0.62867260695780613</v>
      </c>
      <c r="AB169" s="15">
        <v>0.60092698120307431</v>
      </c>
      <c r="AC169" s="17">
        <v>1</v>
      </c>
      <c r="AD169" s="15"/>
      <c r="AE169" s="15"/>
      <c r="AF169" s="22" t="s">
        <v>5</v>
      </c>
      <c r="AG169" s="17">
        <f t="shared" si="32"/>
        <v>5226.4600822928896</v>
      </c>
      <c r="AH169" s="17">
        <v>2993.6418473789045</v>
      </c>
      <c r="AI169" s="15">
        <f t="shared" si="33"/>
        <v>3.3301068494193706</v>
      </c>
      <c r="AJ169" s="17">
        <f t="shared" si="34"/>
        <v>1</v>
      </c>
      <c r="AK169" s="15">
        <f t="shared" si="35"/>
        <v>0.9426544378140097</v>
      </c>
      <c r="AL169" s="5">
        <v>10.167</v>
      </c>
      <c r="AM169" s="5">
        <v>9.2965999999999998</v>
      </c>
      <c r="AN169" s="5">
        <f t="shared" si="36"/>
        <v>0.59850393707821425</v>
      </c>
      <c r="AO169" s="5">
        <f t="shared" si="37"/>
        <v>0.89383974865964633</v>
      </c>
      <c r="AR169" s="15"/>
    </row>
    <row r="170" spans="1:44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27"/>
        <v>12053.0592</v>
      </c>
      <c r="M170" s="15"/>
      <c r="N170" s="15"/>
      <c r="O170" s="15"/>
      <c r="P170" s="15">
        <f t="shared" si="28"/>
        <v>208183005.02490622</v>
      </c>
      <c r="Q170" s="15"/>
      <c r="R170" s="15"/>
      <c r="S170" s="15">
        <v>1664.9337341733371</v>
      </c>
      <c r="T170" s="15">
        <v>460</v>
      </c>
      <c r="U170" s="15">
        <v>210000</v>
      </c>
      <c r="V170" s="15">
        <f t="shared" si="29"/>
        <v>3.3301068494193706</v>
      </c>
      <c r="W170" s="63">
        <v>3.1391399999999998</v>
      </c>
      <c r="X170" s="15">
        <f t="shared" si="30"/>
        <v>0.9426544378140097</v>
      </c>
      <c r="Y170" s="15">
        <f>'Global Only'!Y170</f>
        <v>0.50923907296696169</v>
      </c>
      <c r="Z170" s="15">
        <f t="shared" si="31"/>
        <v>0.48003647204059874</v>
      </c>
      <c r="AA170" s="16">
        <v>0.46739817002306661</v>
      </c>
      <c r="AB170" s="15">
        <v>0.60092698120307431</v>
      </c>
      <c r="AC170" s="17">
        <v>1.33</v>
      </c>
      <c r="AD170" s="15"/>
      <c r="AE170" s="15"/>
      <c r="AF170" s="22" t="s">
        <v>5</v>
      </c>
      <c r="AG170" s="17">
        <f t="shared" si="32"/>
        <v>5226.4600822928896</v>
      </c>
      <c r="AH170" s="17">
        <v>2086.8751563070832</v>
      </c>
      <c r="AI170" s="15">
        <f t="shared" si="33"/>
        <v>1.882586267974091</v>
      </c>
      <c r="AJ170" s="17">
        <f t="shared" si="34"/>
        <v>1.3300000000000003</v>
      </c>
      <c r="AK170" s="15">
        <f t="shared" si="35"/>
        <v>0.9426544378140097</v>
      </c>
      <c r="AL170" s="5">
        <v>10.167</v>
      </c>
      <c r="AM170" s="5">
        <v>9.2965999999999998</v>
      </c>
      <c r="AN170" s="5">
        <f t="shared" si="36"/>
        <v>0.59850393707821425</v>
      </c>
      <c r="AO170" s="5">
        <f t="shared" si="37"/>
        <v>0.97367220460602155</v>
      </c>
      <c r="AR170" s="15"/>
    </row>
    <row r="171" spans="1:44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27"/>
        <v>12053.0592</v>
      </c>
      <c r="M171" s="15"/>
      <c r="N171" s="15"/>
      <c r="O171" s="15"/>
      <c r="P171" s="15">
        <f t="shared" si="28"/>
        <v>208183005.02490622</v>
      </c>
      <c r="Q171" s="15"/>
      <c r="R171" s="15"/>
      <c r="S171" s="15">
        <v>1664.9337341733371</v>
      </c>
      <c r="T171" s="15">
        <v>460</v>
      </c>
      <c r="U171" s="15">
        <v>210000</v>
      </c>
      <c r="V171" s="15">
        <f t="shared" si="29"/>
        <v>3.3301068494193706</v>
      </c>
      <c r="W171" s="63">
        <v>3.1391399999999998</v>
      </c>
      <c r="X171" s="15">
        <f t="shared" si="30"/>
        <v>0.9426544378140097</v>
      </c>
      <c r="Y171" s="15">
        <f>'Global Only'!Y171</f>
        <v>0.34012590497523976</v>
      </c>
      <c r="Z171" s="15">
        <f t="shared" si="31"/>
        <v>0.32062119374041592</v>
      </c>
      <c r="AA171" s="16">
        <v>0.31926489798229868</v>
      </c>
      <c r="AB171" s="15">
        <v>0.60092698120307431</v>
      </c>
      <c r="AC171" s="17">
        <v>1.67</v>
      </c>
      <c r="AD171" s="15"/>
      <c r="AE171" s="15"/>
      <c r="AF171" s="22" t="s">
        <v>5</v>
      </c>
      <c r="AG171" s="17">
        <f t="shared" si="32"/>
        <v>5226.4600822928896</v>
      </c>
      <c r="AH171" s="17">
        <v>1470.9375136609424</v>
      </c>
      <c r="AI171" s="15">
        <f t="shared" si="33"/>
        <v>1.1940574597222455</v>
      </c>
      <c r="AJ171" s="17">
        <f t="shared" si="34"/>
        <v>1.67</v>
      </c>
      <c r="AK171" s="15">
        <f t="shared" si="35"/>
        <v>0.9426544378140097</v>
      </c>
      <c r="AL171" s="5">
        <v>10.167</v>
      </c>
      <c r="AM171" s="5">
        <v>9.2965999999999998</v>
      </c>
      <c r="AN171" s="5">
        <f t="shared" si="36"/>
        <v>0.59850393707821425</v>
      </c>
      <c r="AO171" s="5">
        <f t="shared" si="37"/>
        <v>0.99576978757300949</v>
      </c>
      <c r="AR171" s="15"/>
    </row>
    <row r="172" spans="1:44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27"/>
        <v>12053.0592</v>
      </c>
      <c r="M172" s="15"/>
      <c r="N172" s="15"/>
      <c r="O172" s="15"/>
      <c r="P172" s="15">
        <f t="shared" si="28"/>
        <v>208183005.02490622</v>
      </c>
      <c r="Q172" s="15"/>
      <c r="R172" s="15"/>
      <c r="S172" s="15">
        <v>1664.9337341733371</v>
      </c>
      <c r="T172" s="15">
        <v>460</v>
      </c>
      <c r="U172" s="15">
        <v>210000</v>
      </c>
      <c r="V172" s="15">
        <f t="shared" si="29"/>
        <v>3.3301068494193706</v>
      </c>
      <c r="W172" s="63">
        <v>3.1391399999999998</v>
      </c>
      <c r="X172" s="15">
        <f t="shared" si="30"/>
        <v>0.9426544378140097</v>
      </c>
      <c r="Y172" s="15">
        <f>'Global Only'!Y172</f>
        <v>0.2417340928977057</v>
      </c>
      <c r="Z172" s="15">
        <f t="shared" si="31"/>
        <v>0.22787171544096635</v>
      </c>
      <c r="AA172" s="16">
        <v>0.22289093649943881</v>
      </c>
      <c r="AB172" s="15">
        <v>0.60092698120307431</v>
      </c>
      <c r="AC172" s="17">
        <v>2</v>
      </c>
      <c r="AD172" s="15"/>
      <c r="AE172" s="15"/>
      <c r="AF172" s="22" t="s">
        <v>5</v>
      </c>
      <c r="AG172" s="17">
        <f t="shared" si="32"/>
        <v>5226.4600822928896</v>
      </c>
      <c r="AH172" s="17">
        <v>1087.7218791947616</v>
      </c>
      <c r="AI172" s="15">
        <f t="shared" si="33"/>
        <v>0.83252671235484266</v>
      </c>
      <c r="AJ172" s="17">
        <f t="shared" si="34"/>
        <v>2</v>
      </c>
      <c r="AK172" s="15">
        <f t="shared" si="35"/>
        <v>0.9426544378140097</v>
      </c>
      <c r="AL172" s="5">
        <v>10.167</v>
      </c>
      <c r="AM172" s="5">
        <v>9.2965999999999998</v>
      </c>
      <c r="AN172" s="5">
        <f t="shared" si="36"/>
        <v>0.59850393707821425</v>
      </c>
      <c r="AO172" s="5">
        <f t="shared" si="37"/>
        <v>0.97814217998978514</v>
      </c>
      <c r="AR172" s="15"/>
    </row>
    <row r="173" spans="1:44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27"/>
        <v>12053.0592</v>
      </c>
      <c r="M173" s="15"/>
      <c r="N173" s="15"/>
      <c r="O173" s="15"/>
      <c r="P173" s="15">
        <f t="shared" si="28"/>
        <v>208183005.02490622</v>
      </c>
      <c r="Q173" s="15"/>
      <c r="R173" s="15"/>
      <c r="S173" s="15">
        <v>1664.9337341733371</v>
      </c>
      <c r="T173" s="15">
        <v>460</v>
      </c>
      <c r="U173" s="15">
        <v>210000</v>
      </c>
      <c r="V173" s="15">
        <f t="shared" si="29"/>
        <v>3.3301068494193706</v>
      </c>
      <c r="W173" s="63">
        <v>3.1391399999999998</v>
      </c>
      <c r="X173" s="15">
        <f t="shared" si="30"/>
        <v>0.9426544378140097</v>
      </c>
      <c r="Y173" s="15">
        <f>'Global Only'!Y173</f>
        <v>0.15563021185971823</v>
      </c>
      <c r="Z173" s="15">
        <f t="shared" si="31"/>
        <v>0.14670550986749792</v>
      </c>
      <c r="AA173" s="16">
        <v>0.14250960584628727</v>
      </c>
      <c r="AB173" s="15">
        <v>0.60092698120307431</v>
      </c>
      <c r="AC173" s="17">
        <v>2.5</v>
      </c>
      <c r="AD173" s="15"/>
      <c r="AE173" s="15"/>
      <c r="AF173" s="22" t="s">
        <v>5</v>
      </c>
      <c r="AG173" s="17">
        <f t="shared" si="32"/>
        <v>5226.4600822928896</v>
      </c>
      <c r="AH173" s="17">
        <v>734.44757274010624</v>
      </c>
      <c r="AI173" s="15">
        <f t="shared" si="33"/>
        <v>0.53281709590709925</v>
      </c>
      <c r="AJ173" s="17">
        <f t="shared" si="34"/>
        <v>2.5</v>
      </c>
      <c r="AK173" s="15">
        <f t="shared" si="35"/>
        <v>0.9426544378140097</v>
      </c>
      <c r="AL173" s="5">
        <v>10.167</v>
      </c>
      <c r="AM173" s="5">
        <v>9.2965999999999998</v>
      </c>
      <c r="AN173" s="5">
        <f t="shared" si="36"/>
        <v>0.59850393707821425</v>
      </c>
      <c r="AO173" s="5">
        <f t="shared" si="37"/>
        <v>0.97139913814416157</v>
      </c>
      <c r="AR173" s="15"/>
    </row>
    <row r="174" spans="1:44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27"/>
        <v>9236.7872000000007</v>
      </c>
      <c r="M174" s="15"/>
      <c r="N174" s="15"/>
      <c r="O174" s="15"/>
      <c r="P174" s="15">
        <f t="shared" si="28"/>
        <v>163503270.4586001</v>
      </c>
      <c r="Q174" s="15"/>
      <c r="R174" s="15"/>
      <c r="S174" s="15">
        <v>1282.3363863653526</v>
      </c>
      <c r="T174" s="15">
        <v>460</v>
      </c>
      <c r="U174" s="15">
        <v>210000</v>
      </c>
      <c r="V174" s="15">
        <f t="shared" si="29"/>
        <v>3.3134224039630684</v>
      </c>
      <c r="W174" s="63">
        <v>2.6491899999999999</v>
      </c>
      <c r="X174" s="15">
        <f t="shared" si="30"/>
        <v>0.79953283252729768</v>
      </c>
      <c r="Y174" s="15">
        <f>'Global Only'!Y174</f>
        <v>1.2111254192213585</v>
      </c>
      <c r="Z174" s="15">
        <f t="shared" si="31"/>
        <v>0.96833453697586358</v>
      </c>
      <c r="AA174" s="16"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2"/>
        <v>3397.1527313952283</v>
      </c>
      <c r="AH174" s="17">
        <v>4088.1881036571986</v>
      </c>
      <c r="AI174" s="15">
        <f t="shared" si="33"/>
        <v>36.815804488478534</v>
      </c>
      <c r="AJ174" s="17">
        <f t="shared" si="34"/>
        <v>0.30000000000000004</v>
      </c>
      <c r="AK174" s="15">
        <f t="shared" si="35"/>
        <v>0.79953283252729768</v>
      </c>
      <c r="AL174" s="56">
        <v>5.66</v>
      </c>
      <c r="AM174" s="56">
        <v>5.2115</v>
      </c>
      <c r="AN174" s="56">
        <f t="shared" si="36"/>
        <v>0.79736474772342081</v>
      </c>
      <c r="AO174" s="5">
        <f t="shared" si="37"/>
        <v>0.80132366951396938</v>
      </c>
      <c r="AR174" s="15"/>
    </row>
    <row r="175" spans="1:44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27"/>
        <v>9236.7872000000007</v>
      </c>
      <c r="M175" s="15"/>
      <c r="N175" s="15"/>
      <c r="O175" s="15"/>
      <c r="P175" s="15">
        <f t="shared" si="28"/>
        <v>163503270.4586001</v>
      </c>
      <c r="Q175" s="15"/>
      <c r="R175" s="15"/>
      <c r="S175" s="15">
        <v>1282.3363863653526</v>
      </c>
      <c r="T175" s="15">
        <v>460</v>
      </c>
      <c r="U175" s="15">
        <v>210000</v>
      </c>
      <c r="V175" s="15">
        <f t="shared" si="29"/>
        <v>3.3134224039630684</v>
      </c>
      <c r="W175" s="63">
        <v>2.6491899999999999</v>
      </c>
      <c r="X175" s="15">
        <f t="shared" si="30"/>
        <v>0.79953283252729768</v>
      </c>
      <c r="Y175" s="15">
        <f>'Global Only'!Y175</f>
        <v>1.0287905475805508</v>
      </c>
      <c r="Z175" s="15">
        <f t="shared" si="31"/>
        <v>0.82255182058438736</v>
      </c>
      <c r="AA175" s="16">
        <v>0.72596727132918815</v>
      </c>
      <c r="AB175" s="15">
        <v>0.80062012685654171</v>
      </c>
      <c r="AC175" s="17">
        <v>0.5</v>
      </c>
      <c r="AD175" s="15"/>
      <c r="AE175" s="15"/>
      <c r="AF175" s="22" t="s">
        <v>5</v>
      </c>
      <c r="AG175" s="17">
        <f t="shared" si="32"/>
        <v>3397.1527313952283</v>
      </c>
      <c r="AH175" s="17">
        <v>3681.7975053750579</v>
      </c>
      <c r="AI175" s="15">
        <f t="shared" si="33"/>
        <v>13.253689615852275</v>
      </c>
      <c r="AJ175" s="17">
        <f t="shared" si="34"/>
        <v>0.5</v>
      </c>
      <c r="AK175" s="15">
        <f t="shared" si="35"/>
        <v>0.79953283252729768</v>
      </c>
      <c r="AL175" s="5">
        <v>5.66</v>
      </c>
      <c r="AM175" s="5">
        <v>5.2115</v>
      </c>
      <c r="AN175" s="5">
        <f t="shared" si="36"/>
        <v>0.79736474772342081</v>
      </c>
      <c r="AO175" s="5">
        <f t="shared" si="37"/>
        <v>0.88257937452915725</v>
      </c>
      <c r="AR175" s="15"/>
    </row>
    <row r="176" spans="1:44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27"/>
        <v>9236.7872000000007</v>
      </c>
      <c r="M176" s="15"/>
      <c r="N176" s="15"/>
      <c r="O176" s="15"/>
      <c r="P176" s="15">
        <f t="shared" si="28"/>
        <v>163503270.4586001</v>
      </c>
      <c r="Q176" s="15"/>
      <c r="R176" s="15"/>
      <c r="S176" s="15">
        <v>1282.3363863653526</v>
      </c>
      <c r="T176" s="15">
        <v>460</v>
      </c>
      <c r="U176" s="15">
        <v>210000</v>
      </c>
      <c r="V176" s="15">
        <f t="shared" si="29"/>
        <v>3.3134224039630684</v>
      </c>
      <c r="W176" s="63">
        <v>2.6491899999999999</v>
      </c>
      <c r="X176" s="15">
        <f t="shared" si="30"/>
        <v>0.79953283252729768</v>
      </c>
      <c r="Y176" s="15">
        <f>'Global Only'!Y176</f>
        <v>0.88330492091573898</v>
      </c>
      <c r="Z176" s="15">
        <f t="shared" si="31"/>
        <v>0.70623128540506142</v>
      </c>
      <c r="AA176" s="16">
        <v>0.66086386119846385</v>
      </c>
      <c r="AB176" s="15">
        <v>0.80062012685654171</v>
      </c>
      <c r="AC176" s="17">
        <v>0.75</v>
      </c>
      <c r="AD176" s="15"/>
      <c r="AE176" s="15"/>
      <c r="AF176" s="22" t="s">
        <v>5</v>
      </c>
      <c r="AG176" s="17">
        <f t="shared" si="32"/>
        <v>3397.1527313952283</v>
      </c>
      <c r="AH176" s="17">
        <v>3115.730978970565</v>
      </c>
      <c r="AI176" s="15">
        <f t="shared" si="33"/>
        <v>5.8905287181565669</v>
      </c>
      <c r="AJ176" s="17">
        <f t="shared" si="34"/>
        <v>0.74999999999999989</v>
      </c>
      <c r="AK176" s="15">
        <f t="shared" si="35"/>
        <v>0.79953283252729768</v>
      </c>
      <c r="AL176" s="5">
        <v>5.66</v>
      </c>
      <c r="AM176" s="5">
        <v>5.2115</v>
      </c>
      <c r="AN176" s="5">
        <f t="shared" si="36"/>
        <v>0.79736474772342081</v>
      </c>
      <c r="AO176" s="5">
        <f t="shared" si="37"/>
        <v>0.93576123694296987</v>
      </c>
      <c r="AR176" s="15"/>
    </row>
    <row r="177" spans="1:44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27"/>
        <v>9236.7872000000007</v>
      </c>
      <c r="M177" s="15"/>
      <c r="N177" s="15"/>
      <c r="O177" s="15"/>
      <c r="P177" s="15">
        <f t="shared" si="28"/>
        <v>163503270.4586001</v>
      </c>
      <c r="Q177" s="15"/>
      <c r="R177" s="15"/>
      <c r="S177" s="15">
        <v>1282.3363863653526</v>
      </c>
      <c r="T177" s="15">
        <v>460</v>
      </c>
      <c r="U177" s="15">
        <v>210000</v>
      </c>
      <c r="V177" s="15">
        <f t="shared" si="29"/>
        <v>3.3134224039630684</v>
      </c>
      <c r="W177" s="63">
        <v>2.6491899999999999</v>
      </c>
      <c r="X177" s="15">
        <f t="shared" si="30"/>
        <v>0.79953283252729768</v>
      </c>
      <c r="Y177" s="15">
        <f>'Global Only'!Y177</f>
        <v>0.7471066233190895</v>
      </c>
      <c r="Z177" s="15">
        <f t="shared" si="31"/>
        <v>0.59733627474221651</v>
      </c>
      <c r="AA177" s="16">
        <v>0.5868153346435282</v>
      </c>
      <c r="AB177" s="15">
        <v>0.80062012685654171</v>
      </c>
      <c r="AC177" s="17">
        <v>1</v>
      </c>
      <c r="AD177" s="15"/>
      <c r="AE177" s="15"/>
      <c r="AF177" s="22" t="s">
        <v>5</v>
      </c>
      <c r="AG177" s="17">
        <f t="shared" si="32"/>
        <v>3397.1527313952283</v>
      </c>
      <c r="AH177" s="17">
        <v>2510.2445270124108</v>
      </c>
      <c r="AI177" s="15">
        <f t="shared" si="33"/>
        <v>3.3134224039630689</v>
      </c>
      <c r="AJ177" s="17">
        <f t="shared" si="34"/>
        <v>1</v>
      </c>
      <c r="AK177" s="15">
        <f t="shared" si="35"/>
        <v>0.79953283252729768</v>
      </c>
      <c r="AL177" s="5">
        <v>5.66</v>
      </c>
      <c r="AM177" s="5">
        <v>5.2115</v>
      </c>
      <c r="AN177" s="5">
        <f t="shared" si="36"/>
        <v>0.79736474772342081</v>
      </c>
      <c r="AO177" s="5">
        <f t="shared" si="37"/>
        <v>0.98238690576220455</v>
      </c>
      <c r="AR177" s="15"/>
    </row>
    <row r="178" spans="1:44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27"/>
        <v>9236.7872000000007</v>
      </c>
      <c r="M178" s="15"/>
      <c r="N178" s="15"/>
      <c r="O178" s="15"/>
      <c r="P178" s="15">
        <f t="shared" si="28"/>
        <v>163503270.4586001</v>
      </c>
      <c r="Q178" s="15"/>
      <c r="R178" s="15"/>
      <c r="S178" s="15">
        <v>1282.3363863653526</v>
      </c>
      <c r="T178" s="15">
        <v>460</v>
      </c>
      <c r="U178" s="15">
        <v>210000</v>
      </c>
      <c r="V178" s="15">
        <f t="shared" si="29"/>
        <v>3.3134224039630684</v>
      </c>
      <c r="W178" s="63">
        <v>2.6491899999999999</v>
      </c>
      <c r="X178" s="15">
        <f t="shared" si="30"/>
        <v>0.79953283252729768</v>
      </c>
      <c r="Y178" s="15">
        <f>'Global Only'!Y178</f>
        <v>0.50972482009077624</v>
      </c>
      <c r="Z178" s="15">
        <f t="shared" si="31"/>
        <v>0.40754172921664555</v>
      </c>
      <c r="AA178" s="16">
        <v>0.44725594227117693</v>
      </c>
      <c r="AB178" s="15">
        <v>0.80062012685654171</v>
      </c>
      <c r="AC178" s="17">
        <v>1.33</v>
      </c>
      <c r="AD178" s="15"/>
      <c r="AE178" s="15"/>
      <c r="AF178" s="22" t="s">
        <v>5</v>
      </c>
      <c r="AG178" s="17">
        <f t="shared" si="32"/>
        <v>3397.1527313952283</v>
      </c>
      <c r="AH178" s="17">
        <v>1809.6951084628629</v>
      </c>
      <c r="AI178" s="15">
        <f t="shared" si="33"/>
        <v>1.8731541658449133</v>
      </c>
      <c r="AJ178" s="17">
        <f t="shared" si="34"/>
        <v>1.3300000000000003</v>
      </c>
      <c r="AK178" s="15">
        <f t="shared" si="35"/>
        <v>0.79953283252729768</v>
      </c>
      <c r="AL178" s="5">
        <v>5.66</v>
      </c>
      <c r="AM178" s="5">
        <v>5.2115</v>
      </c>
      <c r="AN178" s="5">
        <f t="shared" si="36"/>
        <v>0.79736474772342081</v>
      </c>
      <c r="AO178" s="5">
        <f t="shared" si="37"/>
        <v>1.0974482125569518</v>
      </c>
      <c r="AR178" s="15"/>
    </row>
    <row r="179" spans="1:44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27"/>
        <v>9236.7872000000007</v>
      </c>
      <c r="M179" s="15"/>
      <c r="N179" s="15"/>
      <c r="O179" s="15"/>
      <c r="P179" s="15">
        <f t="shared" si="28"/>
        <v>163503270.4586001</v>
      </c>
      <c r="Q179" s="15"/>
      <c r="R179" s="15"/>
      <c r="S179" s="15">
        <v>1282.3363863653526</v>
      </c>
      <c r="T179" s="15">
        <v>460</v>
      </c>
      <c r="U179" s="15">
        <v>210000</v>
      </c>
      <c r="V179" s="15">
        <f t="shared" si="29"/>
        <v>3.3134224039630684</v>
      </c>
      <c r="W179" s="63">
        <v>2.6491899999999999</v>
      </c>
      <c r="X179" s="15">
        <f t="shared" si="30"/>
        <v>0.79953283252729768</v>
      </c>
      <c r="Y179" s="15">
        <f>'Global Only'!Y179</f>
        <v>0.34035318903088446</v>
      </c>
      <c r="Z179" s="15">
        <f t="shared" si="31"/>
        <v>0.27212354928556182</v>
      </c>
      <c r="AA179" s="16">
        <v>0.31240354570851969</v>
      </c>
      <c r="AB179" s="15">
        <v>0.80062012685654171</v>
      </c>
      <c r="AC179" s="17">
        <v>1.67</v>
      </c>
      <c r="AD179" s="15"/>
      <c r="AE179" s="15"/>
      <c r="AF179" s="22" t="s">
        <v>5</v>
      </c>
      <c r="AG179" s="17">
        <f t="shared" si="32"/>
        <v>3397.1527313952283</v>
      </c>
      <c r="AH179" s="17">
        <v>1299.0951754092227</v>
      </c>
      <c r="AI179" s="15">
        <f t="shared" si="33"/>
        <v>1.1880750130743549</v>
      </c>
      <c r="AJ179" s="17">
        <f t="shared" si="34"/>
        <v>1.67</v>
      </c>
      <c r="AK179" s="15">
        <f t="shared" si="35"/>
        <v>0.79953283252729768</v>
      </c>
      <c r="AL179" s="5">
        <v>5.66</v>
      </c>
      <c r="AM179" s="5">
        <v>5.2115</v>
      </c>
      <c r="AN179" s="5">
        <f t="shared" si="36"/>
        <v>0.79736474772342081</v>
      </c>
      <c r="AO179" s="5">
        <f t="shared" si="37"/>
        <v>1.1480209872637253</v>
      </c>
      <c r="AR179" s="15"/>
    </row>
    <row r="180" spans="1:44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27"/>
        <v>9236.7872000000007</v>
      </c>
      <c r="M180" s="15"/>
      <c r="N180" s="15"/>
      <c r="O180" s="15"/>
      <c r="P180" s="15">
        <f t="shared" si="28"/>
        <v>163503270.4586001</v>
      </c>
      <c r="Q180" s="15"/>
      <c r="R180" s="15"/>
      <c r="S180" s="15">
        <v>1282.3363863653526</v>
      </c>
      <c r="T180" s="15">
        <v>460</v>
      </c>
      <c r="U180" s="15">
        <v>210000</v>
      </c>
      <c r="V180" s="15">
        <f t="shared" si="29"/>
        <v>3.3134224039630684</v>
      </c>
      <c r="W180" s="63">
        <v>2.6491899999999999</v>
      </c>
      <c r="X180" s="15">
        <f t="shared" si="30"/>
        <v>0.79953283252729768</v>
      </c>
      <c r="Y180" s="15">
        <f>'Global Only'!Y180</f>
        <v>0.24178946291098924</v>
      </c>
      <c r="Z180" s="15">
        <f t="shared" si="31"/>
        <v>0.19331861415647722</v>
      </c>
      <c r="AA180" s="16">
        <v>0.2195595692214031</v>
      </c>
      <c r="AB180" s="15">
        <v>0.80062012685654171</v>
      </c>
      <c r="AC180" s="17">
        <v>2</v>
      </c>
      <c r="AD180" s="15"/>
      <c r="AE180" s="15"/>
      <c r="AF180" s="22" t="s">
        <v>5</v>
      </c>
      <c r="AG180" s="17">
        <f t="shared" si="32"/>
        <v>3397.1527313952283</v>
      </c>
      <c r="AH180" s="17">
        <v>969.71577236754888</v>
      </c>
      <c r="AI180" s="15">
        <f t="shared" si="33"/>
        <v>0.82835560099076722</v>
      </c>
      <c r="AJ180" s="17">
        <f t="shared" si="34"/>
        <v>2</v>
      </c>
      <c r="AK180" s="15">
        <f t="shared" si="35"/>
        <v>0.79953283252729768</v>
      </c>
      <c r="AL180" s="5">
        <v>5.66</v>
      </c>
      <c r="AM180" s="5">
        <v>5.2115</v>
      </c>
      <c r="AN180" s="5">
        <f t="shared" si="36"/>
        <v>0.79736474772342081</v>
      </c>
      <c r="AO180" s="5">
        <f t="shared" si="37"/>
        <v>1.1357394122621103</v>
      </c>
      <c r="AR180" s="15"/>
    </row>
    <row r="181" spans="1:44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27"/>
        <v>9236.7872000000007</v>
      </c>
      <c r="M181" s="15"/>
      <c r="N181" s="15"/>
      <c r="O181" s="15"/>
      <c r="P181" s="15">
        <f t="shared" si="28"/>
        <v>163503270.4586001</v>
      </c>
      <c r="Q181" s="15"/>
      <c r="R181" s="15"/>
      <c r="S181" s="15">
        <v>1282.3363863653526</v>
      </c>
      <c r="T181" s="15">
        <v>460</v>
      </c>
      <c r="U181" s="15">
        <v>210000</v>
      </c>
      <c r="V181" s="15">
        <f t="shared" si="29"/>
        <v>3.3134224039630684</v>
      </c>
      <c r="W181" s="63">
        <v>2.6491899999999999</v>
      </c>
      <c r="X181" s="15">
        <f t="shared" si="30"/>
        <v>0.79953283252729768</v>
      </c>
      <c r="Y181" s="15">
        <f>'Global Only'!Y181</f>
        <v>0.15564472947856078</v>
      </c>
      <c r="Z181" s="15">
        <f t="shared" si="31"/>
        <v>0.12444307142793869</v>
      </c>
      <c r="AA181" s="16">
        <v>0.14068000772650124</v>
      </c>
      <c r="AB181" s="15">
        <v>0.80062012685654171</v>
      </c>
      <c r="AC181" s="17">
        <v>2.5</v>
      </c>
      <c r="AD181" s="15"/>
      <c r="AE181" s="15"/>
      <c r="AF181" s="22" t="s">
        <v>5</v>
      </c>
      <c r="AG181" s="17">
        <f t="shared" si="32"/>
        <v>3397.1527313952283</v>
      </c>
      <c r="AH181" s="17">
        <v>659.7408396563676</v>
      </c>
      <c r="AI181" s="15">
        <f t="shared" si="33"/>
        <v>0.53014758463409095</v>
      </c>
      <c r="AJ181" s="17">
        <f t="shared" si="34"/>
        <v>2.5</v>
      </c>
      <c r="AK181" s="15">
        <f t="shared" si="35"/>
        <v>0.79953283252729768</v>
      </c>
      <c r="AL181" s="5">
        <v>5.66</v>
      </c>
      <c r="AM181" s="5">
        <v>5.2115</v>
      </c>
      <c r="AN181" s="5">
        <f t="shared" si="36"/>
        <v>0.79736474772342081</v>
      </c>
      <c r="AO181" s="5">
        <f t="shared" si="37"/>
        <v>1.1304768205433189</v>
      </c>
      <c r="AR181" s="15"/>
    </row>
    <row r="182" spans="1:44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27"/>
        <v>6673.5511999999999</v>
      </c>
      <c r="M182" s="15"/>
      <c r="N182" s="15"/>
      <c r="O182" s="15"/>
      <c r="P182" s="15">
        <f t="shared" si="28"/>
        <v>120757247.77108172</v>
      </c>
      <c r="Q182" s="15"/>
      <c r="R182" s="15"/>
      <c r="S182" s="15">
        <v>932.0481981583614</v>
      </c>
      <c r="T182" s="15">
        <v>460</v>
      </c>
      <c r="U182" s="15">
        <v>210000</v>
      </c>
      <c r="V182" s="15">
        <f t="shared" si="29"/>
        <v>3.2936424940960127</v>
      </c>
      <c r="W182" s="63">
        <v>2.1806199999999998</v>
      </c>
      <c r="X182" s="15">
        <f t="shared" si="30"/>
        <v>0.66206942736160623</v>
      </c>
      <c r="Y182" s="15">
        <f>'Global Only'!Y182</f>
        <v>1.1392087564993905</v>
      </c>
      <c r="Z182" s="15">
        <f t="shared" si="31"/>
        <v>0.754235289060879</v>
      </c>
      <c r="AA182" s="16"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2"/>
        <v>2032.4429418680859</v>
      </c>
      <c r="AH182" s="17">
        <v>3003.7803097538581</v>
      </c>
      <c r="AI182" s="15">
        <f t="shared" si="33"/>
        <v>36.596027712177921</v>
      </c>
      <c r="AJ182" s="17">
        <f t="shared" si="34"/>
        <v>0.3</v>
      </c>
      <c r="AK182" s="15">
        <f t="shared" si="35"/>
        <v>0.66206942736160623</v>
      </c>
      <c r="AL182" s="56">
        <v>2.8845000000000001</v>
      </c>
      <c r="AM182" s="56">
        <v>2.6804999999999999</v>
      </c>
      <c r="AN182" s="56">
        <f t="shared" si="36"/>
        <v>1.1084862818305572</v>
      </c>
      <c r="AO182" s="5">
        <f t="shared" si="37"/>
        <v>0.84871293782638457</v>
      </c>
      <c r="AR182" s="15"/>
    </row>
    <row r="183" spans="1:44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27"/>
        <v>6673.5511999999999</v>
      </c>
      <c r="M183" s="15"/>
      <c r="N183" s="15"/>
      <c r="O183" s="15"/>
      <c r="P183" s="15">
        <f t="shared" si="28"/>
        <v>120757247.77108172</v>
      </c>
      <c r="Q183" s="15"/>
      <c r="R183" s="15"/>
      <c r="S183" s="15">
        <v>932.0481981583614</v>
      </c>
      <c r="T183" s="15">
        <v>460</v>
      </c>
      <c r="U183" s="15">
        <v>210000</v>
      </c>
      <c r="V183" s="15">
        <f t="shared" si="29"/>
        <v>3.2936424940960127</v>
      </c>
      <c r="W183" s="63">
        <v>2.1806199999999998</v>
      </c>
      <c r="X183" s="15">
        <f t="shared" si="30"/>
        <v>0.66206942736160623</v>
      </c>
      <c r="Y183" s="15">
        <f>'Global Only'!Y183</f>
        <v>1.0388483998377638</v>
      </c>
      <c r="Z183" s="15">
        <f t="shared" si="31"/>
        <v>0.68778976519610924</v>
      </c>
      <c r="AA183" s="16">
        <v>0.58704305741581353</v>
      </c>
      <c r="AB183" s="15">
        <v>1.1026699208821982</v>
      </c>
      <c r="AC183" s="17">
        <v>0.5</v>
      </c>
      <c r="AD183" s="15"/>
      <c r="AE183" s="15"/>
      <c r="AF183" s="22" t="s">
        <v>5</v>
      </c>
      <c r="AG183" s="17">
        <f t="shared" si="32"/>
        <v>2032.4429418680859</v>
      </c>
      <c r="AH183" s="17">
        <v>2748.3978559153984</v>
      </c>
      <c r="AI183" s="15">
        <f t="shared" si="33"/>
        <v>13.174569976384049</v>
      </c>
      <c r="AJ183" s="17">
        <f t="shared" si="34"/>
        <v>0.5</v>
      </c>
      <c r="AK183" s="15">
        <f t="shared" si="35"/>
        <v>0.66206942736160623</v>
      </c>
      <c r="AL183" s="5">
        <v>2.8845000000000001</v>
      </c>
      <c r="AM183" s="5">
        <v>2.6804999999999999</v>
      </c>
      <c r="AN183" s="5">
        <f t="shared" si="36"/>
        <v>1.1084862818305572</v>
      </c>
      <c r="AO183" s="5">
        <f t="shared" si="37"/>
        <v>0.85352107158563217</v>
      </c>
      <c r="AR183" s="15"/>
    </row>
    <row r="184" spans="1:44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27"/>
        <v>6673.5511999999999</v>
      </c>
      <c r="M184" s="15"/>
      <c r="N184" s="15"/>
      <c r="O184" s="15"/>
      <c r="P184" s="15">
        <f t="shared" si="28"/>
        <v>120757247.77108172</v>
      </c>
      <c r="Q184" s="15"/>
      <c r="R184" s="15"/>
      <c r="S184" s="15">
        <v>932.0481981583614</v>
      </c>
      <c r="T184" s="15">
        <v>460</v>
      </c>
      <c r="U184" s="15">
        <v>210000</v>
      </c>
      <c r="V184" s="15">
        <f t="shared" si="29"/>
        <v>3.2936424940960127</v>
      </c>
      <c r="W184" s="63">
        <v>2.1806199999999998</v>
      </c>
      <c r="X184" s="15">
        <f t="shared" si="30"/>
        <v>0.66206942736160623</v>
      </c>
      <c r="Y184" s="15">
        <f>'Global Only'!Y184</f>
        <v>0.88932312692639359</v>
      </c>
      <c r="Z184" s="15">
        <f t="shared" si="31"/>
        <v>0.58879365338359047</v>
      </c>
      <c r="AA184" s="16">
        <v>0.51658621284952344</v>
      </c>
      <c r="AB184" s="15">
        <v>1.1026699208821982</v>
      </c>
      <c r="AC184" s="17">
        <v>0.75</v>
      </c>
      <c r="AD184" s="15"/>
      <c r="AE184" s="15"/>
      <c r="AF184" s="22" t="s">
        <v>5</v>
      </c>
      <c r="AG184" s="17">
        <f t="shared" si="32"/>
        <v>2032.4429418680859</v>
      </c>
      <c r="AH184" s="17">
        <v>2400.5232792014785</v>
      </c>
      <c r="AI184" s="15">
        <f t="shared" si="33"/>
        <v>5.8553644339484681</v>
      </c>
      <c r="AJ184" s="17">
        <f t="shared" si="34"/>
        <v>0.74999999999999989</v>
      </c>
      <c r="AK184" s="15">
        <f t="shared" si="35"/>
        <v>0.66206942736160623</v>
      </c>
      <c r="AL184" s="5">
        <v>2.8845000000000001</v>
      </c>
      <c r="AM184" s="5">
        <v>2.6804999999999999</v>
      </c>
      <c r="AN184" s="5">
        <f t="shared" si="36"/>
        <v>1.1084862818305572</v>
      </c>
      <c r="AO184" s="5">
        <f t="shared" si="37"/>
        <v>0.87736375873089634</v>
      </c>
      <c r="AR184" s="15"/>
    </row>
    <row r="185" spans="1:44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27"/>
        <v>6673.5511999999999</v>
      </c>
      <c r="M185" s="15"/>
      <c r="N185" s="15"/>
      <c r="O185" s="15"/>
      <c r="P185" s="15">
        <f t="shared" si="28"/>
        <v>120757247.77108172</v>
      </c>
      <c r="Q185" s="15"/>
      <c r="R185" s="15"/>
      <c r="S185" s="15">
        <v>932.0481981583614</v>
      </c>
      <c r="T185" s="15">
        <v>460</v>
      </c>
      <c r="U185" s="15">
        <v>210000</v>
      </c>
      <c r="V185" s="15">
        <f t="shared" si="29"/>
        <v>3.2936424940960127</v>
      </c>
      <c r="W185" s="63">
        <v>2.1806199999999998</v>
      </c>
      <c r="X185" s="15">
        <f t="shared" si="30"/>
        <v>0.66206942736160623</v>
      </c>
      <c r="Y185" s="15">
        <f>'Global Only'!Y185</f>
        <v>0.74968425806393879</v>
      </c>
      <c r="Z185" s="15">
        <f t="shared" si="31"/>
        <v>0.49634302743840258</v>
      </c>
      <c r="AA185" s="16">
        <v>0.45924471279968981</v>
      </c>
      <c r="AB185" s="15">
        <v>1.1026699208821982</v>
      </c>
      <c r="AC185" s="17">
        <v>1</v>
      </c>
      <c r="AD185" s="15"/>
      <c r="AE185" s="15"/>
      <c r="AF185" s="22" t="s">
        <v>5</v>
      </c>
      <c r="AG185" s="17">
        <f t="shared" si="32"/>
        <v>2032.4429418680859</v>
      </c>
      <c r="AH185" s="17">
        <v>2017.9274417884624</v>
      </c>
      <c r="AI185" s="15">
        <f t="shared" si="33"/>
        <v>3.2936424940960123</v>
      </c>
      <c r="AJ185" s="17">
        <f t="shared" si="34"/>
        <v>1</v>
      </c>
      <c r="AK185" s="15">
        <f t="shared" si="35"/>
        <v>0.66206942736160623</v>
      </c>
      <c r="AL185" s="5">
        <v>2.8845000000000001</v>
      </c>
      <c r="AM185" s="5">
        <v>2.6804999999999999</v>
      </c>
      <c r="AN185" s="5">
        <f t="shared" si="36"/>
        <v>1.1084862818305572</v>
      </c>
      <c r="AO185" s="5">
        <f t="shared" si="37"/>
        <v>0.92525670234520063</v>
      </c>
      <c r="AR185" s="15"/>
    </row>
    <row r="186" spans="1:44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27"/>
        <v>6673.5511999999999</v>
      </c>
      <c r="M186" s="15"/>
      <c r="N186" s="15"/>
      <c r="O186" s="15"/>
      <c r="P186" s="15">
        <f t="shared" si="28"/>
        <v>120757247.77108172</v>
      </c>
      <c r="Q186" s="15"/>
      <c r="R186" s="15"/>
      <c r="S186" s="15">
        <v>932.0481981583614</v>
      </c>
      <c r="T186" s="15">
        <v>460</v>
      </c>
      <c r="U186" s="15">
        <v>210000</v>
      </c>
      <c r="V186" s="15">
        <f t="shared" si="29"/>
        <v>3.2936424940960127</v>
      </c>
      <c r="W186" s="63">
        <v>2.1806199999999998</v>
      </c>
      <c r="X186" s="15">
        <f t="shared" si="30"/>
        <v>0.66206942736160623</v>
      </c>
      <c r="Y186" s="15">
        <f>'Global Only'!Y186</f>
        <v>0.51095172964281299</v>
      </c>
      <c r="Z186" s="15">
        <f t="shared" si="31"/>
        <v>0.33828551905403942</v>
      </c>
      <c r="AA186" s="16">
        <v>0.36931586521031101</v>
      </c>
      <c r="AB186" s="15">
        <v>1.1026699208821982</v>
      </c>
      <c r="AC186" s="17">
        <v>1.33</v>
      </c>
      <c r="AD186" s="15"/>
      <c r="AE186" s="15"/>
      <c r="AF186" s="22" t="s">
        <v>5</v>
      </c>
      <c r="AG186" s="17">
        <f t="shared" si="32"/>
        <v>2032.4429418680859</v>
      </c>
      <c r="AH186" s="17">
        <v>1529.2268935074082</v>
      </c>
      <c r="AI186" s="15">
        <f t="shared" si="33"/>
        <v>1.8619721262343898</v>
      </c>
      <c r="AJ186" s="17">
        <f t="shared" si="34"/>
        <v>1.33</v>
      </c>
      <c r="AK186" s="15">
        <f t="shared" si="35"/>
        <v>0.66206942736160623</v>
      </c>
      <c r="AL186" s="5">
        <v>2.8845000000000001</v>
      </c>
      <c r="AM186" s="5">
        <v>2.6804999999999999</v>
      </c>
      <c r="AN186" s="5">
        <f t="shared" si="36"/>
        <v>1.1084862818305572</v>
      </c>
      <c r="AO186" s="5">
        <f t="shared" si="37"/>
        <v>1.0917282721502326</v>
      </c>
      <c r="AR186" s="15"/>
    </row>
    <row r="187" spans="1:44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27"/>
        <v>6673.5511999999999</v>
      </c>
      <c r="M187" s="15"/>
      <c r="N187" s="15"/>
      <c r="O187" s="15"/>
      <c r="P187" s="15">
        <f t="shared" si="28"/>
        <v>120757247.77108172</v>
      </c>
      <c r="Q187" s="15"/>
      <c r="R187" s="15"/>
      <c r="S187" s="15">
        <v>932.0481981583614</v>
      </c>
      <c r="T187" s="15">
        <v>460</v>
      </c>
      <c r="U187" s="15">
        <v>210000</v>
      </c>
      <c r="V187" s="15">
        <f t="shared" si="29"/>
        <v>3.2936424940960127</v>
      </c>
      <c r="W187" s="63">
        <v>2.1806199999999998</v>
      </c>
      <c r="X187" s="15">
        <f t="shared" si="30"/>
        <v>0.66206942736160623</v>
      </c>
      <c r="Y187" s="15">
        <f>'Global Only'!Y187</f>
        <v>0.34115683835467658</v>
      </c>
      <c r="Z187" s="15">
        <f t="shared" si="31"/>
        <v>0.22586951260997679</v>
      </c>
      <c r="AA187" s="16">
        <v>0.27609102810626718</v>
      </c>
      <c r="AB187" s="15">
        <v>1.1026699208821982</v>
      </c>
      <c r="AC187" s="17">
        <v>1.67</v>
      </c>
      <c r="AD187" s="15"/>
      <c r="AE187" s="15"/>
      <c r="AF187" s="22" t="s">
        <v>5</v>
      </c>
      <c r="AG187" s="17">
        <f t="shared" si="32"/>
        <v>2032.4429418680859</v>
      </c>
      <c r="AH187" s="17">
        <v>1132.3014299415529</v>
      </c>
      <c r="AI187" s="15">
        <f t="shared" si="33"/>
        <v>1.1809826433705093</v>
      </c>
      <c r="AJ187" s="17">
        <f t="shared" si="34"/>
        <v>1.67</v>
      </c>
      <c r="AK187" s="15">
        <f t="shared" si="35"/>
        <v>0.66206942736160623</v>
      </c>
      <c r="AL187" s="5">
        <v>2.8845000000000001</v>
      </c>
      <c r="AM187" s="5">
        <v>2.6804999999999999</v>
      </c>
      <c r="AN187" s="5">
        <f t="shared" si="36"/>
        <v>1.1084862818305572</v>
      </c>
      <c r="AO187" s="5">
        <f t="shared" si="37"/>
        <v>1.2223474736185891</v>
      </c>
      <c r="AR187" s="15"/>
    </row>
    <row r="188" spans="1:44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27"/>
        <v>6673.5511999999999</v>
      </c>
      <c r="M188" s="15"/>
      <c r="N188" s="15"/>
      <c r="O188" s="15"/>
      <c r="P188" s="15">
        <f t="shared" si="28"/>
        <v>120757247.77108172</v>
      </c>
      <c r="Q188" s="15"/>
      <c r="R188" s="15"/>
      <c r="S188" s="15">
        <v>932.0481981583614</v>
      </c>
      <c r="T188" s="15">
        <v>460</v>
      </c>
      <c r="U188" s="15">
        <v>210000</v>
      </c>
      <c r="V188" s="15">
        <f t="shared" si="29"/>
        <v>3.2936424940960127</v>
      </c>
      <c r="W188" s="63">
        <v>2.1806199999999998</v>
      </c>
      <c r="X188" s="15">
        <f t="shared" si="30"/>
        <v>0.66206942736160623</v>
      </c>
      <c r="Y188" s="15">
        <f>'Global Only'!Y188</f>
        <v>0.24225476482573904</v>
      </c>
      <c r="Z188" s="15">
        <f t="shared" si="31"/>
        <v>0.16038947342379764</v>
      </c>
      <c r="AA188" s="16">
        <v>0.20357250905384758</v>
      </c>
      <c r="AB188" s="15">
        <v>1.1026699208821982</v>
      </c>
      <c r="AC188" s="17">
        <v>2</v>
      </c>
      <c r="AD188" s="15"/>
      <c r="AE188" s="15"/>
      <c r="AF188" s="22" t="s">
        <v>5</v>
      </c>
      <c r="AG188" s="17">
        <f t="shared" si="32"/>
        <v>2032.4429418680859</v>
      </c>
      <c r="AH188" s="17">
        <v>859.31915648305255</v>
      </c>
      <c r="AI188" s="15">
        <f t="shared" si="33"/>
        <v>0.82341062352400307</v>
      </c>
      <c r="AJ188" s="17">
        <f t="shared" si="34"/>
        <v>2</v>
      </c>
      <c r="AK188" s="15">
        <f t="shared" si="35"/>
        <v>0.66206942736160623</v>
      </c>
      <c r="AL188" s="5">
        <v>2.8845000000000001</v>
      </c>
      <c r="AM188" s="5">
        <v>2.6804999999999999</v>
      </c>
      <c r="AN188" s="5">
        <f t="shared" si="36"/>
        <v>1.1084862818305572</v>
      </c>
      <c r="AO188" s="5">
        <f t="shared" si="37"/>
        <v>1.2692385897168403</v>
      </c>
      <c r="AR188" s="15"/>
    </row>
    <row r="189" spans="1:44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27"/>
        <v>6673.5511999999999</v>
      </c>
      <c r="M189" s="15"/>
      <c r="N189" s="15"/>
      <c r="O189" s="15"/>
      <c r="P189" s="15">
        <f t="shared" si="28"/>
        <v>120757247.77108172</v>
      </c>
      <c r="Q189" s="15"/>
      <c r="R189" s="15"/>
      <c r="S189" s="15">
        <v>932.0481981583614</v>
      </c>
      <c r="T189" s="15">
        <v>460</v>
      </c>
      <c r="U189" s="15">
        <v>210000</v>
      </c>
      <c r="V189" s="15">
        <f t="shared" si="29"/>
        <v>3.2936424940960127</v>
      </c>
      <c r="W189" s="63">
        <v>2.1806199999999998</v>
      </c>
      <c r="X189" s="15">
        <f t="shared" si="30"/>
        <v>0.66206942736160623</v>
      </c>
      <c r="Y189" s="15">
        <f>'Global Only'!Y189</f>
        <v>0.15592593543012154</v>
      </c>
      <c r="Z189" s="15">
        <f t="shared" si="31"/>
        <v>0.10323379478104336</v>
      </c>
      <c r="AA189" s="16">
        <v>0.13323622499439741</v>
      </c>
      <c r="AB189" s="15">
        <v>1.1026699208821982</v>
      </c>
      <c r="AC189" s="17">
        <v>2.5</v>
      </c>
      <c r="AD189" s="15"/>
      <c r="AE189" s="15"/>
      <c r="AF189" s="22" t="s">
        <v>5</v>
      </c>
      <c r="AG189" s="17">
        <f t="shared" si="32"/>
        <v>2032.4429418680859</v>
      </c>
      <c r="AH189" s="17">
        <v>592.45114178382642</v>
      </c>
      <c r="AI189" s="15">
        <f t="shared" si="33"/>
        <v>0.52698279905536205</v>
      </c>
      <c r="AJ189" s="17">
        <f t="shared" si="34"/>
        <v>2.5</v>
      </c>
      <c r="AK189" s="15">
        <f t="shared" si="35"/>
        <v>0.66206942736160623</v>
      </c>
      <c r="AL189" s="5">
        <v>2.8845000000000001</v>
      </c>
      <c r="AM189" s="5">
        <v>2.6804999999999999</v>
      </c>
      <c r="AN189" s="5">
        <f t="shared" si="36"/>
        <v>1.1084862818305572</v>
      </c>
      <c r="AO189" s="5">
        <f t="shared" si="37"/>
        <v>1.2906260520306219</v>
      </c>
      <c r="AR189" s="15"/>
    </row>
    <row r="190" spans="1:44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27"/>
        <v>4949.6792000000005</v>
      </c>
      <c r="M190" s="15"/>
      <c r="N190" s="15"/>
      <c r="O190" s="15"/>
      <c r="P190" s="15">
        <f t="shared" si="28"/>
        <v>90882005.914300933</v>
      </c>
      <c r="Q190" s="15"/>
      <c r="R190" s="15"/>
      <c r="S190" s="15">
        <v>694.88128366464787</v>
      </c>
      <c r="T190" s="15">
        <v>460</v>
      </c>
      <c r="U190" s="15">
        <v>210000</v>
      </c>
      <c r="V190" s="15">
        <f t="shared" si="29"/>
        <v>3.2766063578405675</v>
      </c>
      <c r="W190" s="63">
        <v>1.90164</v>
      </c>
      <c r="X190" s="15">
        <f t="shared" si="30"/>
        <v>0.58036876948907201</v>
      </c>
      <c r="Y190" s="15">
        <f>'Global Only'!Y190</f>
        <v>1.0690770128056741</v>
      </c>
      <c r="Z190" s="15">
        <f t="shared" si="31"/>
        <v>0.62045891041108203</v>
      </c>
      <c r="AA190" s="16"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2"/>
        <v>1321.4140442680409</v>
      </c>
      <c r="AH190" s="17">
        <v>2261.1404326980228</v>
      </c>
      <c r="AI190" s="15">
        <f t="shared" si="33"/>
        <v>36.406737309339654</v>
      </c>
      <c r="AJ190" s="17">
        <f t="shared" si="34"/>
        <v>0.29999999999999993</v>
      </c>
      <c r="AK190" s="15">
        <f t="shared" si="35"/>
        <v>0.58036876948907201</v>
      </c>
      <c r="AL190" s="56">
        <v>1.5359</v>
      </c>
      <c r="AM190" s="56">
        <v>1.4395</v>
      </c>
      <c r="AN190" s="56">
        <f t="shared" si="36"/>
        <v>1.508711845590718</v>
      </c>
      <c r="AO190" s="5">
        <f t="shared" si="37"/>
        <v>0.89978212117841583</v>
      </c>
      <c r="AR190" s="15"/>
    </row>
    <row r="191" spans="1:44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27"/>
        <v>4949.6792000000005</v>
      </c>
      <c r="M191" s="15"/>
      <c r="N191" s="15"/>
      <c r="O191" s="15"/>
      <c r="P191" s="15">
        <f t="shared" si="28"/>
        <v>90882005.914300933</v>
      </c>
      <c r="Q191" s="15"/>
      <c r="R191" s="15"/>
      <c r="S191" s="15">
        <v>694.88128366464787</v>
      </c>
      <c r="T191" s="15">
        <v>460</v>
      </c>
      <c r="U191" s="15">
        <v>210000</v>
      </c>
      <c r="V191" s="15">
        <f t="shared" si="29"/>
        <v>3.2766063578405675</v>
      </c>
      <c r="W191" s="63">
        <v>1.90164</v>
      </c>
      <c r="X191" s="15">
        <f t="shared" si="30"/>
        <v>0.58036876948907201</v>
      </c>
      <c r="Y191" s="15">
        <f>'Global Only'!Y191</f>
        <v>1.0485559542163709</v>
      </c>
      <c r="Z191" s="15">
        <f t="shared" si="31"/>
        <v>0.60854912888899493</v>
      </c>
      <c r="AA191" s="16">
        <v>0.51408639686053481</v>
      </c>
      <c r="AB191" s="15">
        <v>1.5093980321271014</v>
      </c>
      <c r="AC191" s="17">
        <v>0.5</v>
      </c>
      <c r="AD191" s="15"/>
      <c r="AE191" s="15"/>
      <c r="AF191" s="22" t="s">
        <v>5</v>
      </c>
      <c r="AG191" s="17">
        <f t="shared" si="32"/>
        <v>1321.4140442680409</v>
      </c>
      <c r="AH191" s="17">
        <v>2095.6401742937405</v>
      </c>
      <c r="AI191" s="15">
        <f t="shared" si="33"/>
        <v>13.106425431362274</v>
      </c>
      <c r="AJ191" s="17">
        <f t="shared" si="34"/>
        <v>0.49999999999999994</v>
      </c>
      <c r="AK191" s="15">
        <f t="shared" si="35"/>
        <v>0.58036876948907201</v>
      </c>
      <c r="AL191" s="5">
        <v>1.5359</v>
      </c>
      <c r="AM191" s="5">
        <v>1.4395</v>
      </c>
      <c r="AN191" s="5">
        <f t="shared" si="36"/>
        <v>1.508711845590718</v>
      </c>
      <c r="AO191" s="5">
        <f t="shared" si="37"/>
        <v>0.84477386040973035</v>
      </c>
      <c r="AR191" s="15"/>
    </row>
    <row r="192" spans="1:44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27"/>
        <v>4949.6792000000005</v>
      </c>
      <c r="M192" s="15"/>
      <c r="N192" s="15"/>
      <c r="O192" s="15"/>
      <c r="P192" s="15">
        <f t="shared" si="28"/>
        <v>90882005.914300933</v>
      </c>
      <c r="Q192" s="15"/>
      <c r="R192" s="15"/>
      <c r="S192" s="15">
        <v>694.88128366464787</v>
      </c>
      <c r="T192" s="15">
        <v>460</v>
      </c>
      <c r="U192" s="15">
        <v>210000</v>
      </c>
      <c r="V192" s="15">
        <f t="shared" si="29"/>
        <v>3.2766063578405675</v>
      </c>
      <c r="W192" s="63">
        <v>1.90164</v>
      </c>
      <c r="X192" s="15">
        <f t="shared" si="30"/>
        <v>0.58036876948907201</v>
      </c>
      <c r="Y192" s="15">
        <f>'Global Only'!Y192</f>
        <v>0.89607657884985892</v>
      </c>
      <c r="Z192" s="15">
        <f t="shared" si="31"/>
        <v>0.52005486143507007</v>
      </c>
      <c r="AA192" s="16">
        <v>0.43092763660477462</v>
      </c>
      <c r="AB192" s="15">
        <v>1.5093980321271014</v>
      </c>
      <c r="AC192" s="17">
        <v>0.75</v>
      </c>
      <c r="AD192" s="15"/>
      <c r="AE192" s="15"/>
      <c r="AF192" s="22" t="s">
        <v>5</v>
      </c>
      <c r="AG192" s="17">
        <f t="shared" si="32"/>
        <v>1321.4140442680409</v>
      </c>
      <c r="AH192" s="17">
        <v>1875.8358811854484</v>
      </c>
      <c r="AI192" s="15">
        <f t="shared" si="33"/>
        <v>5.8250779694943438</v>
      </c>
      <c r="AJ192" s="17">
        <f t="shared" si="34"/>
        <v>0.74999999999999989</v>
      </c>
      <c r="AK192" s="15">
        <f t="shared" si="35"/>
        <v>0.58036876948907201</v>
      </c>
      <c r="AL192" s="5">
        <v>1.5359</v>
      </c>
      <c r="AM192" s="5">
        <v>1.4395</v>
      </c>
      <c r="AN192" s="5">
        <f t="shared" si="36"/>
        <v>1.508711845590718</v>
      </c>
      <c r="AO192" s="5">
        <f t="shared" si="37"/>
        <v>0.8286195718191105</v>
      </c>
      <c r="AR192" s="15"/>
    </row>
    <row r="193" spans="1:44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27"/>
        <v>4949.6792000000005</v>
      </c>
      <c r="M193" s="15"/>
      <c r="N193" s="15"/>
      <c r="O193" s="15"/>
      <c r="P193" s="15">
        <f t="shared" si="28"/>
        <v>90882005.914300933</v>
      </c>
      <c r="Q193" s="15"/>
      <c r="R193" s="15"/>
      <c r="S193" s="15">
        <v>694.88128366464787</v>
      </c>
      <c r="T193" s="15">
        <v>460</v>
      </c>
      <c r="U193" s="15">
        <v>210000</v>
      </c>
      <c r="V193" s="15">
        <f t="shared" si="29"/>
        <v>3.2766063578405675</v>
      </c>
      <c r="W193" s="63">
        <v>1.90164</v>
      </c>
      <c r="X193" s="15">
        <f t="shared" si="30"/>
        <v>0.58036876948907201</v>
      </c>
      <c r="Y193" s="15">
        <f>'Global Only'!Y193</f>
        <v>0.75338774772404538</v>
      </c>
      <c r="Z193" s="15">
        <f t="shared" si="31"/>
        <v>0.43724272009474763</v>
      </c>
      <c r="AA193" s="16">
        <v>0.35958246514949044</v>
      </c>
      <c r="AB193" s="15">
        <v>1.5093980321271014</v>
      </c>
      <c r="AC193" s="17">
        <v>1</v>
      </c>
      <c r="AD193" s="15"/>
      <c r="AE193" s="15"/>
      <c r="AF193" s="22" t="s">
        <v>5</v>
      </c>
      <c r="AG193" s="17">
        <f t="shared" si="32"/>
        <v>1321.4140442680409</v>
      </c>
      <c r="AH193" s="17">
        <v>1633.3537030276418</v>
      </c>
      <c r="AI193" s="15">
        <f t="shared" si="33"/>
        <v>3.2766063578405684</v>
      </c>
      <c r="AJ193" s="17">
        <f t="shared" si="34"/>
        <v>0.99999999999999989</v>
      </c>
      <c r="AK193" s="15">
        <f t="shared" si="35"/>
        <v>0.58036876948907201</v>
      </c>
      <c r="AL193" s="5">
        <v>1.5359</v>
      </c>
      <c r="AM193" s="5">
        <v>1.4395</v>
      </c>
      <c r="AN193" s="5">
        <f t="shared" si="36"/>
        <v>1.508711845590718</v>
      </c>
      <c r="AO193" s="5">
        <f t="shared" si="37"/>
        <v>0.8223863969000359</v>
      </c>
      <c r="AR193" s="15"/>
    </row>
    <row r="194" spans="1:44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27"/>
        <v>4949.6792000000005</v>
      </c>
      <c r="M194" s="15"/>
      <c r="N194" s="15"/>
      <c r="O194" s="15"/>
      <c r="P194" s="15">
        <f t="shared" si="28"/>
        <v>90882005.914300933</v>
      </c>
      <c r="Q194" s="15"/>
      <c r="R194" s="15"/>
      <c r="S194" s="15">
        <v>694.88128366464787</v>
      </c>
      <c r="T194" s="15">
        <v>460</v>
      </c>
      <c r="U194" s="15">
        <v>210000</v>
      </c>
      <c r="V194" s="15">
        <f t="shared" si="29"/>
        <v>3.2766063578405675</v>
      </c>
      <c r="W194" s="63">
        <v>1.90164</v>
      </c>
      <c r="X194" s="15">
        <f t="shared" si="30"/>
        <v>0.58036876948907201</v>
      </c>
      <c r="Y194" s="15">
        <f>'Global Only'!Y194</f>
        <v>0.5128394270725648</v>
      </c>
      <c r="Z194" s="15">
        <f t="shared" si="31"/>
        <v>0.2976359872355851</v>
      </c>
      <c r="AA194" s="16">
        <v>0.27766836041023263</v>
      </c>
      <c r="AB194" s="15">
        <v>1.5093980321271014</v>
      </c>
      <c r="AC194" s="17">
        <v>1.33</v>
      </c>
      <c r="AD194" s="15"/>
      <c r="AE194" s="15"/>
      <c r="AF194" s="22" t="s">
        <v>5</v>
      </c>
      <c r="AG194" s="17">
        <f t="shared" si="32"/>
        <v>1321.4140442680409</v>
      </c>
      <c r="AH194" s="17">
        <v>1301.0881446910751</v>
      </c>
      <c r="AI194" s="15">
        <f t="shared" si="33"/>
        <v>1.8523412051786807</v>
      </c>
      <c r="AJ194" s="17">
        <f t="shared" si="34"/>
        <v>1.3299999999999998</v>
      </c>
      <c r="AK194" s="15">
        <f t="shared" si="35"/>
        <v>0.58036876948907201</v>
      </c>
      <c r="AL194" s="5">
        <v>1.5359</v>
      </c>
      <c r="AM194" s="5">
        <v>1.4395</v>
      </c>
      <c r="AN194" s="5">
        <f t="shared" si="36"/>
        <v>1.508711845590718</v>
      </c>
      <c r="AO194" s="5">
        <f t="shared" si="37"/>
        <v>0.93291259228828505</v>
      </c>
      <c r="AR194" s="15"/>
    </row>
    <row r="195" spans="1:44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27"/>
        <v>4949.6792000000005</v>
      </c>
      <c r="M195" s="15"/>
      <c r="N195" s="15"/>
      <c r="O195" s="15"/>
      <c r="P195" s="15">
        <f t="shared" si="28"/>
        <v>90882005.914300933</v>
      </c>
      <c r="Q195" s="15"/>
      <c r="R195" s="15"/>
      <c r="S195" s="15">
        <v>694.88128366464787</v>
      </c>
      <c r="T195" s="15">
        <v>460</v>
      </c>
      <c r="U195" s="15">
        <v>210000</v>
      </c>
      <c r="V195" s="15">
        <f t="shared" si="29"/>
        <v>3.2766063578405675</v>
      </c>
      <c r="W195" s="63">
        <v>1.90164</v>
      </c>
      <c r="X195" s="15">
        <f t="shared" si="30"/>
        <v>0.58036876948907201</v>
      </c>
      <c r="Y195" s="15">
        <f>'Global Only'!Y195</f>
        <v>0.34231417657122359</v>
      </c>
      <c r="Z195" s="15">
        <f t="shared" si="31"/>
        <v>0.19866845743530595</v>
      </c>
      <c r="AA195" s="16">
        <v>0.21004550363729052</v>
      </c>
      <c r="AB195" s="15">
        <v>1.5093980321271014</v>
      </c>
      <c r="AC195" s="17">
        <v>1.67</v>
      </c>
      <c r="AD195" s="15"/>
      <c r="AE195" s="15"/>
      <c r="AF195" s="22" t="s">
        <v>5</v>
      </c>
      <c r="AG195" s="17">
        <f t="shared" si="32"/>
        <v>1321.4140442680409</v>
      </c>
      <c r="AH195" s="17">
        <v>999.98754697515585</v>
      </c>
      <c r="AI195" s="15">
        <f t="shared" si="33"/>
        <v>1.1748740929544153</v>
      </c>
      <c r="AJ195" s="17">
        <f t="shared" si="34"/>
        <v>1.6699999999999997</v>
      </c>
      <c r="AK195" s="15">
        <f t="shared" si="35"/>
        <v>0.58036876948907201</v>
      </c>
      <c r="AL195" s="5">
        <v>1.5359</v>
      </c>
      <c r="AM195" s="5">
        <v>1.4395</v>
      </c>
      <c r="AN195" s="5">
        <f t="shared" si="36"/>
        <v>1.508711845590718</v>
      </c>
      <c r="AO195" s="5">
        <f t="shared" si="37"/>
        <v>1.0572664948872892</v>
      </c>
      <c r="AR195" s="15"/>
    </row>
    <row r="196" spans="1:44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27"/>
        <v>4949.6792000000005</v>
      </c>
      <c r="M196" s="15"/>
      <c r="N196" s="15"/>
      <c r="O196" s="15"/>
      <c r="P196" s="15">
        <f t="shared" si="28"/>
        <v>90882005.914300933</v>
      </c>
      <c r="Q196" s="15"/>
      <c r="R196" s="15"/>
      <c r="S196" s="15">
        <v>694.88128366464787</v>
      </c>
      <c r="T196" s="15">
        <v>460</v>
      </c>
      <c r="U196" s="15">
        <v>210000</v>
      </c>
      <c r="V196" s="15">
        <f t="shared" si="29"/>
        <v>3.2766063578405675</v>
      </c>
      <c r="W196" s="63">
        <v>1.90164</v>
      </c>
      <c r="X196" s="15">
        <f t="shared" si="30"/>
        <v>0.58036876948907201</v>
      </c>
      <c r="Y196" s="15">
        <f>'Global Only'!Y196</f>
        <v>0.24303021306316197</v>
      </c>
      <c r="Z196" s="15">
        <f t="shared" si="31"/>
        <v>0.14104714570413432</v>
      </c>
      <c r="AA196" s="16">
        <v>0.16055226270390693</v>
      </c>
      <c r="AB196" s="15">
        <v>1.5093980321271014</v>
      </c>
      <c r="AC196" s="17">
        <v>2</v>
      </c>
      <c r="AD196" s="15"/>
      <c r="AE196" s="15"/>
      <c r="AF196" s="22" t="s">
        <v>5</v>
      </c>
      <c r="AG196" s="17">
        <f t="shared" si="32"/>
        <v>1321.4140442680409</v>
      </c>
      <c r="AH196" s="17">
        <v>775.52527582737423</v>
      </c>
      <c r="AI196" s="15">
        <f t="shared" si="33"/>
        <v>0.8191515894601421</v>
      </c>
      <c r="AJ196" s="17">
        <f t="shared" si="34"/>
        <v>1.9999999999999998</v>
      </c>
      <c r="AK196" s="15">
        <f t="shared" si="35"/>
        <v>0.58036876948907201</v>
      </c>
      <c r="AL196" s="5">
        <v>1.5359</v>
      </c>
      <c r="AM196" s="5">
        <v>1.4395</v>
      </c>
      <c r="AN196" s="5">
        <f t="shared" si="36"/>
        <v>1.508711845590718</v>
      </c>
      <c r="AO196" s="5">
        <f t="shared" si="37"/>
        <v>1.1382879242426307</v>
      </c>
      <c r="AR196" s="15"/>
    </row>
    <row r="197" spans="1:44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27"/>
        <v>4949.6792000000005</v>
      </c>
      <c r="M197" s="42"/>
      <c r="N197" s="42"/>
      <c r="O197" s="42"/>
      <c r="P197" s="42">
        <f t="shared" si="28"/>
        <v>90882005.914300933</v>
      </c>
      <c r="Q197" s="42"/>
      <c r="R197" s="42"/>
      <c r="S197" s="42">
        <v>694.88128366464787</v>
      </c>
      <c r="T197" s="42">
        <v>460</v>
      </c>
      <c r="U197" s="42">
        <v>210000</v>
      </c>
      <c r="V197" s="42">
        <f t="shared" si="29"/>
        <v>3.2766063578405675</v>
      </c>
      <c r="W197" s="63">
        <v>1.90164</v>
      </c>
      <c r="X197" s="42">
        <f t="shared" si="30"/>
        <v>0.58036876948907201</v>
      </c>
      <c r="Y197" s="42">
        <f>'Global Only'!Y197</f>
        <v>0.15642704316798575</v>
      </c>
      <c r="Z197" s="42">
        <f t="shared" si="31"/>
        <v>9.0785370558217837E-2</v>
      </c>
      <c r="AA197" s="41">
        <v>0.1104096889307592</v>
      </c>
      <c r="AB197" s="42">
        <v>1.5093980321271014</v>
      </c>
      <c r="AC197" s="43">
        <v>2.5</v>
      </c>
      <c r="AD197" s="42"/>
      <c r="AE197" s="42"/>
      <c r="AF197" s="44" t="s">
        <v>5</v>
      </c>
      <c r="AG197" s="43">
        <f t="shared" si="32"/>
        <v>1321.4140442680409</v>
      </c>
      <c r="AH197" s="43">
        <v>544.22774210074158</v>
      </c>
      <c r="AI197" s="42">
        <f t="shared" si="33"/>
        <v>0.52425701725449092</v>
      </c>
      <c r="AJ197" s="43">
        <f t="shared" si="34"/>
        <v>2.4999999999999996</v>
      </c>
      <c r="AK197" s="42">
        <f t="shared" si="35"/>
        <v>0.58036876948907201</v>
      </c>
      <c r="AL197" s="5">
        <v>1.5359</v>
      </c>
      <c r="AM197" s="5">
        <v>1.4395</v>
      </c>
      <c r="AN197" s="5">
        <f t="shared" si="36"/>
        <v>1.508711845590718</v>
      </c>
      <c r="AO197" s="5">
        <f t="shared" si="37"/>
        <v>1.2161616816880965</v>
      </c>
      <c r="AR197" s="42"/>
    </row>
    <row r="198" spans="1:44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27"/>
        <v>14073.1</v>
      </c>
      <c r="M198" s="49"/>
      <c r="N198" s="49"/>
      <c r="O198" s="49"/>
      <c r="P198" s="49">
        <f t="shared" si="28"/>
        <v>288390694.1583333</v>
      </c>
      <c r="Q198" s="49"/>
      <c r="R198" s="49"/>
      <c r="S198" s="49">
        <v>1494.3734892590751</v>
      </c>
      <c r="T198" s="49">
        <v>355</v>
      </c>
      <c r="U198" s="49">
        <v>210000</v>
      </c>
      <c r="V198" s="49">
        <f t="shared" si="29"/>
        <v>3.3431739360399391</v>
      </c>
      <c r="W198" s="65">
        <v>3.5432100000000002</v>
      </c>
      <c r="X198" s="49">
        <f t="shared" si="30"/>
        <v>1.0598341778761915</v>
      </c>
      <c r="Y198" s="49">
        <f>'Global Only'!Y198</f>
        <v>1.0488571265650899</v>
      </c>
      <c r="Z198" s="49">
        <f t="shared" si="31"/>
        <v>1.1116146304426966</v>
      </c>
      <c r="AA198" s="51">
        <v>0.98558693456396751</v>
      </c>
      <c r="AB198" s="49">
        <v>0.3550200773318104</v>
      </c>
      <c r="AC198" s="52">
        <v>0.3</v>
      </c>
      <c r="AD198" s="49"/>
      <c r="AE198" s="36" t="s">
        <v>528</v>
      </c>
      <c r="AF198" s="53" t="s">
        <v>5</v>
      </c>
      <c r="AG198" s="52">
        <f t="shared" si="32"/>
        <v>5294.8790908776473</v>
      </c>
      <c r="AH198" s="52">
        <v>4741.8953999865516</v>
      </c>
      <c r="AI198" s="49">
        <f t="shared" si="33"/>
        <v>37.146377067110429</v>
      </c>
      <c r="AJ198" s="52">
        <f t="shared" si="34"/>
        <v>0.30000000000000004</v>
      </c>
      <c r="AK198" s="49">
        <f t="shared" si="35"/>
        <v>1.0598341778761915</v>
      </c>
      <c r="AL198" s="56">
        <v>26.521000000000001</v>
      </c>
      <c r="AM198" s="56">
        <v>24.673999999999999</v>
      </c>
      <c r="AN198" s="56">
        <f t="shared" si="36"/>
        <v>0.36809482005128952</v>
      </c>
      <c r="AO198" s="5">
        <f t="shared" si="37"/>
        <v>0.88662645090543746</v>
      </c>
      <c r="AR198" s="49" t="s">
        <v>528</v>
      </c>
    </row>
    <row r="199" spans="1:44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39">2*C199*F199+(E199-2*F199)*H199</f>
        <v>14073.1</v>
      </c>
      <c r="M199" s="25"/>
      <c r="N199" s="25"/>
      <c r="O199" s="25"/>
      <c r="P199" s="25">
        <f t="shared" ref="P199:P262" si="40">(H199*(E199-2*F199)^3)/12 + (C199*F199^3)/6 + 2*C199*F199*(E199/2 - F199/2)^2</f>
        <v>288390694.1583333</v>
      </c>
      <c r="Q199" s="25"/>
      <c r="R199" s="25"/>
      <c r="S199" s="25">
        <v>1494.3734892590751</v>
      </c>
      <c r="T199" s="25">
        <v>355</v>
      </c>
      <c r="U199" s="25">
        <v>210000</v>
      </c>
      <c r="V199" s="25">
        <f t="shared" ref="V199:V262" si="41">L199*T199/(S199*1000)</f>
        <v>3.3431739360399391</v>
      </c>
      <c r="W199" s="63">
        <v>3.5432100000000002</v>
      </c>
      <c r="X199" s="25">
        <f t="shared" ref="X199:X262" si="42">AK199</f>
        <v>1.0598341778761915</v>
      </c>
      <c r="Y199" s="25">
        <f>'Global Only'!Y199</f>
        <v>0.96411920712689858</v>
      </c>
      <c r="Z199" s="25">
        <f t="shared" ref="Z199:Z262" si="43">X199*Y199</f>
        <v>1.0218064872599821</v>
      </c>
      <c r="AA199" s="46">
        <v>0.91070006981212637</v>
      </c>
      <c r="AB199" s="25">
        <v>0.3550200773318104</v>
      </c>
      <c r="AC199" s="47">
        <v>0.5</v>
      </c>
      <c r="AD199" s="25"/>
      <c r="AE199" s="15" t="s">
        <v>536</v>
      </c>
      <c r="AF199" s="48" t="s">
        <v>5</v>
      </c>
      <c r="AG199" s="47">
        <f t="shared" ref="AG199:AG262" si="44">W199*S199</f>
        <v>5294.8790908776473</v>
      </c>
      <c r="AH199" s="47">
        <v>4211.5414591305607</v>
      </c>
      <c r="AI199" s="25">
        <f t="shared" ref="AI199:AI262" si="45">(PI()^2*U199*P199/K199^2)/(S199*1000)</f>
        <v>13.372695744159756</v>
      </c>
      <c r="AJ199" s="47">
        <f t="shared" ref="AJ199:AJ262" si="46">(V199/AI199)^0.5</f>
        <v>0.5</v>
      </c>
      <c r="AK199" s="25">
        <f t="shared" ref="AK199:AK262" si="47">W199/V199</f>
        <v>1.0598341778761915</v>
      </c>
      <c r="AL199" s="5">
        <v>26.521000000000001</v>
      </c>
      <c r="AM199" s="5">
        <v>24.673999999999999</v>
      </c>
      <c r="AN199" s="5">
        <f t="shared" ref="AN199:AN262" si="48">(V199/AM199)^0.5</f>
        <v>0.36809482005128952</v>
      </c>
      <c r="AO199" s="5">
        <f t="shared" ref="AO199:AO262" si="49">AA199/Z199</f>
        <v>0.89126471711312738</v>
      </c>
      <c r="AR199" s="25" t="s">
        <v>536</v>
      </c>
    </row>
    <row r="200" spans="1:44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39"/>
        <v>14073.1</v>
      </c>
      <c r="M200" s="25"/>
      <c r="N200" s="25"/>
      <c r="O200" s="25"/>
      <c r="P200" s="25">
        <f t="shared" si="40"/>
        <v>288390694.1583333</v>
      </c>
      <c r="Q200" s="25"/>
      <c r="R200" s="25"/>
      <c r="S200" s="25">
        <v>1494.3734892590751</v>
      </c>
      <c r="T200" s="25">
        <v>355</v>
      </c>
      <c r="U200" s="25">
        <v>210000</v>
      </c>
      <c r="V200" s="25">
        <f t="shared" si="41"/>
        <v>3.3431739360399391</v>
      </c>
      <c r="W200" s="63">
        <v>3.5432100000000002</v>
      </c>
      <c r="X200" s="25">
        <f t="shared" si="42"/>
        <v>1.0598341778761915</v>
      </c>
      <c r="Y200" s="25">
        <f>'Global Only'!Y200</f>
        <v>0.77809603336558075</v>
      </c>
      <c r="Z200" s="25">
        <f t="shared" si="43"/>
        <v>0.82465276983073599</v>
      </c>
      <c r="AA200" s="46">
        <v>0.80944783012296773</v>
      </c>
      <c r="AB200" s="25">
        <v>0.3550200773318104</v>
      </c>
      <c r="AC200" s="47">
        <v>0.75</v>
      </c>
      <c r="AD200" s="25"/>
      <c r="AE200" s="15" t="s">
        <v>544</v>
      </c>
      <c r="AF200" s="48" t="s">
        <v>5</v>
      </c>
      <c r="AG200" s="47">
        <f t="shared" si="44"/>
        <v>5294.8790908776473</v>
      </c>
      <c r="AH200" s="47">
        <v>3464.8722437168653</v>
      </c>
      <c r="AI200" s="25">
        <f t="shared" si="45"/>
        <v>5.9434203307376707</v>
      </c>
      <c r="AJ200" s="47">
        <f t="shared" si="46"/>
        <v>0.74999999999999989</v>
      </c>
      <c r="AK200" s="25">
        <f t="shared" si="47"/>
        <v>1.0598341778761915</v>
      </c>
      <c r="AL200" s="5">
        <v>26.521000000000001</v>
      </c>
      <c r="AM200" s="5">
        <v>24.673999999999999</v>
      </c>
      <c r="AN200" s="5">
        <f t="shared" si="48"/>
        <v>0.36809482005128952</v>
      </c>
      <c r="AO200" s="5">
        <f t="shared" si="49"/>
        <v>0.98156200977668562</v>
      </c>
      <c r="AR200" s="25" t="s">
        <v>544</v>
      </c>
    </row>
    <row r="201" spans="1:44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39"/>
        <v>14073.1</v>
      </c>
      <c r="M201" s="25"/>
      <c r="N201" s="25"/>
      <c r="O201" s="25"/>
      <c r="P201" s="25">
        <f t="shared" si="40"/>
        <v>288390694.1583333</v>
      </c>
      <c r="Q201" s="25"/>
      <c r="R201" s="25"/>
      <c r="S201" s="25">
        <v>1494.3734892590751</v>
      </c>
      <c r="T201" s="25">
        <v>355</v>
      </c>
      <c r="U201" s="25">
        <v>210000</v>
      </c>
      <c r="V201" s="25">
        <f t="shared" si="41"/>
        <v>3.3431739360399391</v>
      </c>
      <c r="W201" s="63">
        <v>3.5432100000000002</v>
      </c>
      <c r="X201" s="25">
        <f t="shared" si="42"/>
        <v>1.0598341778761915</v>
      </c>
      <c r="Y201" s="25">
        <f>'Global Only'!Y201</f>
        <v>0.64419662533195954</v>
      </c>
      <c r="Z201" s="25">
        <f t="shared" si="43"/>
        <v>0.68274160079931434</v>
      </c>
      <c r="AA201" s="46">
        <v>0.67878203405004889</v>
      </c>
      <c r="AB201" s="25">
        <v>0.3550200773318104</v>
      </c>
      <c r="AC201" s="47">
        <v>1</v>
      </c>
      <c r="AD201" s="25"/>
      <c r="AE201" s="15" t="s">
        <v>552</v>
      </c>
      <c r="AF201" s="48" t="s">
        <v>5</v>
      </c>
      <c r="AG201" s="47">
        <f t="shared" si="44"/>
        <v>5294.8790908776473</v>
      </c>
      <c r="AH201" s="47">
        <v>2697.5086530284602</v>
      </c>
      <c r="AI201" s="25">
        <f t="shared" si="45"/>
        <v>3.3431739360399391</v>
      </c>
      <c r="AJ201" s="47">
        <f t="shared" si="46"/>
        <v>1</v>
      </c>
      <c r="AK201" s="25">
        <f t="shared" si="47"/>
        <v>1.0598341778761915</v>
      </c>
      <c r="AL201" s="5">
        <v>26.521000000000001</v>
      </c>
      <c r="AM201" s="5">
        <v>24.673999999999999</v>
      </c>
      <c r="AN201" s="5">
        <f t="shared" si="48"/>
        <v>0.36809482005128952</v>
      </c>
      <c r="AO201" s="5">
        <f t="shared" si="49"/>
        <v>0.99420048998826227</v>
      </c>
      <c r="AR201" s="25" t="s">
        <v>552</v>
      </c>
    </row>
    <row r="202" spans="1:44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39"/>
        <v>14073.1</v>
      </c>
      <c r="M202" s="25"/>
      <c r="N202" s="25"/>
      <c r="O202" s="25"/>
      <c r="P202" s="25">
        <f t="shared" si="40"/>
        <v>288390694.1583333</v>
      </c>
      <c r="Q202" s="25"/>
      <c r="R202" s="25"/>
      <c r="S202" s="25">
        <v>1494.3734892590751</v>
      </c>
      <c r="T202" s="25">
        <v>355</v>
      </c>
      <c r="U202" s="25">
        <v>210000</v>
      </c>
      <c r="V202" s="25">
        <f t="shared" si="41"/>
        <v>3.3431739360399391</v>
      </c>
      <c r="W202" s="63">
        <v>3.5432100000000002</v>
      </c>
      <c r="X202" s="25">
        <f t="shared" si="42"/>
        <v>1.0598341778761915</v>
      </c>
      <c r="Y202" s="25">
        <f>'Global Only'!Y202</f>
        <v>0.47310858703368386</v>
      </c>
      <c r="Z202" s="25">
        <f t="shared" si="43"/>
        <v>0.50141665038501093</v>
      </c>
      <c r="AA202" s="46">
        <v>0.48373146824477181</v>
      </c>
      <c r="AB202" s="25">
        <v>0.3550200773318104</v>
      </c>
      <c r="AC202" s="47">
        <v>1.33</v>
      </c>
      <c r="AD202" s="25"/>
      <c r="AE202" s="15" t="s">
        <v>560</v>
      </c>
      <c r="AF202" s="48" t="s">
        <v>5</v>
      </c>
      <c r="AG202" s="47">
        <f t="shared" si="44"/>
        <v>5294.8790908776473</v>
      </c>
      <c r="AH202" s="47">
        <v>1880.4399720886074</v>
      </c>
      <c r="AI202" s="25">
        <f t="shared" si="45"/>
        <v>1.88997339365704</v>
      </c>
      <c r="AJ202" s="47">
        <f t="shared" si="46"/>
        <v>1.3300000000000003</v>
      </c>
      <c r="AK202" s="25">
        <f t="shared" si="47"/>
        <v>1.0598341778761915</v>
      </c>
      <c r="AL202" s="5">
        <v>26.521000000000001</v>
      </c>
      <c r="AM202" s="5">
        <v>24.673999999999999</v>
      </c>
      <c r="AN202" s="5">
        <f t="shared" si="48"/>
        <v>0.36809482005128952</v>
      </c>
      <c r="AO202" s="5">
        <f t="shared" si="49"/>
        <v>0.96472956746318728</v>
      </c>
      <c r="AR202" s="25" t="s">
        <v>560</v>
      </c>
    </row>
    <row r="203" spans="1:44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39"/>
        <v>14073.1</v>
      </c>
      <c r="M203" s="25"/>
      <c r="N203" s="25"/>
      <c r="O203" s="25"/>
      <c r="P203" s="25">
        <f t="shared" si="40"/>
        <v>288390694.1583333</v>
      </c>
      <c r="Q203" s="25"/>
      <c r="R203" s="25"/>
      <c r="S203" s="25">
        <v>1494.3734892590751</v>
      </c>
      <c r="T203" s="25">
        <v>355</v>
      </c>
      <c r="U203" s="25">
        <v>210000</v>
      </c>
      <c r="V203" s="25">
        <f t="shared" si="41"/>
        <v>3.3431739360399391</v>
      </c>
      <c r="W203" s="63">
        <v>3.5432100000000002</v>
      </c>
      <c r="X203" s="25">
        <f t="shared" si="42"/>
        <v>1.0598341778761915</v>
      </c>
      <c r="Y203" s="25">
        <f>'Global Only'!Y203</f>
        <v>0.32042767494269897</v>
      </c>
      <c r="Z203" s="25">
        <f t="shared" si="43"/>
        <v>0.33960020144167491</v>
      </c>
      <c r="AA203" s="46">
        <v>0.32695408278431892</v>
      </c>
      <c r="AB203" s="25">
        <v>0.3550200773318104</v>
      </c>
      <c r="AC203" s="47">
        <v>1.67</v>
      </c>
      <c r="AD203" s="25"/>
      <c r="AE203" s="15" t="s">
        <v>568</v>
      </c>
      <c r="AF203" s="48" t="s">
        <v>5</v>
      </c>
      <c r="AG203" s="47">
        <f t="shared" si="44"/>
        <v>5294.8790908776473</v>
      </c>
      <c r="AH203" s="47">
        <v>1325.4313219327296</v>
      </c>
      <c r="AI203" s="25">
        <f t="shared" si="45"/>
        <v>1.1987428506005733</v>
      </c>
      <c r="AJ203" s="47">
        <f t="shared" si="46"/>
        <v>1.6700000000000002</v>
      </c>
      <c r="AK203" s="25">
        <f t="shared" si="47"/>
        <v>1.0598341778761915</v>
      </c>
      <c r="AL203" s="5">
        <v>26.521000000000001</v>
      </c>
      <c r="AM203" s="5">
        <v>24.673999999999999</v>
      </c>
      <c r="AN203" s="5">
        <f t="shared" si="48"/>
        <v>0.36809482005128952</v>
      </c>
      <c r="AO203" s="5">
        <f t="shared" si="49"/>
        <v>0.96276174571254514</v>
      </c>
      <c r="AR203" s="25" t="s">
        <v>568</v>
      </c>
    </row>
    <row r="204" spans="1:44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39"/>
        <v>14073.1</v>
      </c>
      <c r="M204" s="25"/>
      <c r="N204" s="25"/>
      <c r="O204" s="25"/>
      <c r="P204" s="25">
        <f t="shared" si="40"/>
        <v>288390694.1583333</v>
      </c>
      <c r="Q204" s="25"/>
      <c r="R204" s="25"/>
      <c r="S204" s="25">
        <v>1494.3734892590751</v>
      </c>
      <c r="T204" s="25">
        <v>355</v>
      </c>
      <c r="U204" s="25">
        <v>210000</v>
      </c>
      <c r="V204" s="25">
        <f t="shared" si="41"/>
        <v>3.3431739360399391</v>
      </c>
      <c r="W204" s="63">
        <v>3.5432100000000002</v>
      </c>
      <c r="X204" s="25">
        <f t="shared" si="42"/>
        <v>1.0598341778761915</v>
      </c>
      <c r="Y204" s="25">
        <f>'Global Only'!Y204</f>
        <v>0.21888654856151413</v>
      </c>
      <c r="Z204" s="25">
        <f t="shared" si="43"/>
        <v>0.23198344524284939</v>
      </c>
      <c r="AA204" s="46">
        <v>0.23151684999002192</v>
      </c>
      <c r="AB204" s="25">
        <v>0.3550200773318104</v>
      </c>
      <c r="AC204" s="47">
        <v>2</v>
      </c>
      <c r="AD204" s="25"/>
      <c r="AE204" s="15" t="s">
        <v>576</v>
      </c>
      <c r="AF204" s="48" t="s">
        <v>5</v>
      </c>
      <c r="AG204" s="47">
        <f t="shared" si="44"/>
        <v>5294.8790908776473</v>
      </c>
      <c r="AH204" s="47">
        <v>980.12365232843217</v>
      </c>
      <c r="AI204" s="25">
        <f t="shared" si="45"/>
        <v>0.83579348400998477</v>
      </c>
      <c r="AJ204" s="47">
        <f t="shared" si="46"/>
        <v>2</v>
      </c>
      <c r="AK204" s="25">
        <f t="shared" si="47"/>
        <v>1.0598341778761915</v>
      </c>
      <c r="AL204" s="5">
        <v>26.521000000000001</v>
      </c>
      <c r="AM204" s="5">
        <v>24.673999999999999</v>
      </c>
      <c r="AN204" s="5">
        <f t="shared" si="48"/>
        <v>0.36809482005128952</v>
      </c>
      <c r="AO204" s="5">
        <f>AA204/Z204</f>
        <v>0.99798867004350666</v>
      </c>
      <c r="AR204" s="25" t="s">
        <v>576</v>
      </c>
    </row>
    <row r="205" spans="1:44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39"/>
        <v>14073.1</v>
      </c>
      <c r="M205" s="25"/>
      <c r="N205" s="25"/>
      <c r="O205" s="25"/>
      <c r="P205" s="25">
        <f t="shared" si="40"/>
        <v>288390694.1583333</v>
      </c>
      <c r="Q205" s="25"/>
      <c r="R205" s="25"/>
      <c r="S205" s="25">
        <v>1494.3734892590751</v>
      </c>
      <c r="T205" s="25">
        <v>355</v>
      </c>
      <c r="U205" s="25">
        <v>210000</v>
      </c>
      <c r="V205" s="25">
        <f t="shared" si="41"/>
        <v>3.3431739360399391</v>
      </c>
      <c r="W205" s="63">
        <v>3.5432100000000002</v>
      </c>
      <c r="X205" s="25">
        <f t="shared" si="42"/>
        <v>1.0598341778761915</v>
      </c>
      <c r="Y205" s="25">
        <f>'Global Only'!Y205</f>
        <v>0.13785322324083435</v>
      </c>
      <c r="Z205" s="25">
        <f t="shared" si="43"/>
        <v>0.14610155752103277</v>
      </c>
      <c r="AA205" s="46">
        <v>0.14970290892677518</v>
      </c>
      <c r="AB205" s="25">
        <v>0.3550200773318104</v>
      </c>
      <c r="AC205" s="47">
        <v>2.5</v>
      </c>
      <c r="AD205" s="25"/>
      <c r="AE205" s="15" t="s">
        <v>584</v>
      </c>
      <c r="AF205" s="48" t="s">
        <v>5</v>
      </c>
      <c r="AG205" s="47">
        <f t="shared" si="44"/>
        <v>5294.8790908776473</v>
      </c>
      <c r="AH205" s="47">
        <v>661.79549313716848</v>
      </c>
      <c r="AI205" s="25">
        <f t="shared" si="45"/>
        <v>0.53490782976639017</v>
      </c>
      <c r="AJ205" s="47">
        <f t="shared" si="46"/>
        <v>2.5</v>
      </c>
      <c r="AK205" s="25">
        <f t="shared" si="47"/>
        <v>1.0598341778761915</v>
      </c>
      <c r="AL205" s="5">
        <v>26.521000000000001</v>
      </c>
      <c r="AM205" s="5">
        <v>24.673999999999999</v>
      </c>
      <c r="AN205" s="5">
        <f t="shared" si="48"/>
        <v>0.36809482005128952</v>
      </c>
      <c r="AO205" s="5">
        <f t="shared" si="49"/>
        <v>1.0246496441711375</v>
      </c>
      <c r="AR205" s="25" t="s">
        <v>584</v>
      </c>
    </row>
    <row r="206" spans="1:44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9"/>
        <v>10828</v>
      </c>
      <c r="M206" s="15"/>
      <c r="N206" s="15"/>
      <c r="O206" s="15"/>
      <c r="P206" s="15">
        <f t="shared" si="40"/>
        <v>250766734.33333331</v>
      </c>
      <c r="Q206" s="15"/>
      <c r="R206" s="15"/>
      <c r="S206" s="15">
        <v>1153.6060772107771</v>
      </c>
      <c r="T206" s="15">
        <v>355</v>
      </c>
      <c r="U206" s="15">
        <v>210000</v>
      </c>
      <c r="V206" s="15">
        <f t="shared" si="41"/>
        <v>3.3321079664333872</v>
      </c>
      <c r="W206" s="63">
        <v>3.3866499999999999</v>
      </c>
      <c r="X206" s="15">
        <f t="shared" si="42"/>
        <v>1.0163686273422265</v>
      </c>
      <c r="Y206" s="15">
        <f>'Global Only'!Y206</f>
        <v>1.0780827430922897</v>
      </c>
      <c r="Z206" s="15">
        <f t="shared" si="43"/>
        <v>1.0957294777580528</v>
      </c>
      <c r="AA206" s="16">
        <v>0.97841137723530747</v>
      </c>
      <c r="AB206" s="15">
        <v>0.50420742049940981</v>
      </c>
      <c r="AC206" s="17">
        <v>0.3</v>
      </c>
      <c r="AD206" s="15"/>
      <c r="AE206" s="15" t="s">
        <v>592</v>
      </c>
      <c r="AF206" s="22" t="s">
        <v>5</v>
      </c>
      <c r="AG206" s="17">
        <f t="shared" si="44"/>
        <v>3906.8600213858781</v>
      </c>
      <c r="AH206" s="17">
        <v>3648.4671743293502</v>
      </c>
      <c r="AI206" s="15">
        <f t="shared" si="45"/>
        <v>37.023421849259854</v>
      </c>
      <c r="AJ206" s="17">
        <f>(V206/AI206)^0.5</f>
        <v>0.30000000000000004</v>
      </c>
      <c r="AK206" s="15">
        <f t="shared" si="47"/>
        <v>1.0163686273422265</v>
      </c>
      <c r="AL206" s="56">
        <v>15.672000000000001</v>
      </c>
      <c r="AM206" s="56">
        <v>14.519</v>
      </c>
      <c r="AN206" s="56">
        <f t="shared" si="48"/>
        <v>0.47906140055312674</v>
      </c>
      <c r="AO206" s="5">
        <f t="shared" si="49"/>
        <v>0.89293151009974903</v>
      </c>
      <c r="AR206" s="15" t="s">
        <v>592</v>
      </c>
    </row>
    <row r="207" spans="1:44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9"/>
        <v>10828</v>
      </c>
      <c r="M207" s="15"/>
      <c r="N207" s="15"/>
      <c r="O207" s="15"/>
      <c r="P207" s="15">
        <f t="shared" si="40"/>
        <v>250766734.33333331</v>
      </c>
      <c r="Q207" s="15"/>
      <c r="R207" s="15"/>
      <c r="S207" s="15">
        <v>1153.6060772107771</v>
      </c>
      <c r="T207" s="15">
        <v>355</v>
      </c>
      <c r="U207" s="15">
        <v>210000</v>
      </c>
      <c r="V207" s="15">
        <f t="shared" si="41"/>
        <v>3.3321079664333872</v>
      </c>
      <c r="W207" s="63">
        <v>3.3866499999999999</v>
      </c>
      <c r="X207" s="15">
        <f t="shared" si="42"/>
        <v>1.0163686273422265</v>
      </c>
      <c r="Y207" s="15">
        <f>'Global Only'!Y207</f>
        <v>0.94406565478987736</v>
      </c>
      <c r="Z207" s="15">
        <f t="shared" si="43"/>
        <v>0.95951871367972796</v>
      </c>
      <c r="AA207" s="16">
        <v>0.89463025222954107</v>
      </c>
      <c r="AB207" s="15">
        <v>0.50420742049940981</v>
      </c>
      <c r="AC207" s="17">
        <v>0.5</v>
      </c>
      <c r="AD207" s="15"/>
      <c r="AE207" s="15" t="s">
        <v>600</v>
      </c>
      <c r="AF207" s="22" t="s">
        <v>5</v>
      </c>
      <c r="AG207" s="17">
        <f t="shared" si="44"/>
        <v>3906.8600213858781</v>
      </c>
      <c r="AH207" s="17">
        <v>3240.4069408634709</v>
      </c>
      <c r="AI207" s="15">
        <f t="shared" si="45"/>
        <v>13.328431865733553</v>
      </c>
      <c r="AJ207" s="17">
        <f t="shared" si="46"/>
        <v>0.49999999999999994</v>
      </c>
      <c r="AK207" s="15">
        <f t="shared" si="47"/>
        <v>1.0163686273422265</v>
      </c>
      <c r="AL207" s="5">
        <v>15.672000000000001</v>
      </c>
      <c r="AM207" s="5">
        <v>14.519</v>
      </c>
      <c r="AN207" s="5">
        <f t="shared" si="48"/>
        <v>0.47906140055312674</v>
      </c>
      <c r="AO207" s="5">
        <f t="shared" si="49"/>
        <v>0.932373949017272</v>
      </c>
      <c r="AR207" s="15" t="s">
        <v>600</v>
      </c>
    </row>
    <row r="208" spans="1:44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9"/>
        <v>10828</v>
      </c>
      <c r="M208" s="15"/>
      <c r="N208" s="15"/>
      <c r="O208" s="15"/>
      <c r="P208" s="15">
        <f t="shared" si="40"/>
        <v>250766734.33333331</v>
      </c>
      <c r="Q208" s="15"/>
      <c r="R208" s="15"/>
      <c r="S208" s="15">
        <v>1153.6060772107771</v>
      </c>
      <c r="T208" s="15">
        <v>355</v>
      </c>
      <c r="U208" s="15">
        <v>210000</v>
      </c>
      <c r="V208" s="15">
        <f t="shared" si="41"/>
        <v>3.3321079664333872</v>
      </c>
      <c r="W208" s="63">
        <v>3.3866499999999999</v>
      </c>
      <c r="X208" s="15">
        <f t="shared" si="42"/>
        <v>1.0163686273422265</v>
      </c>
      <c r="Y208" s="15">
        <f>'Global Only'!Y208</f>
        <v>0.761470981235984</v>
      </c>
      <c r="Z208" s="15">
        <f t="shared" si="43"/>
        <v>0.77393521595975545</v>
      </c>
      <c r="AA208" s="16">
        <v>0.78771637044414944</v>
      </c>
      <c r="AB208" s="15">
        <v>0.50420742049940981</v>
      </c>
      <c r="AC208" s="17">
        <v>0.75</v>
      </c>
      <c r="AD208" s="15"/>
      <c r="AE208" s="15" t="s">
        <v>608</v>
      </c>
      <c r="AF208" s="22" t="s">
        <v>5</v>
      </c>
      <c r="AG208" s="17">
        <f t="shared" si="44"/>
        <v>3906.8600213858781</v>
      </c>
      <c r="AH208" s="17">
        <v>2665.911324083977</v>
      </c>
      <c r="AI208" s="15">
        <f t="shared" si="45"/>
        <v>5.9237474958815763</v>
      </c>
      <c r="AJ208" s="17">
        <f t="shared" si="46"/>
        <v>0.75000000000000011</v>
      </c>
      <c r="AK208" s="15">
        <f t="shared" si="47"/>
        <v>1.0163686273422265</v>
      </c>
      <c r="AL208" s="5">
        <v>15.672000000000001</v>
      </c>
      <c r="AM208" s="5">
        <v>14.519</v>
      </c>
      <c r="AN208" s="5">
        <f t="shared" si="48"/>
        <v>0.47906140055312674</v>
      </c>
      <c r="AO208" s="5">
        <f t="shared" si="49"/>
        <v>1.0178065995708749</v>
      </c>
      <c r="AR208" s="15" t="s">
        <v>608</v>
      </c>
    </row>
    <row r="209" spans="1:44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9"/>
        <v>10828</v>
      </c>
      <c r="M209" s="15"/>
      <c r="N209" s="15"/>
      <c r="O209" s="15"/>
      <c r="P209" s="15">
        <f t="shared" si="40"/>
        <v>250766734.33333331</v>
      </c>
      <c r="Q209" s="15"/>
      <c r="R209" s="15"/>
      <c r="S209" s="15">
        <v>1153.6060772107771</v>
      </c>
      <c r="T209" s="15">
        <v>355</v>
      </c>
      <c r="U209" s="15">
        <v>210000</v>
      </c>
      <c r="V209" s="15">
        <f t="shared" si="41"/>
        <v>3.3321079664333872</v>
      </c>
      <c r="W209" s="63">
        <v>3.3866499999999999</v>
      </c>
      <c r="X209" s="15">
        <f t="shared" si="42"/>
        <v>1.0163686273422265</v>
      </c>
      <c r="Y209" s="15">
        <f>'Global Only'!Y209</f>
        <v>0.63938036920912278</v>
      </c>
      <c r="Z209" s="15">
        <f t="shared" si="43"/>
        <v>0.64984614820264208</v>
      </c>
      <c r="AA209" s="16">
        <v>0.66678458886513503</v>
      </c>
      <c r="AB209" s="15">
        <v>0.50420742049940981</v>
      </c>
      <c r="AC209" s="17">
        <v>1</v>
      </c>
      <c r="AD209" s="15"/>
      <c r="AE209" s="15" t="s">
        <v>616</v>
      </c>
      <c r="AF209" s="22" t="s">
        <v>5</v>
      </c>
      <c r="AG209" s="17">
        <f t="shared" si="44"/>
        <v>3906.8600213858781</v>
      </c>
      <c r="AH209" s="17">
        <v>2075.4932243068097</v>
      </c>
      <c r="AI209" s="15">
        <f t="shared" si="45"/>
        <v>3.3321079664333881</v>
      </c>
      <c r="AJ209" s="17">
        <f t="shared" si="46"/>
        <v>0.99999999999999989</v>
      </c>
      <c r="AK209" s="15">
        <f t="shared" si="47"/>
        <v>1.0163686273422265</v>
      </c>
      <c r="AL209" s="5">
        <v>15.672000000000001</v>
      </c>
      <c r="AM209" s="5">
        <v>14.519</v>
      </c>
      <c r="AN209" s="5">
        <f t="shared" si="48"/>
        <v>0.47906140055312674</v>
      </c>
      <c r="AO209" s="5">
        <f t="shared" si="49"/>
        <v>1.0260653090109737</v>
      </c>
      <c r="AR209" s="15" t="s">
        <v>616</v>
      </c>
    </row>
    <row r="210" spans="1:44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9"/>
        <v>10828</v>
      </c>
      <c r="M210" s="15"/>
      <c r="N210" s="15"/>
      <c r="O210" s="15"/>
      <c r="P210" s="15">
        <f t="shared" si="40"/>
        <v>250766734.33333331</v>
      </c>
      <c r="Q210" s="15"/>
      <c r="R210" s="15"/>
      <c r="S210" s="15">
        <v>1153.6060772107771</v>
      </c>
      <c r="T210" s="15">
        <v>355</v>
      </c>
      <c r="U210" s="15">
        <v>210000</v>
      </c>
      <c r="V210" s="15">
        <f t="shared" si="41"/>
        <v>3.3321079664333872</v>
      </c>
      <c r="W210" s="63">
        <v>3.3866499999999999</v>
      </c>
      <c r="X210" s="15">
        <f t="shared" si="42"/>
        <v>1.0163686273422265</v>
      </c>
      <c r="Y210" s="15">
        <f>'Global Only'!Y210</f>
        <v>0.47184498251626883</v>
      </c>
      <c r="Z210" s="15">
        <f t="shared" si="43"/>
        <v>0.47956843719837705</v>
      </c>
      <c r="AA210" s="16">
        <v>0.48022026079850733</v>
      </c>
      <c r="AB210" s="15">
        <v>0.50420742049940981</v>
      </c>
      <c r="AC210" s="17">
        <v>1.33</v>
      </c>
      <c r="AD210" s="15"/>
      <c r="AE210" s="15"/>
      <c r="AF210" s="22" t="s">
        <v>5</v>
      </c>
      <c r="AG210" s="17">
        <f t="shared" si="44"/>
        <v>3906.8600213858781</v>
      </c>
      <c r="AH210" s="17">
        <v>1446.8314740729086</v>
      </c>
      <c r="AI210" s="15">
        <f t="shared" si="45"/>
        <v>1.8837175456121809</v>
      </c>
      <c r="AJ210" s="17">
        <f t="shared" si="46"/>
        <v>1.33</v>
      </c>
      <c r="AK210" s="15">
        <f t="shared" si="47"/>
        <v>1.0163686273422265</v>
      </c>
      <c r="AL210" s="5">
        <v>15.672000000000001</v>
      </c>
      <c r="AM210" s="5">
        <v>14.519</v>
      </c>
      <c r="AN210" s="5">
        <f t="shared" si="48"/>
        <v>0.47906140055312674</v>
      </c>
      <c r="AO210" s="5">
        <f t="shared" si="49"/>
        <v>1.0013591878646939</v>
      </c>
      <c r="AR210" s="15"/>
    </row>
    <row r="211" spans="1:44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9"/>
        <v>10828</v>
      </c>
      <c r="M211" s="15"/>
      <c r="N211" s="15"/>
      <c r="O211" s="15"/>
      <c r="P211" s="15">
        <f t="shared" si="40"/>
        <v>250766734.33333331</v>
      </c>
      <c r="Q211" s="15"/>
      <c r="R211" s="15"/>
      <c r="S211" s="15">
        <v>1153.6060772107771</v>
      </c>
      <c r="T211" s="15">
        <v>355</v>
      </c>
      <c r="U211" s="15">
        <v>210000</v>
      </c>
      <c r="V211" s="15">
        <f t="shared" si="41"/>
        <v>3.3321079664333872</v>
      </c>
      <c r="W211" s="63">
        <v>3.3866499999999999</v>
      </c>
      <c r="X211" s="15">
        <f t="shared" si="42"/>
        <v>1.0163686273422265</v>
      </c>
      <c r="Y211" s="15">
        <f>'Global Only'!Y211</f>
        <v>0.32032079648675615</v>
      </c>
      <c r="Z211" s="15">
        <f t="shared" si="43"/>
        <v>0.32556400823441306</v>
      </c>
      <c r="AA211" s="16">
        <v>0.32410247461937425</v>
      </c>
      <c r="AB211" s="15">
        <v>0.50420742049940981</v>
      </c>
      <c r="AC211" s="17">
        <v>1.67</v>
      </c>
      <c r="AD211" s="15"/>
      <c r="AE211" s="15"/>
      <c r="AF211" s="22" t="s">
        <v>5</v>
      </c>
      <c r="AG211" s="17">
        <f t="shared" si="44"/>
        <v>3906.8600213858781</v>
      </c>
      <c r="AH211" s="17">
        <v>1019.8016324681555</v>
      </c>
      <c r="AI211" s="15">
        <f t="shared" si="45"/>
        <v>1.1947749888606218</v>
      </c>
      <c r="AJ211" s="17">
        <f t="shared" si="46"/>
        <v>1.6699999999999997</v>
      </c>
      <c r="AK211" s="15">
        <f t="shared" si="47"/>
        <v>1.0163686273422265</v>
      </c>
      <c r="AL211" s="5">
        <v>15.672000000000001</v>
      </c>
      <c r="AM211" s="5">
        <v>14.519</v>
      </c>
      <c r="AN211" s="5">
        <f t="shared" si="48"/>
        <v>0.47906140055312674</v>
      </c>
      <c r="AO211" s="5">
        <f t="shared" si="49"/>
        <v>0.99551076415674766</v>
      </c>
      <c r="AR211" s="15"/>
    </row>
    <row r="212" spans="1:44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9"/>
        <v>10828</v>
      </c>
      <c r="M212" s="15"/>
      <c r="N212" s="15"/>
      <c r="O212" s="15"/>
      <c r="P212" s="15">
        <f t="shared" si="40"/>
        <v>250766734.33333331</v>
      </c>
      <c r="Q212" s="15"/>
      <c r="R212" s="15"/>
      <c r="S212" s="15">
        <v>1153.6060772107771</v>
      </c>
      <c r="T212" s="15">
        <v>355</v>
      </c>
      <c r="U212" s="15">
        <v>210000</v>
      </c>
      <c r="V212" s="15">
        <f t="shared" si="41"/>
        <v>3.3321079664333872</v>
      </c>
      <c r="W212" s="63">
        <v>3.3866499999999999</v>
      </c>
      <c r="X212" s="15">
        <f t="shared" si="42"/>
        <v>1.0163686273422265</v>
      </c>
      <c r="Y212" s="15">
        <f>'Global Only'!Y212</f>
        <v>0.2197553617339362</v>
      </c>
      <c r="Z212" s="15">
        <f t="shared" si="43"/>
        <v>0.22335245535661519</v>
      </c>
      <c r="AA212" s="16">
        <v>0.22858138251648999</v>
      </c>
      <c r="AB212" s="15">
        <v>0.50420742049940981</v>
      </c>
      <c r="AC212" s="17">
        <v>2</v>
      </c>
      <c r="AD212" s="15"/>
      <c r="AE212" s="15"/>
      <c r="AF212" s="22" t="s">
        <v>5</v>
      </c>
      <c r="AG212" s="17">
        <f t="shared" si="44"/>
        <v>3906.8600213858781</v>
      </c>
      <c r="AH212" s="17">
        <v>754.11806264520703</v>
      </c>
      <c r="AI212" s="15">
        <f t="shared" si="45"/>
        <v>0.83302699160834703</v>
      </c>
      <c r="AJ212" s="17">
        <f t="shared" si="46"/>
        <v>1.9999999999999998</v>
      </c>
      <c r="AK212" s="15">
        <f t="shared" si="47"/>
        <v>1.0163686273422265</v>
      </c>
      <c r="AL212" s="5">
        <v>15.672000000000001</v>
      </c>
      <c r="AM212" s="5">
        <v>14.519</v>
      </c>
      <c r="AN212" s="5">
        <f t="shared" si="48"/>
        <v>0.47906140055312674</v>
      </c>
      <c r="AO212" s="5">
        <f t="shared" si="49"/>
        <v>1.0234111022040302</v>
      </c>
      <c r="AR212" s="15"/>
    </row>
    <row r="213" spans="1:44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9"/>
        <v>10828</v>
      </c>
      <c r="M213" s="15"/>
      <c r="N213" s="15"/>
      <c r="O213" s="15"/>
      <c r="P213" s="15">
        <f t="shared" si="40"/>
        <v>250766734.33333331</v>
      </c>
      <c r="Q213" s="15"/>
      <c r="R213" s="15"/>
      <c r="S213" s="15">
        <v>1153.6060772107771</v>
      </c>
      <c r="T213" s="15">
        <v>355</v>
      </c>
      <c r="U213" s="15">
        <v>210000</v>
      </c>
      <c r="V213" s="15">
        <f t="shared" si="41"/>
        <v>3.3321079664333872</v>
      </c>
      <c r="W213" s="63">
        <v>3.3866499999999999</v>
      </c>
      <c r="X213" s="15">
        <f t="shared" si="42"/>
        <v>1.0163686273422265</v>
      </c>
      <c r="Y213" s="15">
        <f>'Global Only'!Y213</f>
        <v>0.13889478748778278</v>
      </c>
      <c r="Z213" s="15">
        <f t="shared" si="43"/>
        <v>0.14116830450394804</v>
      </c>
      <c r="AA213" s="16">
        <v>0.14735636156809767</v>
      </c>
      <c r="AB213" s="15">
        <v>0.50420742049940981</v>
      </c>
      <c r="AC213" s="17">
        <v>2.5</v>
      </c>
      <c r="AD213" s="15"/>
      <c r="AE213" s="15"/>
      <c r="AF213" s="22" t="s">
        <v>5</v>
      </c>
      <c r="AG213" s="17">
        <f t="shared" si="44"/>
        <v>3906.8600213858781</v>
      </c>
      <c r="AH213" s="17">
        <v>509.19282885002309</v>
      </c>
      <c r="AI213" s="15">
        <f t="shared" si="45"/>
        <v>0.53313727462934202</v>
      </c>
      <c r="AJ213" s="17">
        <f t="shared" si="46"/>
        <v>2.5</v>
      </c>
      <c r="AK213" s="15">
        <f t="shared" si="47"/>
        <v>1.0163686273422265</v>
      </c>
      <c r="AL213" s="5">
        <v>15.672000000000001</v>
      </c>
      <c r="AM213" s="5">
        <v>14.519</v>
      </c>
      <c r="AN213" s="5">
        <f t="shared" si="48"/>
        <v>0.47906140055312674</v>
      </c>
      <c r="AO213" s="5">
        <f t="shared" si="49"/>
        <v>1.0438346064004513</v>
      </c>
      <c r="AR213" s="15"/>
    </row>
    <row r="214" spans="1:44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39"/>
        <v>9336</v>
      </c>
      <c r="M214" s="25"/>
      <c r="N214" s="25"/>
      <c r="O214" s="25"/>
      <c r="P214" s="25">
        <f t="shared" si="40"/>
        <v>233468362</v>
      </c>
      <c r="Q214" s="25"/>
      <c r="R214" s="25"/>
      <c r="S214" s="25">
        <v>996.623368470998</v>
      </c>
      <c r="T214" s="25">
        <v>355</v>
      </c>
      <c r="U214" s="25">
        <v>210000</v>
      </c>
      <c r="V214" s="25">
        <f t="shared" si="41"/>
        <v>3.3255090186021925</v>
      </c>
      <c r="W214" s="63">
        <v>3.2743099999999998</v>
      </c>
      <c r="X214" s="25">
        <f t="shared" si="42"/>
        <v>0.98460415584026495</v>
      </c>
      <c r="Y214" s="25">
        <f>'Global Only'!Y214</f>
        <v>1.0572611523253006</v>
      </c>
      <c r="Z214" s="25">
        <f t="shared" si="43"/>
        <v>1.0409837243879583</v>
      </c>
      <c r="AA214" s="46">
        <v>0.96118027698349062</v>
      </c>
      <c r="AB214" s="25">
        <v>0.60172287236842936</v>
      </c>
      <c r="AC214" s="47">
        <v>0.3</v>
      </c>
      <c r="AD214" s="25"/>
      <c r="AE214" s="15"/>
      <c r="AF214" s="48" t="s">
        <v>5</v>
      </c>
      <c r="AG214" s="47">
        <f t="shared" si="44"/>
        <v>3263.2538616182733</v>
      </c>
      <c r="AH214" s="47">
        <v>3145.7415533375333</v>
      </c>
      <c r="AI214" s="25">
        <f t="shared" si="45"/>
        <v>36.950100206691026</v>
      </c>
      <c r="AJ214" s="47">
        <f t="shared" si="46"/>
        <v>0.30000000000000004</v>
      </c>
      <c r="AK214" s="25">
        <f t="shared" si="47"/>
        <v>0.98460415584026495</v>
      </c>
      <c r="AL214" s="56">
        <v>10.936</v>
      </c>
      <c r="AM214" s="56">
        <v>10.108000000000001</v>
      </c>
      <c r="AN214" s="56">
        <f t="shared" si="48"/>
        <v>0.57358323407761658</v>
      </c>
      <c r="AO214" s="5">
        <f t="shared" si="49"/>
        <v>0.92333842928102672</v>
      </c>
      <c r="AR214" s="25"/>
    </row>
    <row r="215" spans="1:44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39"/>
        <v>9336</v>
      </c>
      <c r="M215" s="25"/>
      <c r="N215" s="25"/>
      <c r="O215" s="25"/>
      <c r="P215" s="25">
        <f t="shared" si="40"/>
        <v>233468362</v>
      </c>
      <c r="Q215" s="25"/>
      <c r="R215" s="25"/>
      <c r="S215" s="25">
        <v>996.623368470998</v>
      </c>
      <c r="T215" s="25">
        <v>355</v>
      </c>
      <c r="U215" s="25">
        <v>210000</v>
      </c>
      <c r="V215" s="25">
        <f t="shared" si="41"/>
        <v>3.3255090186021925</v>
      </c>
      <c r="W215" s="63">
        <v>3.2743099999999998</v>
      </c>
      <c r="X215" s="25">
        <f t="shared" si="42"/>
        <v>0.98460415584026495</v>
      </c>
      <c r="Y215" s="25">
        <f>'Global Only'!Y215</f>
        <v>0.92792117228746873</v>
      </c>
      <c r="Z215" s="25">
        <f t="shared" si="43"/>
        <v>0.91363504252641226</v>
      </c>
      <c r="AA215" s="46">
        <v>0.88054507638677126</v>
      </c>
      <c r="AB215" s="25">
        <v>0.60172287236842936</v>
      </c>
      <c r="AC215" s="47">
        <v>0.5</v>
      </c>
      <c r="AD215" s="25"/>
      <c r="AE215" s="15"/>
      <c r="AF215" s="48" t="s">
        <v>5</v>
      </c>
      <c r="AG215" s="47">
        <f t="shared" si="44"/>
        <v>3263.2538616182733</v>
      </c>
      <c r="AH215" s="47">
        <v>2793.9083117751534</v>
      </c>
      <c r="AI215" s="25">
        <f t="shared" si="45"/>
        <v>13.302036074408768</v>
      </c>
      <c r="AJ215" s="47">
        <f t="shared" si="46"/>
        <v>0.5</v>
      </c>
      <c r="AK215" s="25">
        <f t="shared" si="47"/>
        <v>0.98460415584026495</v>
      </c>
      <c r="AL215" s="5">
        <v>10.936</v>
      </c>
      <c r="AM215" s="5">
        <v>10.108000000000001</v>
      </c>
      <c r="AN215" s="5">
        <f t="shared" si="48"/>
        <v>0.57358323407761658</v>
      </c>
      <c r="AO215" s="5">
        <f t="shared" si="49"/>
        <v>0.96378207424253393</v>
      </c>
      <c r="AR215" s="25"/>
    </row>
    <row r="216" spans="1:44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39"/>
        <v>9336</v>
      </c>
      <c r="M216" s="25"/>
      <c r="N216" s="25"/>
      <c r="O216" s="25"/>
      <c r="P216" s="25">
        <f t="shared" si="40"/>
        <v>233468362</v>
      </c>
      <c r="Q216" s="25"/>
      <c r="R216" s="25"/>
      <c r="S216" s="25">
        <v>996.623368470998</v>
      </c>
      <c r="T216" s="25">
        <v>355</v>
      </c>
      <c r="U216" s="25">
        <v>210000</v>
      </c>
      <c r="V216" s="25">
        <f t="shared" si="41"/>
        <v>3.3255090186021925</v>
      </c>
      <c r="W216" s="63">
        <v>3.2743099999999998</v>
      </c>
      <c r="X216" s="25">
        <f t="shared" si="42"/>
        <v>0.98460415584026495</v>
      </c>
      <c r="Y216" s="25">
        <f>'Global Only'!Y216</f>
        <v>0.75087374896076575</v>
      </c>
      <c r="Z216" s="25">
        <f t="shared" si="43"/>
        <v>0.73931341373812975</v>
      </c>
      <c r="AA216" s="46">
        <v>0.77118643184282709</v>
      </c>
      <c r="AB216" s="25">
        <v>0.60172287236842936</v>
      </c>
      <c r="AC216" s="47">
        <v>0.75</v>
      </c>
      <c r="AD216" s="25"/>
      <c r="AE216" s="15"/>
      <c r="AF216" s="48" t="s">
        <v>5</v>
      </c>
      <c r="AG216" s="47">
        <f t="shared" si="44"/>
        <v>3263.2538616182733</v>
      </c>
      <c r="AH216" s="47">
        <v>2298.5729702297758</v>
      </c>
      <c r="AI216" s="25">
        <f t="shared" si="45"/>
        <v>5.9120160330705644</v>
      </c>
      <c r="AJ216" s="47">
        <f t="shared" si="46"/>
        <v>0.75</v>
      </c>
      <c r="AK216" s="25">
        <f t="shared" si="47"/>
        <v>0.98460415584026495</v>
      </c>
      <c r="AL216" s="5">
        <v>10.936</v>
      </c>
      <c r="AM216" s="5">
        <v>10.108000000000001</v>
      </c>
      <c r="AN216" s="5">
        <f t="shared" si="48"/>
        <v>0.57358323407761658</v>
      </c>
      <c r="AO216" s="5">
        <f t="shared" si="49"/>
        <v>1.04311164590338</v>
      </c>
      <c r="AR216" s="25"/>
    </row>
    <row r="217" spans="1:44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39"/>
        <v>9336</v>
      </c>
      <c r="M217" s="25"/>
      <c r="N217" s="25"/>
      <c r="O217" s="25"/>
      <c r="P217" s="25">
        <f t="shared" si="40"/>
        <v>233468362</v>
      </c>
      <c r="Q217" s="25"/>
      <c r="R217" s="25"/>
      <c r="S217" s="25">
        <v>996.623368470998</v>
      </c>
      <c r="T217" s="25">
        <v>355</v>
      </c>
      <c r="U217" s="25">
        <v>210000</v>
      </c>
      <c r="V217" s="25">
        <f t="shared" si="41"/>
        <v>3.3255090186021925</v>
      </c>
      <c r="W217" s="63">
        <v>3.2743099999999998</v>
      </c>
      <c r="X217" s="25">
        <f t="shared" si="42"/>
        <v>0.98460415584026495</v>
      </c>
      <c r="Y217" s="25">
        <f>'Global Only'!Y217</f>
        <v>0.63711416797771725</v>
      </c>
      <c r="Z217" s="25">
        <f t="shared" si="43"/>
        <v>0.62730525753557309</v>
      </c>
      <c r="AA217" s="46">
        <v>0.65891999126288581</v>
      </c>
      <c r="AB217" s="25">
        <v>0.60172287236842936</v>
      </c>
      <c r="AC217" s="47">
        <v>1</v>
      </c>
      <c r="AD217" s="25"/>
      <c r="AE217" s="15"/>
      <c r="AF217" s="48" t="s">
        <v>5</v>
      </c>
      <c r="AG217" s="47">
        <f t="shared" si="44"/>
        <v>3263.2538616182733</v>
      </c>
      <c r="AH217" s="47">
        <v>1789.5091191474298</v>
      </c>
      <c r="AI217" s="25">
        <f t="shared" si="45"/>
        <v>3.3255090186021921</v>
      </c>
      <c r="AJ217" s="47">
        <f t="shared" si="46"/>
        <v>1</v>
      </c>
      <c r="AK217" s="25">
        <f t="shared" si="47"/>
        <v>0.98460415584026495</v>
      </c>
      <c r="AL217" s="5">
        <v>10.936</v>
      </c>
      <c r="AM217" s="5">
        <v>10.108000000000001</v>
      </c>
      <c r="AN217" s="5">
        <f t="shared" si="48"/>
        <v>0.57358323407761658</v>
      </c>
      <c r="AO217" s="5">
        <f t="shared" si="49"/>
        <v>1.0503976865290658</v>
      </c>
      <c r="AR217" s="25"/>
    </row>
    <row r="218" spans="1:44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39"/>
        <v>9336</v>
      </c>
      <c r="M218" s="25"/>
      <c r="N218" s="25"/>
      <c r="O218" s="25"/>
      <c r="P218" s="25">
        <f t="shared" si="40"/>
        <v>233468362</v>
      </c>
      <c r="Q218" s="25"/>
      <c r="R218" s="25"/>
      <c r="S218" s="25">
        <v>996.623368470998</v>
      </c>
      <c r="T218" s="25">
        <v>355</v>
      </c>
      <c r="U218" s="25">
        <v>210000</v>
      </c>
      <c r="V218" s="25">
        <f t="shared" si="41"/>
        <v>3.3255090186021925</v>
      </c>
      <c r="W218" s="63">
        <v>3.2743099999999998</v>
      </c>
      <c r="X218" s="25">
        <f t="shared" si="42"/>
        <v>0.98460415584026495</v>
      </c>
      <c r="Y218" s="25">
        <f>'Global Only'!Y218</f>
        <v>0.47167399262838017</v>
      </c>
      <c r="Z218" s="25">
        <f t="shared" si="43"/>
        <v>0.46441217334367363</v>
      </c>
      <c r="AA218" s="46">
        <v>0.47761132074808216</v>
      </c>
      <c r="AB218" s="25">
        <v>0.60172287236842936</v>
      </c>
      <c r="AC218" s="47">
        <v>1.33</v>
      </c>
      <c r="AD218" s="25"/>
      <c r="AE218" s="15"/>
      <c r="AF218" s="48" t="s">
        <v>5</v>
      </c>
      <c r="AG218" s="47">
        <f t="shared" si="44"/>
        <v>3263.2538616182733</v>
      </c>
      <c r="AH218" s="47">
        <v>1247.4712451001726</v>
      </c>
      <c r="AI218" s="25">
        <f t="shared" si="45"/>
        <v>1.8799870080853593</v>
      </c>
      <c r="AJ218" s="47">
        <f t="shared" si="46"/>
        <v>1.33</v>
      </c>
      <c r="AK218" s="25">
        <f t="shared" si="47"/>
        <v>0.98460415584026495</v>
      </c>
      <c r="AL218" s="5">
        <v>10.936</v>
      </c>
      <c r="AM218" s="5">
        <v>10.108000000000001</v>
      </c>
      <c r="AN218" s="5">
        <f t="shared" si="48"/>
        <v>0.57358323407761658</v>
      </c>
      <c r="AO218" s="5">
        <f t="shared" si="49"/>
        <v>1.0284211916956814</v>
      </c>
      <c r="AR218" s="25"/>
    </row>
    <row r="219" spans="1:44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39"/>
        <v>9336</v>
      </c>
      <c r="M219" s="25"/>
      <c r="N219" s="25"/>
      <c r="O219" s="25"/>
      <c r="P219" s="25">
        <f t="shared" si="40"/>
        <v>233468362</v>
      </c>
      <c r="Q219" s="25"/>
      <c r="R219" s="25"/>
      <c r="S219" s="25">
        <v>996.623368470998</v>
      </c>
      <c r="T219" s="25">
        <v>355</v>
      </c>
      <c r="U219" s="25">
        <v>210000</v>
      </c>
      <c r="V219" s="25">
        <f t="shared" si="41"/>
        <v>3.3255090186021925</v>
      </c>
      <c r="W219" s="63">
        <v>3.2743099999999998</v>
      </c>
      <c r="X219" s="25">
        <f t="shared" si="42"/>
        <v>0.98460415584026495</v>
      </c>
      <c r="Y219" s="25">
        <f>'Global Only'!Y219</f>
        <v>0.3202791063089061</v>
      </c>
      <c r="Z219" s="25">
        <f t="shared" si="43"/>
        <v>0.31534813910055498</v>
      </c>
      <c r="AA219" s="46">
        <v>0.32245836560561431</v>
      </c>
      <c r="AB219" s="25">
        <v>0.60172287236842936</v>
      </c>
      <c r="AC219" s="47">
        <v>1.67</v>
      </c>
      <c r="AD219" s="25"/>
      <c r="AE219" s="15"/>
      <c r="AF219" s="48" t="s">
        <v>5</v>
      </c>
      <c r="AG219" s="47">
        <f t="shared" si="44"/>
        <v>3263.2538616182733</v>
      </c>
      <c r="AH219" s="47">
        <v>879.28223501317882</v>
      </c>
      <c r="AI219" s="25">
        <f t="shared" si="45"/>
        <v>1.1924088416946441</v>
      </c>
      <c r="AJ219" s="47">
        <f t="shared" si="46"/>
        <v>1.67</v>
      </c>
      <c r="AK219" s="25">
        <f t="shared" si="47"/>
        <v>0.98460415584026495</v>
      </c>
      <c r="AL219" s="5">
        <v>10.936</v>
      </c>
      <c r="AM219" s="5">
        <v>10.108000000000001</v>
      </c>
      <c r="AN219" s="5">
        <f t="shared" si="48"/>
        <v>0.57358323407761658</v>
      </c>
      <c r="AO219" s="5">
        <f t="shared" si="49"/>
        <v>1.0225472283595498</v>
      </c>
      <c r="AR219" s="25"/>
    </row>
    <row r="220" spans="1:44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39"/>
        <v>9336</v>
      </c>
      <c r="M220" s="25"/>
      <c r="N220" s="25"/>
      <c r="O220" s="25"/>
      <c r="P220" s="25">
        <f t="shared" si="40"/>
        <v>233468362</v>
      </c>
      <c r="Q220" s="25"/>
      <c r="R220" s="25"/>
      <c r="S220" s="25">
        <v>996.623368470998</v>
      </c>
      <c r="T220" s="25">
        <v>355</v>
      </c>
      <c r="U220" s="25">
        <v>210000</v>
      </c>
      <c r="V220" s="25">
        <f t="shared" si="41"/>
        <v>3.3255090186021925</v>
      </c>
      <c r="W220" s="63">
        <v>3.2743099999999998</v>
      </c>
      <c r="X220" s="25">
        <f t="shared" si="42"/>
        <v>0.98460415584026495</v>
      </c>
      <c r="Y220" s="25">
        <f>'Global Only'!Y220</f>
        <v>0.22027384701425254</v>
      </c>
      <c r="Z220" s="25">
        <f t="shared" si="43"/>
        <v>0.21688254519315578</v>
      </c>
      <c r="AA220" s="46">
        <v>0.2268325456790983</v>
      </c>
      <c r="AB220" s="25">
        <v>0.60172287236842936</v>
      </c>
      <c r="AC220" s="47">
        <v>2</v>
      </c>
      <c r="AD220" s="25"/>
      <c r="AE220" s="15"/>
      <c r="AF220" s="48" t="s">
        <v>5</v>
      </c>
      <c r="AG220" s="47">
        <f t="shared" si="44"/>
        <v>3263.2538616182733</v>
      </c>
      <c r="AH220" s="47">
        <v>650.20744669889643</v>
      </c>
      <c r="AI220" s="25">
        <f t="shared" si="45"/>
        <v>0.83137725465054801</v>
      </c>
      <c r="AJ220" s="47">
        <f t="shared" si="46"/>
        <v>2</v>
      </c>
      <c r="AK220" s="25">
        <f t="shared" si="47"/>
        <v>0.98460415584026495</v>
      </c>
      <c r="AL220" s="5">
        <v>10.936</v>
      </c>
      <c r="AM220" s="5">
        <v>10.108000000000001</v>
      </c>
      <c r="AN220" s="5">
        <f t="shared" si="48"/>
        <v>0.57358323407761658</v>
      </c>
      <c r="AO220" s="5">
        <f t="shared" si="49"/>
        <v>1.0458773686793514</v>
      </c>
      <c r="AR220" s="25"/>
    </row>
    <row r="221" spans="1:44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39"/>
        <v>9336</v>
      </c>
      <c r="M221" s="25"/>
      <c r="N221" s="25"/>
      <c r="O221" s="25"/>
      <c r="P221" s="25">
        <f t="shared" si="40"/>
        <v>233468362</v>
      </c>
      <c r="Q221" s="25"/>
      <c r="R221" s="25"/>
      <c r="S221" s="25">
        <v>996.623368470998</v>
      </c>
      <c r="T221" s="25">
        <v>355</v>
      </c>
      <c r="U221" s="25">
        <v>210000</v>
      </c>
      <c r="V221" s="25">
        <f t="shared" si="41"/>
        <v>3.3255090186021925</v>
      </c>
      <c r="W221" s="63">
        <v>3.2743099999999998</v>
      </c>
      <c r="X221" s="25">
        <f t="shared" si="42"/>
        <v>0.98460415584026495</v>
      </c>
      <c r="Y221" s="25">
        <f>'Global Only'!Y221</f>
        <v>0.13948255975359344</v>
      </c>
      <c r="Z221" s="25">
        <f t="shared" si="43"/>
        <v>0.13733510800062618</v>
      </c>
      <c r="AA221" s="46">
        <v>0.14596357216810849</v>
      </c>
      <c r="AB221" s="25">
        <v>0.60172287236842936</v>
      </c>
      <c r="AC221" s="47">
        <v>2.5</v>
      </c>
      <c r="AD221" s="25"/>
      <c r="AE221" s="15"/>
      <c r="AF221" s="48" t="s">
        <v>5</v>
      </c>
      <c r="AG221" s="47">
        <f t="shared" si="44"/>
        <v>3263.2538616182733</v>
      </c>
      <c r="AH221" s="47">
        <v>439.03068435018616</v>
      </c>
      <c r="AI221" s="25">
        <f t="shared" si="45"/>
        <v>0.53208144297635085</v>
      </c>
      <c r="AJ221" s="47">
        <f t="shared" si="46"/>
        <v>2.5</v>
      </c>
      <c r="AK221" s="25">
        <f t="shared" si="47"/>
        <v>0.98460415584026495</v>
      </c>
      <c r="AL221" s="5">
        <v>10.936</v>
      </c>
      <c r="AM221" s="5">
        <v>10.108000000000001</v>
      </c>
      <c r="AN221" s="5">
        <f t="shared" si="48"/>
        <v>0.57358323407761658</v>
      </c>
      <c r="AO221" s="5">
        <f t="shared" si="49"/>
        <v>1.062827810696759</v>
      </c>
      <c r="AR221" s="25"/>
    </row>
    <row r="222" spans="1:44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9"/>
        <v>7955.9</v>
      </c>
      <c r="M222" s="15"/>
      <c r="N222" s="15"/>
      <c r="O222" s="15"/>
      <c r="P222" s="15">
        <f t="shared" si="40"/>
        <v>217467367.59166667</v>
      </c>
      <c r="Q222" s="15"/>
      <c r="R222" s="15"/>
      <c r="S222" s="15">
        <v>851.1729268318976</v>
      </c>
      <c r="T222" s="15">
        <v>355</v>
      </c>
      <c r="U222" s="15">
        <v>210000</v>
      </c>
      <c r="V222" s="15">
        <f t="shared" si="41"/>
        <v>3.3181794333054415</v>
      </c>
      <c r="W222" s="63">
        <v>3.0193099999999999</v>
      </c>
      <c r="X222" s="15">
        <f t="shared" si="42"/>
        <v>0.90992969508953903</v>
      </c>
      <c r="Y222" s="15">
        <f>'Global Only'!Y222</f>
        <v>1.1726232871556874</v>
      </c>
      <c r="Z222" s="15">
        <f t="shared" si="43"/>
        <v>1.0670047501364677</v>
      </c>
      <c r="AA222" s="16">
        <v>0.89200638569873536</v>
      </c>
      <c r="AB222" s="15">
        <v>0.80762280341764636</v>
      </c>
      <c r="AC222" s="17">
        <v>0.3</v>
      </c>
      <c r="AD222" s="15"/>
      <c r="AE222" s="15"/>
      <c r="AF222" s="22" t="s">
        <v>5</v>
      </c>
      <c r="AG222" s="17">
        <f t="shared" si="44"/>
        <v>2569.9549297128165</v>
      </c>
      <c r="AH222" s="17">
        <v>2680.7203539201037</v>
      </c>
      <c r="AI222" s="15">
        <f t="shared" si="45"/>
        <v>36.868660370060461</v>
      </c>
      <c r="AJ222" s="17">
        <f t="shared" si="46"/>
        <v>0.3</v>
      </c>
      <c r="AK222" s="15">
        <f t="shared" si="47"/>
        <v>0.90992969508953903</v>
      </c>
      <c r="AL222" s="56">
        <v>6.1308999999999996</v>
      </c>
      <c r="AM222" s="56">
        <v>5.6441999999999997</v>
      </c>
      <c r="AN222" s="56">
        <f t="shared" si="48"/>
        <v>0.76674108727760359</v>
      </c>
      <c r="AO222" s="5">
        <f t="shared" si="49"/>
        <v>0.83599101652045094</v>
      </c>
      <c r="AR222" s="15"/>
    </row>
    <row r="223" spans="1:44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9"/>
        <v>7955.9</v>
      </c>
      <c r="M223" s="15"/>
      <c r="N223" s="15"/>
      <c r="O223" s="15"/>
      <c r="P223" s="15">
        <f t="shared" si="40"/>
        <v>217467367.59166667</v>
      </c>
      <c r="Q223" s="15"/>
      <c r="R223" s="15"/>
      <c r="S223" s="15">
        <v>851.1729268318976</v>
      </c>
      <c r="T223" s="15">
        <v>355</v>
      </c>
      <c r="U223" s="15">
        <v>210000</v>
      </c>
      <c r="V223" s="15">
        <f t="shared" si="41"/>
        <v>3.3181794333054415</v>
      </c>
      <c r="W223" s="63">
        <v>3.0193099999999999</v>
      </c>
      <c r="X223" s="15">
        <f t="shared" si="42"/>
        <v>0.90992969508953903</v>
      </c>
      <c r="Y223" s="15">
        <f>'Global Only'!Y223</f>
        <v>0.90216418349427829</v>
      </c>
      <c r="Z223" s="15">
        <f t="shared" si="43"/>
        <v>0.82090598040765161</v>
      </c>
      <c r="AA223" s="16">
        <v>0.83134330276910751</v>
      </c>
      <c r="AB223" s="15">
        <v>0.80762280341764636</v>
      </c>
      <c r="AC223" s="17">
        <v>0.5</v>
      </c>
      <c r="AD223" s="15"/>
      <c r="AE223" s="15"/>
      <c r="AF223" s="22" t="s">
        <v>5</v>
      </c>
      <c r="AG223" s="17">
        <f t="shared" si="44"/>
        <v>2569.9549297128165</v>
      </c>
      <c r="AH223" s="17">
        <v>2380.8970798684604</v>
      </c>
      <c r="AI223" s="15">
        <f t="shared" si="45"/>
        <v>13.272717733221766</v>
      </c>
      <c r="AJ223" s="17">
        <f t="shared" si="46"/>
        <v>0.5</v>
      </c>
      <c r="AK223" s="15">
        <f t="shared" si="47"/>
        <v>0.90992969508953903</v>
      </c>
      <c r="AL223" s="5">
        <v>6.1308999999999996</v>
      </c>
      <c r="AM223" s="5">
        <v>5.6441999999999997</v>
      </c>
      <c r="AN223" s="5">
        <f t="shared" si="48"/>
        <v>0.76674108727760359</v>
      </c>
      <c r="AO223" s="5">
        <f t="shared" si="49"/>
        <v>1.012714394352777</v>
      </c>
      <c r="AR223" s="15"/>
    </row>
    <row r="224" spans="1:44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9"/>
        <v>7955.9</v>
      </c>
      <c r="M224" s="15"/>
      <c r="N224" s="15"/>
      <c r="O224" s="15"/>
      <c r="P224" s="15">
        <f t="shared" si="40"/>
        <v>217467367.59166667</v>
      </c>
      <c r="Q224" s="15"/>
      <c r="R224" s="15"/>
      <c r="S224" s="15">
        <v>851.1729268318976</v>
      </c>
      <c r="T224" s="15">
        <v>355</v>
      </c>
      <c r="U224" s="15">
        <v>210000</v>
      </c>
      <c r="V224" s="15">
        <f t="shared" si="41"/>
        <v>3.3181794333054415</v>
      </c>
      <c r="W224" s="63">
        <v>3.0193099999999999</v>
      </c>
      <c r="X224" s="15">
        <f t="shared" si="42"/>
        <v>0.90992969508953903</v>
      </c>
      <c r="Y224" s="15">
        <f>'Global Only'!Y224</f>
        <v>0.7379779397522539</v>
      </c>
      <c r="Z224" s="15">
        <f t="shared" si="43"/>
        <v>0.67150804170157463</v>
      </c>
      <c r="AA224" s="16">
        <v>0.74002288061014942</v>
      </c>
      <c r="AB224" s="15">
        <v>0.80762280341764636</v>
      </c>
      <c r="AC224" s="17">
        <v>0.75</v>
      </c>
      <c r="AD224" s="15"/>
      <c r="AE224" s="15"/>
      <c r="AF224" s="22" t="s">
        <v>5</v>
      </c>
      <c r="AG224" s="17">
        <f t="shared" si="44"/>
        <v>2569.9549297128165</v>
      </c>
      <c r="AH224" s="17">
        <v>1958.7849929146394</v>
      </c>
      <c r="AI224" s="15">
        <f t="shared" si="45"/>
        <v>5.8989856592096741</v>
      </c>
      <c r="AJ224" s="17">
        <f t="shared" si="46"/>
        <v>0.75</v>
      </c>
      <c r="AK224" s="15">
        <f t="shared" si="47"/>
        <v>0.90992969508953903</v>
      </c>
      <c r="AL224" s="5">
        <v>6.1308999999999996</v>
      </c>
      <c r="AM224" s="5">
        <v>5.6441999999999997</v>
      </c>
      <c r="AN224" s="5">
        <f t="shared" si="48"/>
        <v>0.76674108727760359</v>
      </c>
      <c r="AO224" s="5">
        <f t="shared" si="49"/>
        <v>1.1020313006750611</v>
      </c>
      <c r="AR224" s="15"/>
    </row>
    <row r="225" spans="1:44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9"/>
        <v>7955.9</v>
      </c>
      <c r="M225" s="15"/>
      <c r="N225" s="15"/>
      <c r="O225" s="15"/>
      <c r="P225" s="15">
        <f t="shared" si="40"/>
        <v>217467367.59166667</v>
      </c>
      <c r="Q225" s="15"/>
      <c r="R225" s="15"/>
      <c r="S225" s="15">
        <v>851.1729268318976</v>
      </c>
      <c r="T225" s="15">
        <v>355</v>
      </c>
      <c r="U225" s="15">
        <v>210000</v>
      </c>
      <c r="V225" s="15">
        <f t="shared" si="41"/>
        <v>3.3181794333054415</v>
      </c>
      <c r="W225" s="63">
        <v>3.0193099999999999</v>
      </c>
      <c r="X225" s="15">
        <f t="shared" si="42"/>
        <v>0.90992969508953903</v>
      </c>
      <c r="Y225" s="15">
        <f>'Global Only'!Y225</f>
        <v>0.63502228991795895</v>
      </c>
      <c r="Z225" s="15">
        <f t="shared" si="43"/>
        <v>0.57782563864010927</v>
      </c>
      <c r="AA225" s="16">
        <v>0.64601853387810626</v>
      </c>
      <c r="AB225" s="15">
        <v>0.80762280341764636</v>
      </c>
      <c r="AC225" s="17">
        <v>1</v>
      </c>
      <c r="AD225" s="15"/>
      <c r="AE225" s="15"/>
      <c r="AF225" s="22" t="s">
        <v>5</v>
      </c>
      <c r="AG225" s="17">
        <f t="shared" si="44"/>
        <v>2569.9549297128165</v>
      </c>
      <c r="AH225" s="17">
        <v>1524.9738218750047</v>
      </c>
      <c r="AI225" s="15">
        <f t="shared" si="45"/>
        <v>3.3181794333054415</v>
      </c>
      <c r="AJ225" s="17">
        <f t="shared" si="46"/>
        <v>1</v>
      </c>
      <c r="AK225" s="15">
        <f t="shared" si="47"/>
        <v>0.90992969508953903</v>
      </c>
      <c r="AL225" s="5">
        <v>6.1308999999999996</v>
      </c>
      <c r="AM225" s="5">
        <v>5.6441999999999997</v>
      </c>
      <c r="AN225" s="5">
        <f t="shared" si="48"/>
        <v>0.76674108727760359</v>
      </c>
      <c r="AO225" s="5">
        <f t="shared" si="49"/>
        <v>1.118016388816679</v>
      </c>
      <c r="AR225" s="15"/>
    </row>
    <row r="226" spans="1:44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9"/>
        <v>7955.9</v>
      </c>
      <c r="M226" s="15"/>
      <c r="N226" s="15"/>
      <c r="O226" s="15"/>
      <c r="P226" s="15">
        <f t="shared" si="40"/>
        <v>217467367.59166667</v>
      </c>
      <c r="Q226" s="15"/>
      <c r="R226" s="15"/>
      <c r="S226" s="15">
        <v>851.1729268318976</v>
      </c>
      <c r="T226" s="15">
        <v>355</v>
      </c>
      <c r="U226" s="15">
        <v>210000</v>
      </c>
      <c r="V226" s="15">
        <f t="shared" si="41"/>
        <v>3.3181794333054415</v>
      </c>
      <c r="W226" s="63">
        <v>3.0193099999999999</v>
      </c>
      <c r="X226" s="15">
        <f t="shared" si="42"/>
        <v>0.90992969508953903</v>
      </c>
      <c r="Y226" s="15">
        <f>'Global Only'!Y226</f>
        <v>0.47162990089628326</v>
      </c>
      <c r="Z226" s="15">
        <f t="shared" si="43"/>
        <v>0.42915005191766453</v>
      </c>
      <c r="AA226" s="16">
        <v>0.47395385780022747</v>
      </c>
      <c r="AB226" s="15">
        <v>0.80762280341764636</v>
      </c>
      <c r="AC226" s="17">
        <v>1.33</v>
      </c>
      <c r="AD226" s="15"/>
      <c r="AE226" s="15"/>
      <c r="AF226" s="22" t="s">
        <v>5</v>
      </c>
      <c r="AG226" s="17">
        <f t="shared" si="44"/>
        <v>2569.9549297128165</v>
      </c>
      <c r="AH226" s="17">
        <v>1063.0630333003928</v>
      </c>
      <c r="AI226" s="15">
        <f t="shared" si="45"/>
        <v>1.8758434243345814</v>
      </c>
      <c r="AJ226" s="17">
        <f t="shared" si="46"/>
        <v>1.33</v>
      </c>
      <c r="AK226" s="15">
        <f t="shared" si="47"/>
        <v>0.90992969508953903</v>
      </c>
      <c r="AL226" s="5">
        <v>6.1308999999999996</v>
      </c>
      <c r="AM226" s="5">
        <v>5.6441999999999997</v>
      </c>
      <c r="AN226" s="5">
        <f t="shared" si="48"/>
        <v>0.76674108727760359</v>
      </c>
      <c r="AO226" s="5">
        <f t="shared" si="49"/>
        <v>1.1044012593785235</v>
      </c>
      <c r="AR226" s="15"/>
    </row>
    <row r="227" spans="1:44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9"/>
        <v>7955.9</v>
      </c>
      <c r="M227" s="15"/>
      <c r="N227" s="15"/>
      <c r="O227" s="15"/>
      <c r="P227" s="15">
        <f t="shared" si="40"/>
        <v>217467367.59166667</v>
      </c>
      <c r="Q227" s="15"/>
      <c r="R227" s="15"/>
      <c r="S227" s="15">
        <v>851.1729268318976</v>
      </c>
      <c r="T227" s="15">
        <v>355</v>
      </c>
      <c r="U227" s="15">
        <v>210000</v>
      </c>
      <c r="V227" s="15">
        <f t="shared" si="41"/>
        <v>3.3181794333054415</v>
      </c>
      <c r="W227" s="63">
        <v>3.0193099999999999</v>
      </c>
      <c r="X227" s="15">
        <f t="shared" si="42"/>
        <v>0.90992969508953903</v>
      </c>
      <c r="Y227" s="15">
        <f>'Global Only'!Y227</f>
        <v>0.32019420994673858</v>
      </c>
      <c r="Z227" s="15">
        <f t="shared" si="43"/>
        <v>0.29135421982627169</v>
      </c>
      <c r="AA227" s="16">
        <v>0.32060732170907114</v>
      </c>
      <c r="AB227" s="15">
        <v>0.80762280341764636</v>
      </c>
      <c r="AC227" s="17">
        <v>1.67</v>
      </c>
      <c r="AD227" s="15"/>
      <c r="AE227" s="15"/>
      <c r="AF227" s="22" t="s">
        <v>5</v>
      </c>
      <c r="AG227" s="17">
        <f t="shared" si="44"/>
        <v>2569.9549297128165</v>
      </c>
      <c r="AH227" s="17">
        <v>749.30179236732522</v>
      </c>
      <c r="AI227" s="15">
        <f t="shared" si="45"/>
        <v>1.1897807140110588</v>
      </c>
      <c r="AJ227" s="17">
        <f t="shared" si="46"/>
        <v>1.67</v>
      </c>
      <c r="AK227" s="15">
        <f t="shared" si="47"/>
        <v>0.90992969508953903</v>
      </c>
      <c r="AL227" s="5">
        <v>6.1308999999999996</v>
      </c>
      <c r="AM227" s="5">
        <v>5.6441999999999997</v>
      </c>
      <c r="AN227" s="5">
        <f t="shared" si="48"/>
        <v>0.76674108727760359</v>
      </c>
      <c r="AO227" s="5">
        <f t="shared" si="49"/>
        <v>1.1004039066269315</v>
      </c>
      <c r="AR227" s="15"/>
    </row>
    <row r="228" spans="1:44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9"/>
        <v>7955.9</v>
      </c>
      <c r="M228" s="15"/>
      <c r="N228" s="15"/>
      <c r="O228" s="15"/>
      <c r="P228" s="15">
        <f t="shared" si="40"/>
        <v>217467367.59166667</v>
      </c>
      <c r="Q228" s="15"/>
      <c r="R228" s="15"/>
      <c r="S228" s="15">
        <v>851.1729268318976</v>
      </c>
      <c r="T228" s="15">
        <v>355</v>
      </c>
      <c r="U228" s="15">
        <v>210000</v>
      </c>
      <c r="V228" s="15">
        <f t="shared" si="41"/>
        <v>3.3181794333054415</v>
      </c>
      <c r="W228" s="63">
        <v>3.0193099999999999</v>
      </c>
      <c r="X228" s="15">
        <f t="shared" si="42"/>
        <v>0.90992969508953903</v>
      </c>
      <c r="Y228" s="15">
        <f>'Global Only'!Y228</f>
        <v>0.22079569544233327</v>
      </c>
      <c r="Z228" s="15">
        <f t="shared" si="43"/>
        <v>0.20090855983092504</v>
      </c>
      <c r="AA228" s="16">
        <v>0.22493516981545406</v>
      </c>
      <c r="AB228" s="15">
        <v>0.80762280341764636</v>
      </c>
      <c r="AC228" s="17">
        <v>2</v>
      </c>
      <c r="AD228" s="15"/>
      <c r="AE228" s="15"/>
      <c r="AF228" s="22" t="s">
        <v>5</v>
      </c>
      <c r="AG228" s="17">
        <f t="shared" si="44"/>
        <v>2569.9549297128165</v>
      </c>
      <c r="AH228" s="17">
        <v>554.0901269485596</v>
      </c>
      <c r="AI228" s="15">
        <f t="shared" si="45"/>
        <v>0.82954485832636038</v>
      </c>
      <c r="AJ228" s="17">
        <f t="shared" si="46"/>
        <v>2</v>
      </c>
      <c r="AK228" s="15">
        <f t="shared" si="47"/>
        <v>0.90992969508953903</v>
      </c>
      <c r="AL228" s="5">
        <v>6.1308999999999996</v>
      </c>
      <c r="AM228" s="5">
        <v>5.6441999999999997</v>
      </c>
      <c r="AN228" s="5">
        <f t="shared" si="48"/>
        <v>0.76674108727760359</v>
      </c>
      <c r="AO228" s="5">
        <f t="shared" si="49"/>
        <v>1.1195897775821431</v>
      </c>
      <c r="AR228" s="15"/>
    </row>
    <row r="229" spans="1:44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9"/>
        <v>7955.9</v>
      </c>
      <c r="M229" s="15"/>
      <c r="N229" s="15"/>
      <c r="O229" s="15"/>
      <c r="P229" s="15">
        <f t="shared" si="40"/>
        <v>217467367.59166667</v>
      </c>
      <c r="Q229" s="15"/>
      <c r="R229" s="15"/>
      <c r="S229" s="15">
        <v>851.1729268318976</v>
      </c>
      <c r="T229" s="15">
        <v>355</v>
      </c>
      <c r="U229" s="15">
        <v>210000</v>
      </c>
      <c r="V229" s="15">
        <f t="shared" si="41"/>
        <v>3.3181794333054415</v>
      </c>
      <c r="W229" s="63">
        <v>3.0193099999999999</v>
      </c>
      <c r="X229" s="15">
        <f t="shared" si="42"/>
        <v>0.90992969508953903</v>
      </c>
      <c r="Y229" s="15">
        <f>'Global Only'!Y229</f>
        <v>0.14009682529603437</v>
      </c>
      <c r="Z229" s="15">
        <f t="shared" si="43"/>
        <v>0.12747826152463299</v>
      </c>
      <c r="AA229" s="16">
        <v>0.14445307692480497</v>
      </c>
      <c r="AB229" s="15">
        <v>0.80762280341764636</v>
      </c>
      <c r="AC229" s="17">
        <v>2.5</v>
      </c>
      <c r="AD229" s="15"/>
      <c r="AE229" s="15"/>
      <c r="AF229" s="22" t="s">
        <v>5</v>
      </c>
      <c r="AG229" s="17">
        <f t="shared" si="44"/>
        <v>2569.9549297128165</v>
      </c>
      <c r="AH229" s="17">
        <v>374.13070068783702</v>
      </c>
      <c r="AI229" s="15">
        <f t="shared" si="45"/>
        <v>0.53090870932887069</v>
      </c>
      <c r="AJ229" s="17">
        <f t="shared" si="46"/>
        <v>2.5</v>
      </c>
      <c r="AK229" s="15">
        <f t="shared" si="47"/>
        <v>0.90992969508953903</v>
      </c>
      <c r="AL229" s="5">
        <v>6.1308999999999996</v>
      </c>
      <c r="AM229" s="5">
        <v>5.6441999999999997</v>
      </c>
      <c r="AN229" s="5">
        <f t="shared" si="48"/>
        <v>0.76674108727760359</v>
      </c>
      <c r="AO229" s="5">
        <f t="shared" si="49"/>
        <v>1.1331585102993571</v>
      </c>
      <c r="AR229" s="15"/>
    </row>
    <row r="230" spans="1:44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39"/>
        <v>7023.4</v>
      </c>
      <c r="M230" s="25"/>
      <c r="N230" s="25"/>
      <c r="O230" s="25"/>
      <c r="P230" s="25">
        <f t="shared" si="40"/>
        <v>206655884.88333333</v>
      </c>
      <c r="Q230" s="25"/>
      <c r="R230" s="25"/>
      <c r="S230" s="25">
        <v>752.72914756048976</v>
      </c>
      <c r="T230" s="25">
        <v>355</v>
      </c>
      <c r="U230" s="25">
        <v>210000</v>
      </c>
      <c r="V230" s="25">
        <f t="shared" si="41"/>
        <v>3.3123561218275217</v>
      </c>
      <c r="W230" s="63">
        <v>2.9378099999999998</v>
      </c>
      <c r="X230" s="25">
        <f t="shared" si="42"/>
        <v>0.8869245612332064</v>
      </c>
      <c r="Y230" s="25">
        <f>'Global Only'!Y230</f>
        <v>1.246344952302938</v>
      </c>
      <c r="Z230" s="25">
        <f t="shared" si="43"/>
        <v>1.1054139499665048</v>
      </c>
      <c r="AA230" s="46">
        <v>0.8619780613222221</v>
      </c>
      <c r="AB230" s="25">
        <v>1.1133153135475653</v>
      </c>
      <c r="AC230" s="47">
        <v>0.3</v>
      </c>
      <c r="AD230" s="25"/>
      <c r="AE230" s="15"/>
      <c r="AF230" s="48" t="s">
        <v>5</v>
      </c>
      <c r="AG230" s="47">
        <f t="shared" si="44"/>
        <v>2211.3752169946824</v>
      </c>
      <c r="AH230" s="47">
        <v>2366.5168408002178</v>
      </c>
      <c r="AI230" s="25">
        <f t="shared" si="45"/>
        <v>36.803956909194689</v>
      </c>
      <c r="AJ230" s="47">
        <f t="shared" si="46"/>
        <v>0.3</v>
      </c>
      <c r="AK230" s="25">
        <f t="shared" si="47"/>
        <v>0.8869245612332064</v>
      </c>
      <c r="AL230" s="56">
        <v>3.2757000000000001</v>
      </c>
      <c r="AM230" s="56">
        <v>3.0047999999999999</v>
      </c>
      <c r="AN230" s="56">
        <f t="shared" si="48"/>
        <v>1.0499309212385566</v>
      </c>
      <c r="AO230" s="5">
        <f t="shared" si="49"/>
        <v>0.77977852672145209</v>
      </c>
      <c r="AR230" s="25"/>
    </row>
    <row r="231" spans="1:44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39"/>
        <v>7023.4</v>
      </c>
      <c r="M231" s="25"/>
      <c r="N231" s="25"/>
      <c r="O231" s="25"/>
      <c r="P231" s="25">
        <f t="shared" si="40"/>
        <v>206655884.88333333</v>
      </c>
      <c r="Q231" s="25"/>
      <c r="R231" s="25"/>
      <c r="S231" s="25">
        <v>752.72914756048976</v>
      </c>
      <c r="T231" s="25">
        <v>355</v>
      </c>
      <c r="U231" s="25">
        <v>210000</v>
      </c>
      <c r="V231" s="25">
        <f t="shared" si="41"/>
        <v>3.3123561218275217</v>
      </c>
      <c r="W231" s="63">
        <v>2.9378099999999998</v>
      </c>
      <c r="X231" s="25">
        <f t="shared" si="42"/>
        <v>0.8869245612332064</v>
      </c>
      <c r="Y231" s="25">
        <f>'Global Only'!Y231</f>
        <v>0.89159307597479887</v>
      </c>
      <c r="Z231" s="25">
        <f t="shared" si="43"/>
        <v>0.79077579770751338</v>
      </c>
      <c r="AA231" s="46">
        <v>0.78178265582713236</v>
      </c>
      <c r="AB231" s="25">
        <v>1.1133153135475653</v>
      </c>
      <c r="AC231" s="47">
        <v>0.5</v>
      </c>
      <c r="AD231" s="25"/>
      <c r="AE231" s="15"/>
      <c r="AF231" s="48" t="s">
        <v>5</v>
      </c>
      <c r="AG231" s="47">
        <f t="shared" si="44"/>
        <v>2211.3752169946824</v>
      </c>
      <c r="AH231" s="47">
        <v>2101.8354366882622</v>
      </c>
      <c r="AI231" s="25">
        <f t="shared" si="45"/>
        <v>13.249424487310089</v>
      </c>
      <c r="AJ231" s="47">
        <f t="shared" si="46"/>
        <v>0.5</v>
      </c>
      <c r="AK231" s="25">
        <f t="shared" si="47"/>
        <v>0.8869245612332064</v>
      </c>
      <c r="AL231" s="5">
        <v>3.2757000000000001</v>
      </c>
      <c r="AM231" s="5">
        <v>3.0047999999999999</v>
      </c>
      <c r="AN231" s="5">
        <f t="shared" si="48"/>
        <v>1.0499309212385566</v>
      </c>
      <c r="AO231" s="5">
        <f t="shared" si="49"/>
        <v>0.98862744420548476</v>
      </c>
      <c r="AR231" s="25"/>
    </row>
    <row r="232" spans="1:44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39"/>
        <v>7023.4</v>
      </c>
      <c r="M232" s="25"/>
      <c r="N232" s="25"/>
      <c r="O232" s="25"/>
      <c r="P232" s="25">
        <f t="shared" si="40"/>
        <v>206655884.88333333</v>
      </c>
      <c r="Q232" s="25"/>
      <c r="R232" s="25"/>
      <c r="S232" s="25">
        <v>752.72914756048976</v>
      </c>
      <c r="T232" s="25">
        <v>355</v>
      </c>
      <c r="U232" s="25">
        <v>210000</v>
      </c>
      <c r="V232" s="25">
        <f t="shared" si="41"/>
        <v>3.3123561218275217</v>
      </c>
      <c r="W232" s="63">
        <v>2.9378099999999998</v>
      </c>
      <c r="X232" s="25">
        <f t="shared" si="42"/>
        <v>0.8869245612332064</v>
      </c>
      <c r="Y232" s="25">
        <f>'Global Only'!Y232</f>
        <v>0.72668518980152996</v>
      </c>
      <c r="Z232" s="25">
        <f t="shared" si="43"/>
        <v>0.64451494311939128</v>
      </c>
      <c r="AA232" s="46">
        <v>0.68660276376130591</v>
      </c>
      <c r="AB232" s="25">
        <v>1.1133153135475653</v>
      </c>
      <c r="AC232" s="47">
        <v>0.75</v>
      </c>
      <c r="AD232" s="25"/>
      <c r="AE232" s="15"/>
      <c r="AF232" s="48" t="s">
        <v>5</v>
      </c>
      <c r="AG232" s="47">
        <f t="shared" si="44"/>
        <v>2211.3752169946824</v>
      </c>
      <c r="AH232" s="47">
        <v>1729.1985217557631</v>
      </c>
      <c r="AI232" s="25">
        <f t="shared" si="45"/>
        <v>5.8886331054711496</v>
      </c>
      <c r="AJ232" s="47">
        <f t="shared" si="46"/>
        <v>0.75</v>
      </c>
      <c r="AK232" s="25">
        <f t="shared" si="47"/>
        <v>0.8869245612332064</v>
      </c>
      <c r="AL232" s="5">
        <v>3.2757000000000001</v>
      </c>
      <c r="AM232" s="5">
        <v>3.0047999999999999</v>
      </c>
      <c r="AN232" s="5">
        <f t="shared" si="48"/>
        <v>1.0499309212385566</v>
      </c>
      <c r="AO232" s="5">
        <f t="shared" si="49"/>
        <v>1.0653015435735493</v>
      </c>
      <c r="AR232" s="25"/>
    </row>
    <row r="233" spans="1:44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39"/>
        <v>7023.4</v>
      </c>
      <c r="M233" s="25"/>
      <c r="N233" s="25"/>
      <c r="O233" s="25"/>
      <c r="P233" s="25">
        <f t="shared" si="40"/>
        <v>206655884.88333333</v>
      </c>
      <c r="Q233" s="25"/>
      <c r="R233" s="25"/>
      <c r="S233" s="25">
        <v>752.72914756048976</v>
      </c>
      <c r="T233" s="25">
        <v>355</v>
      </c>
      <c r="U233" s="25">
        <v>210000</v>
      </c>
      <c r="V233" s="25">
        <f t="shared" si="41"/>
        <v>3.3123561218275217</v>
      </c>
      <c r="W233" s="63">
        <v>2.9378099999999998</v>
      </c>
      <c r="X233" s="25">
        <f t="shared" si="42"/>
        <v>0.8869245612332064</v>
      </c>
      <c r="Y233" s="25">
        <f>'Global Only'!Y233</f>
        <v>0.63365393015468008</v>
      </c>
      <c r="Z233" s="25">
        <f t="shared" si="43"/>
        <v>0.5620032339761365</v>
      </c>
      <c r="AA233" s="46">
        <v>0.61621389957535011</v>
      </c>
      <c r="AB233" s="25">
        <v>1.1133153135475653</v>
      </c>
      <c r="AC233" s="47">
        <v>1</v>
      </c>
      <c r="AD233" s="25"/>
      <c r="AE233" s="15"/>
      <c r="AF233" s="48" t="s">
        <v>5</v>
      </c>
      <c r="AG233" s="47">
        <f t="shared" si="44"/>
        <v>2211.3752169946824</v>
      </c>
      <c r="AH233" s="47">
        <v>1346.2337561503921</v>
      </c>
      <c r="AI233" s="25">
        <f t="shared" si="45"/>
        <v>3.3123561218275221</v>
      </c>
      <c r="AJ233" s="47">
        <f t="shared" si="46"/>
        <v>1</v>
      </c>
      <c r="AK233" s="25">
        <f t="shared" si="47"/>
        <v>0.8869245612332064</v>
      </c>
      <c r="AL233" s="5">
        <v>3.2757000000000001</v>
      </c>
      <c r="AM233" s="5">
        <v>3.0047999999999999</v>
      </c>
      <c r="AN233" s="5">
        <f t="shared" si="48"/>
        <v>1.0499309212385566</v>
      </c>
      <c r="AO233" s="5">
        <f t="shared" si="49"/>
        <v>1.0964597040050403</v>
      </c>
      <c r="AR233" s="25"/>
    </row>
    <row r="234" spans="1:44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39"/>
        <v>7023.4</v>
      </c>
      <c r="M234" s="25"/>
      <c r="N234" s="25"/>
      <c r="O234" s="25"/>
      <c r="P234" s="25">
        <f t="shared" si="40"/>
        <v>206655884.88333333</v>
      </c>
      <c r="Q234" s="25"/>
      <c r="R234" s="25"/>
      <c r="S234" s="25">
        <v>752.72914756048976</v>
      </c>
      <c r="T234" s="25">
        <v>355</v>
      </c>
      <c r="U234" s="25">
        <v>210000</v>
      </c>
      <c r="V234" s="25">
        <f t="shared" si="41"/>
        <v>3.3123561218275217</v>
      </c>
      <c r="W234" s="63">
        <v>2.9378099999999998</v>
      </c>
      <c r="X234" s="25">
        <f t="shared" si="42"/>
        <v>0.8869245612332064</v>
      </c>
      <c r="Y234" s="25">
        <f>'Global Only'!Y234</f>
        <v>0.47157828130748669</v>
      </c>
      <c r="Z234" s="25">
        <f t="shared" si="43"/>
        <v>0.41825436023575219</v>
      </c>
      <c r="AA234" s="46">
        <v>0.46708415085788796</v>
      </c>
      <c r="AB234" s="25">
        <v>1.1133153135475653</v>
      </c>
      <c r="AC234" s="47">
        <v>1.33</v>
      </c>
      <c r="AD234" s="25"/>
      <c r="AE234" s="15"/>
      <c r="AF234" s="48" t="s">
        <v>5</v>
      </c>
      <c r="AG234" s="47">
        <f t="shared" si="44"/>
        <v>2211.3752169946824</v>
      </c>
      <c r="AH234" s="47">
        <v>938.46289019243318</v>
      </c>
      <c r="AI234" s="25">
        <f t="shared" si="45"/>
        <v>1.8725513719416147</v>
      </c>
      <c r="AJ234" s="47">
        <f t="shared" si="46"/>
        <v>1.3299999999999998</v>
      </c>
      <c r="AK234" s="25">
        <f t="shared" si="47"/>
        <v>0.8869245612332064</v>
      </c>
      <c r="AL234" s="5">
        <v>3.2757000000000001</v>
      </c>
      <c r="AM234" s="5">
        <v>3.0047999999999999</v>
      </c>
      <c r="AN234" s="5">
        <f t="shared" si="48"/>
        <v>1.0499309212385566</v>
      </c>
      <c r="AO234" s="5">
        <f t="shared" si="49"/>
        <v>1.1167466385637019</v>
      </c>
      <c r="AR234" s="25"/>
    </row>
    <row r="235" spans="1:44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39"/>
        <v>7023.4</v>
      </c>
      <c r="M235" s="25"/>
      <c r="N235" s="25"/>
      <c r="O235" s="25"/>
      <c r="P235" s="25">
        <f t="shared" si="40"/>
        <v>206655884.88333333</v>
      </c>
      <c r="Q235" s="25"/>
      <c r="R235" s="25"/>
      <c r="S235" s="25">
        <v>752.72914756048976</v>
      </c>
      <c r="T235" s="25">
        <v>355</v>
      </c>
      <c r="U235" s="25">
        <v>210000</v>
      </c>
      <c r="V235" s="25">
        <f t="shared" si="41"/>
        <v>3.3123561218275217</v>
      </c>
      <c r="W235" s="63">
        <v>2.9378099999999998</v>
      </c>
      <c r="X235" s="25">
        <f t="shared" si="42"/>
        <v>0.8869245612332064</v>
      </c>
      <c r="Y235" s="25">
        <f>'Global Only'!Y235</f>
        <v>0.32001380517713285</v>
      </c>
      <c r="Z235" s="25">
        <f t="shared" si="43"/>
        <v>0.28382810374529732</v>
      </c>
      <c r="AA235" s="46">
        <v>0.31902612696370308</v>
      </c>
      <c r="AB235" s="25">
        <v>1.1133153135475653</v>
      </c>
      <c r="AC235" s="47">
        <v>1.67</v>
      </c>
      <c r="AD235" s="25"/>
      <c r="AE235" s="15"/>
      <c r="AF235" s="48" t="s">
        <v>5</v>
      </c>
      <c r="AG235" s="47">
        <f t="shared" si="44"/>
        <v>2211.3752169946824</v>
      </c>
      <c r="AH235" s="47">
        <v>661.47716895796475</v>
      </c>
      <c r="AI235" s="25">
        <f t="shared" si="45"/>
        <v>1.1876926823577478</v>
      </c>
      <c r="AJ235" s="47">
        <f t="shared" si="46"/>
        <v>1.6699999999999997</v>
      </c>
      <c r="AK235" s="25">
        <f t="shared" si="47"/>
        <v>0.8869245612332064</v>
      </c>
      <c r="AL235" s="5">
        <v>3.2757000000000001</v>
      </c>
      <c r="AM235" s="5">
        <v>3.0047999999999999</v>
      </c>
      <c r="AN235" s="5">
        <f t="shared" si="48"/>
        <v>1.0499309212385566</v>
      </c>
      <c r="AO235" s="5">
        <f t="shared" si="49"/>
        <v>1.1240117618866661</v>
      </c>
      <c r="AR235" s="25"/>
    </row>
    <row r="236" spans="1:44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39"/>
        <v>7023.4</v>
      </c>
      <c r="M236" s="25"/>
      <c r="N236" s="25"/>
      <c r="O236" s="25"/>
      <c r="P236" s="25">
        <f t="shared" si="40"/>
        <v>206655884.88333333</v>
      </c>
      <c r="Q236" s="25"/>
      <c r="R236" s="25"/>
      <c r="S236" s="25">
        <v>752.72914756048976</v>
      </c>
      <c r="T236" s="25">
        <v>355</v>
      </c>
      <c r="U236" s="25">
        <v>210000</v>
      </c>
      <c r="V236" s="25">
        <f t="shared" si="41"/>
        <v>3.3123561218275217</v>
      </c>
      <c r="W236" s="63">
        <v>2.9378099999999998</v>
      </c>
      <c r="X236" s="25">
        <f t="shared" si="42"/>
        <v>0.8869245612332064</v>
      </c>
      <c r="Y236" s="25">
        <f>'Global Only'!Y236</f>
        <v>0.22113201021875475</v>
      </c>
      <c r="Z236" s="25">
        <f t="shared" si="43"/>
        <v>0.19612741113788598</v>
      </c>
      <c r="AA236" s="46">
        <v>0.22341726912453858</v>
      </c>
      <c r="AB236" s="25">
        <v>1.1133153135475653</v>
      </c>
      <c r="AC236" s="47">
        <v>2</v>
      </c>
      <c r="AD236" s="25"/>
      <c r="AE236" s="15"/>
      <c r="AF236" s="48" t="s">
        <v>5</v>
      </c>
      <c r="AG236" s="47">
        <f t="shared" si="44"/>
        <v>2211.3752169946824</v>
      </c>
      <c r="AH236" s="47">
        <v>489.14599198211556</v>
      </c>
      <c r="AI236" s="25">
        <f t="shared" si="45"/>
        <v>0.82808903045688054</v>
      </c>
      <c r="AJ236" s="47">
        <f t="shared" si="46"/>
        <v>2</v>
      </c>
      <c r="AK236" s="25">
        <f t="shared" si="47"/>
        <v>0.8869245612332064</v>
      </c>
      <c r="AL236" s="5">
        <v>3.2757000000000001</v>
      </c>
      <c r="AM236" s="5">
        <v>3.0047999999999999</v>
      </c>
      <c r="AN236" s="5">
        <f t="shared" si="48"/>
        <v>1.0499309212385566</v>
      </c>
      <c r="AO236" s="5">
        <f t="shared" si="49"/>
        <v>1.1391435181259117</v>
      </c>
      <c r="AR236" s="25"/>
    </row>
    <row r="237" spans="1:44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39"/>
        <v>7023.4</v>
      </c>
      <c r="M237" s="25"/>
      <c r="N237" s="25"/>
      <c r="O237" s="25"/>
      <c r="P237" s="25">
        <f t="shared" si="40"/>
        <v>206655884.88333333</v>
      </c>
      <c r="Q237" s="25"/>
      <c r="R237" s="25"/>
      <c r="S237" s="25">
        <v>752.72914756048976</v>
      </c>
      <c r="T237" s="25">
        <v>355</v>
      </c>
      <c r="U237" s="25">
        <v>210000</v>
      </c>
      <c r="V237" s="25">
        <f t="shared" si="41"/>
        <v>3.3123561218275217</v>
      </c>
      <c r="W237" s="63">
        <v>2.9378099999999998</v>
      </c>
      <c r="X237" s="25">
        <f t="shared" si="42"/>
        <v>0.8869245612332064</v>
      </c>
      <c r="Y237" s="25">
        <f>'Global Only'!Y237</f>
        <v>0.14053207198353096</v>
      </c>
      <c r="Z237" s="25">
        <f t="shared" si="43"/>
        <v>0.12464134628318657</v>
      </c>
      <c r="AA237" s="46">
        <v>0.1432476328381295</v>
      </c>
      <c r="AB237" s="25">
        <v>1.1133153135475653</v>
      </c>
      <c r="AC237" s="47">
        <v>2.5</v>
      </c>
      <c r="AD237" s="25"/>
      <c r="AE237" s="15"/>
      <c r="AF237" s="48" t="s">
        <v>5</v>
      </c>
      <c r="AG237" s="47">
        <f t="shared" si="44"/>
        <v>2211.3752169946824</v>
      </c>
      <c r="AH237" s="47">
        <v>330.2793603754389</v>
      </c>
      <c r="AI237" s="25">
        <f t="shared" si="45"/>
        <v>0.52997697949240352</v>
      </c>
      <c r="AJ237" s="47">
        <f t="shared" si="46"/>
        <v>2.5</v>
      </c>
      <c r="AK237" s="25">
        <f t="shared" si="47"/>
        <v>0.8869245612332064</v>
      </c>
      <c r="AL237" s="5">
        <v>3.2757000000000001</v>
      </c>
      <c r="AM237" s="5">
        <v>3.0047999999999999</v>
      </c>
      <c r="AN237" s="5">
        <f t="shared" si="48"/>
        <v>1.0499309212385566</v>
      </c>
      <c r="AO237" s="5">
        <f t="shared" si="49"/>
        <v>1.1492786070576391</v>
      </c>
      <c r="AR237" s="25"/>
    </row>
    <row r="238" spans="1:44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9"/>
        <v>6456.4400000000005</v>
      </c>
      <c r="M238" s="15"/>
      <c r="N238" s="15"/>
      <c r="O238" s="15"/>
      <c r="P238" s="15">
        <f t="shared" si="40"/>
        <v>200082503.39666668</v>
      </c>
      <c r="Q238" s="15"/>
      <c r="R238" s="15"/>
      <c r="S238" s="15">
        <v>692.79570594908989</v>
      </c>
      <c r="T238" s="15">
        <v>355</v>
      </c>
      <c r="U238" s="15">
        <v>210000</v>
      </c>
      <c r="V238" s="15">
        <f t="shared" si="41"/>
        <v>3.3083868452389495</v>
      </c>
      <c r="W238" s="63">
        <v>2.91676</v>
      </c>
      <c r="X238" s="15">
        <f t="shared" si="42"/>
        <v>0.88162604206864925</v>
      </c>
      <c r="Y238" s="15">
        <f>'Global Only'!Y238</f>
        <v>1.1913459053707551</v>
      </c>
      <c r="Z238" s="15">
        <f t="shared" si="43"/>
        <v>1.0503215752867103</v>
      </c>
      <c r="AA238" s="16">
        <v>0.85168387552494562</v>
      </c>
      <c r="AB238" s="15">
        <v>1.5137471488237149</v>
      </c>
      <c r="AC238" s="17">
        <v>0.3</v>
      </c>
      <c r="AD238" s="15"/>
      <c r="AE238" s="15"/>
      <c r="AF238" s="22" t="s">
        <v>5</v>
      </c>
      <c r="AG238" s="17">
        <f t="shared" si="44"/>
        <v>2020.7188032840675</v>
      </c>
      <c r="AH238" s="17">
        <v>2175.4811048233278</v>
      </c>
      <c r="AI238" s="15">
        <f t="shared" si="45"/>
        <v>36.759853835988331</v>
      </c>
      <c r="AJ238" s="17">
        <f t="shared" si="46"/>
        <v>0.3</v>
      </c>
      <c r="AK238" s="15">
        <f t="shared" si="47"/>
        <v>0.88162604206864925</v>
      </c>
      <c r="AL238" s="56">
        <v>1.7927999999999999</v>
      </c>
      <c r="AM238" s="56">
        <v>1.6408</v>
      </c>
      <c r="AN238" s="56">
        <f t="shared" si="48"/>
        <v>1.4199737598176907</v>
      </c>
      <c r="AO238" s="5">
        <f t="shared" si="49"/>
        <v>0.81087915888280049</v>
      </c>
      <c r="AR238" s="15"/>
    </row>
    <row r="239" spans="1:44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9"/>
        <v>6456.4400000000005</v>
      </c>
      <c r="M239" s="15"/>
      <c r="N239" s="15"/>
      <c r="O239" s="15"/>
      <c r="P239" s="15">
        <f t="shared" si="40"/>
        <v>200082503.39666668</v>
      </c>
      <c r="Q239" s="15"/>
      <c r="R239" s="15"/>
      <c r="S239" s="15">
        <v>692.79570594908989</v>
      </c>
      <c r="T239" s="15">
        <v>355</v>
      </c>
      <c r="U239" s="15">
        <v>210000</v>
      </c>
      <c r="V239" s="15">
        <f t="shared" si="41"/>
        <v>3.3083868452389495</v>
      </c>
      <c r="W239" s="63">
        <v>2.91676</v>
      </c>
      <c r="X239" s="15">
        <f t="shared" si="42"/>
        <v>0.88162604206864925</v>
      </c>
      <c r="Y239" s="15">
        <f>'Global Only'!Y239</f>
        <v>0.88355575863770541</v>
      </c>
      <c r="Z239" s="15">
        <f t="shared" si="43"/>
        <v>0.77896576643472293</v>
      </c>
      <c r="AA239" s="16">
        <v>0.76299840712710487</v>
      </c>
      <c r="AB239" s="15">
        <v>1.5137471488237149</v>
      </c>
      <c r="AC239" s="17">
        <v>0.5</v>
      </c>
      <c r="AD239" s="15"/>
      <c r="AE239" s="15"/>
      <c r="AF239" s="22" t="s">
        <v>5</v>
      </c>
      <c r="AG239" s="17">
        <f t="shared" si="44"/>
        <v>2020.7188032840675</v>
      </c>
      <c r="AH239" s="17">
        <v>1932.165957634702</v>
      </c>
      <c r="AI239" s="15">
        <f t="shared" si="45"/>
        <v>13.233547380955798</v>
      </c>
      <c r="AJ239" s="17">
        <f t="shared" si="46"/>
        <v>0.5</v>
      </c>
      <c r="AK239" s="15">
        <f t="shared" si="47"/>
        <v>0.88162604206864925</v>
      </c>
      <c r="AL239" s="5">
        <v>1.7927999999999999</v>
      </c>
      <c r="AM239" s="5">
        <v>1.6408</v>
      </c>
      <c r="AN239" s="5">
        <f t="shared" si="48"/>
        <v>1.4199737598176907</v>
      </c>
      <c r="AO239" s="5">
        <f t="shared" si="49"/>
        <v>0.97950184719836964</v>
      </c>
      <c r="AR239" s="15"/>
    </row>
    <row r="240" spans="1:44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9"/>
        <v>6456.4400000000005</v>
      </c>
      <c r="M240" s="15"/>
      <c r="N240" s="15"/>
      <c r="O240" s="15"/>
      <c r="P240" s="15">
        <f t="shared" si="40"/>
        <v>200082503.39666668</v>
      </c>
      <c r="Q240" s="15"/>
      <c r="R240" s="15"/>
      <c r="S240" s="15">
        <v>692.79570594908989</v>
      </c>
      <c r="T240" s="15">
        <v>355</v>
      </c>
      <c r="U240" s="15">
        <v>210000</v>
      </c>
      <c r="V240" s="15">
        <f t="shared" si="41"/>
        <v>3.3083868452389495</v>
      </c>
      <c r="W240" s="63">
        <v>2.91676</v>
      </c>
      <c r="X240" s="15">
        <f t="shared" si="42"/>
        <v>0.88162604206864925</v>
      </c>
      <c r="Y240" s="15">
        <f>'Global Only'!Y240</f>
        <v>0.71839247905512249</v>
      </c>
      <c r="Z240" s="15">
        <f t="shared" si="43"/>
        <v>0.63335351796125261</v>
      </c>
      <c r="AA240" s="16">
        <v>0.65777147550318571</v>
      </c>
      <c r="AB240" s="15">
        <v>1.5137471488237149</v>
      </c>
      <c r="AC240" s="17">
        <v>0.75</v>
      </c>
      <c r="AD240" s="15"/>
      <c r="AE240" s="15"/>
      <c r="AF240" s="22" t="s">
        <v>5</v>
      </c>
      <c r="AG240" s="17">
        <f t="shared" si="44"/>
        <v>2020.7188032840675</v>
      </c>
      <c r="AH240" s="17">
        <v>1589.6099472911669</v>
      </c>
      <c r="AI240" s="15">
        <f t="shared" si="45"/>
        <v>5.8815766137581331</v>
      </c>
      <c r="AJ240" s="17">
        <f t="shared" si="46"/>
        <v>0.74999999999999989</v>
      </c>
      <c r="AK240" s="15">
        <f t="shared" si="47"/>
        <v>0.88162604206864925</v>
      </c>
      <c r="AL240" s="5">
        <v>1.7927999999999999</v>
      </c>
      <c r="AM240" s="5">
        <v>1.6408</v>
      </c>
      <c r="AN240" s="5">
        <f t="shared" si="48"/>
        <v>1.4199737598176907</v>
      </c>
      <c r="AO240" s="5">
        <f t="shared" si="49"/>
        <v>1.0385534410869521</v>
      </c>
      <c r="AR240" s="15"/>
    </row>
    <row r="241" spans="1:44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9"/>
        <v>6456.4400000000005</v>
      </c>
      <c r="M241" s="15"/>
      <c r="N241" s="15"/>
      <c r="O241" s="15"/>
      <c r="P241" s="15">
        <f t="shared" si="40"/>
        <v>200082503.39666668</v>
      </c>
      <c r="Q241" s="15"/>
      <c r="R241" s="15"/>
      <c r="S241" s="15">
        <v>692.79570594908989</v>
      </c>
      <c r="T241" s="15">
        <v>355</v>
      </c>
      <c r="U241" s="15">
        <v>210000</v>
      </c>
      <c r="V241" s="15">
        <f t="shared" si="41"/>
        <v>3.3083868452389495</v>
      </c>
      <c r="W241" s="63">
        <v>2.91676</v>
      </c>
      <c r="X241" s="15">
        <f t="shared" si="42"/>
        <v>0.88162604206864925</v>
      </c>
      <c r="Y241" s="15">
        <f>'Global Only'!Y241</f>
        <v>0.63274683258894437</v>
      </c>
      <c r="Z241" s="15">
        <f t="shared" si="43"/>
        <v>0.55784608564686522</v>
      </c>
      <c r="AA241" s="16">
        <v>0.59311530799071432</v>
      </c>
      <c r="AB241" s="15">
        <v>1.5137471488237149</v>
      </c>
      <c r="AC241" s="17">
        <v>1</v>
      </c>
      <c r="AD241" s="15"/>
      <c r="AE241" s="15"/>
      <c r="AF241" s="22" t="s">
        <v>5</v>
      </c>
      <c r="AG241" s="17">
        <f t="shared" si="44"/>
        <v>2020.7188032840675</v>
      </c>
      <c r="AH241" s="17">
        <v>1237.5597961898284</v>
      </c>
      <c r="AI241" s="15">
        <f t="shared" si="45"/>
        <v>3.3083868452389495</v>
      </c>
      <c r="AJ241" s="17">
        <f t="shared" si="46"/>
        <v>1</v>
      </c>
      <c r="AK241" s="15">
        <f t="shared" si="47"/>
        <v>0.88162604206864925</v>
      </c>
      <c r="AL241" s="5">
        <v>1.7927999999999999</v>
      </c>
      <c r="AM241" s="5">
        <v>1.6408</v>
      </c>
      <c r="AN241" s="5">
        <f t="shared" si="48"/>
        <v>1.4199737598176907</v>
      </c>
      <c r="AO241" s="5">
        <f t="shared" si="49"/>
        <v>1.0632239308499436</v>
      </c>
      <c r="AR241" s="15"/>
    </row>
    <row r="242" spans="1:44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9"/>
        <v>6456.4400000000005</v>
      </c>
      <c r="M242" s="15"/>
      <c r="N242" s="15"/>
      <c r="O242" s="15"/>
      <c r="P242" s="15">
        <f t="shared" si="40"/>
        <v>200082503.39666668</v>
      </c>
      <c r="Q242" s="15"/>
      <c r="R242" s="15"/>
      <c r="S242" s="15">
        <v>692.79570594908989</v>
      </c>
      <c r="T242" s="15">
        <v>355</v>
      </c>
      <c r="U242" s="15">
        <v>210000</v>
      </c>
      <c r="V242" s="15">
        <f t="shared" si="41"/>
        <v>3.3083868452389495</v>
      </c>
      <c r="W242" s="63">
        <v>2.91676</v>
      </c>
      <c r="X242" s="15">
        <f t="shared" si="42"/>
        <v>0.88162604206864925</v>
      </c>
      <c r="Y242" s="15">
        <f>'Global Only'!Y242</f>
        <v>0.47127824244760685</v>
      </c>
      <c r="Z242" s="15">
        <f t="shared" si="43"/>
        <v>0.41549117160215293</v>
      </c>
      <c r="AA242" s="16">
        <v>0.45686777390857286</v>
      </c>
      <c r="AB242" s="15">
        <v>1.5137471488237149</v>
      </c>
      <c r="AC242" s="17">
        <v>1.33</v>
      </c>
      <c r="AD242" s="15"/>
      <c r="AE242" s="15"/>
      <c r="AF242" s="22" t="s">
        <v>5</v>
      </c>
      <c r="AG242" s="17">
        <f t="shared" si="44"/>
        <v>2020.7188032840675</v>
      </c>
      <c r="AH242" s="17">
        <v>862.70600318279378</v>
      </c>
      <c r="AI242" s="15">
        <f t="shared" si="45"/>
        <v>1.8703074482666906</v>
      </c>
      <c r="AJ242" s="17">
        <f t="shared" si="46"/>
        <v>1.33</v>
      </c>
      <c r="AK242" s="15">
        <f t="shared" si="47"/>
        <v>0.88162604206864925</v>
      </c>
      <c r="AL242" s="5">
        <v>1.7927999999999999</v>
      </c>
      <c r="AM242" s="5">
        <v>1.6408</v>
      </c>
      <c r="AN242" s="5">
        <f t="shared" si="48"/>
        <v>1.4199737598176907</v>
      </c>
      <c r="AO242" s="5">
        <f t="shared" si="49"/>
        <v>1.0995847929737468</v>
      </c>
      <c r="AR242" s="15"/>
    </row>
    <row r="243" spans="1:44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9"/>
        <v>6456.4400000000005</v>
      </c>
      <c r="M243" s="15"/>
      <c r="N243" s="15"/>
      <c r="O243" s="15"/>
      <c r="P243" s="15">
        <f t="shared" si="40"/>
        <v>200082503.39666668</v>
      </c>
      <c r="Q243" s="15"/>
      <c r="R243" s="15"/>
      <c r="S243" s="15">
        <v>692.79570594908989</v>
      </c>
      <c r="T243" s="15">
        <v>355</v>
      </c>
      <c r="U243" s="15">
        <v>210000</v>
      </c>
      <c r="V243" s="15">
        <f t="shared" si="41"/>
        <v>3.3083868452389495</v>
      </c>
      <c r="W243" s="63">
        <v>2.91676</v>
      </c>
      <c r="X243" s="15">
        <f t="shared" si="42"/>
        <v>0.88162604206864925</v>
      </c>
      <c r="Y243" s="15">
        <f>'Global Only'!Y243</f>
        <v>0.31974471402919152</v>
      </c>
      <c r="Z243" s="15">
        <f t="shared" si="43"/>
        <v>0.28189526670192822</v>
      </c>
      <c r="AA243" s="16">
        <v>0.31712657086020712</v>
      </c>
      <c r="AB243" s="15">
        <v>1.5137471488237149</v>
      </c>
      <c r="AC243" s="17">
        <v>1.67</v>
      </c>
      <c r="AD243" s="15"/>
      <c r="AE243" s="15"/>
      <c r="AF243" s="22" t="s">
        <v>5</v>
      </c>
      <c r="AG243" s="17">
        <f t="shared" si="44"/>
        <v>2020.7188032840675</v>
      </c>
      <c r="AH243" s="17">
        <v>608.07979792507365</v>
      </c>
      <c r="AI243" s="15">
        <f t="shared" si="45"/>
        <v>1.1862694414424861</v>
      </c>
      <c r="AJ243" s="17">
        <f t="shared" si="46"/>
        <v>1.67</v>
      </c>
      <c r="AK243" s="15">
        <f t="shared" si="47"/>
        <v>0.88162604206864925</v>
      </c>
      <c r="AL243" s="5">
        <v>1.7927999999999999</v>
      </c>
      <c r="AM243" s="5">
        <v>1.6408</v>
      </c>
      <c r="AN243" s="5">
        <f t="shared" si="48"/>
        <v>1.4199737598176907</v>
      </c>
      <c r="AO243" s="5">
        <f t="shared" si="49"/>
        <v>1.124980119639724</v>
      </c>
      <c r="AR243" s="15"/>
    </row>
    <row r="244" spans="1:44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9"/>
        <v>6456.4400000000005</v>
      </c>
      <c r="M244" s="15"/>
      <c r="N244" s="15"/>
      <c r="O244" s="15"/>
      <c r="P244" s="15">
        <f t="shared" si="40"/>
        <v>200082503.39666668</v>
      </c>
      <c r="Q244" s="15"/>
      <c r="R244" s="15"/>
      <c r="S244" s="15">
        <v>692.79570594908989</v>
      </c>
      <c r="T244" s="15">
        <v>355</v>
      </c>
      <c r="U244" s="15">
        <v>210000</v>
      </c>
      <c r="V244" s="15">
        <f t="shared" si="41"/>
        <v>3.3083868452389495</v>
      </c>
      <c r="W244" s="63">
        <v>2.91676</v>
      </c>
      <c r="X244" s="15">
        <f t="shared" si="42"/>
        <v>0.88162604206864925</v>
      </c>
      <c r="Y244" s="15">
        <f>'Global Only'!Y244</f>
        <v>0.22126485455544118</v>
      </c>
      <c r="Z244" s="15">
        <f t="shared" si="43"/>
        <v>0.19507285797060894</v>
      </c>
      <c r="AA244" s="16">
        <v>0.22221438327420442</v>
      </c>
      <c r="AB244" s="15">
        <v>1.5137471488237149</v>
      </c>
      <c r="AC244" s="17">
        <v>2</v>
      </c>
      <c r="AD244" s="15"/>
      <c r="AE244" s="15"/>
      <c r="AF244" s="22" t="s">
        <v>5</v>
      </c>
      <c r="AG244" s="17">
        <f t="shared" si="44"/>
        <v>2020.7188032840675</v>
      </c>
      <c r="AH244" s="17">
        <v>449.65995792251766</v>
      </c>
      <c r="AI244" s="15">
        <f t="shared" si="45"/>
        <v>0.82709671130973739</v>
      </c>
      <c r="AJ244" s="17">
        <f t="shared" si="46"/>
        <v>2</v>
      </c>
      <c r="AK244" s="15">
        <f t="shared" si="47"/>
        <v>0.88162604206864925</v>
      </c>
      <c r="AL244" s="5">
        <v>1.7927999999999999</v>
      </c>
      <c r="AM244" s="5">
        <v>1.6408</v>
      </c>
      <c r="AN244" s="5">
        <f t="shared" si="48"/>
        <v>1.4199737598176907</v>
      </c>
      <c r="AO244" s="5">
        <f t="shared" si="49"/>
        <v>1.1391353240320332</v>
      </c>
      <c r="AR244" s="15"/>
    </row>
    <row r="245" spans="1:44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39"/>
        <v>6456.4400000000005</v>
      </c>
      <c r="M245" s="15"/>
      <c r="N245" s="15"/>
      <c r="O245" s="15"/>
      <c r="P245" s="15">
        <f t="shared" si="40"/>
        <v>200082503.39666668</v>
      </c>
      <c r="Q245" s="15"/>
      <c r="R245" s="15"/>
      <c r="S245" s="15">
        <v>692.79570594908989</v>
      </c>
      <c r="T245" s="15">
        <v>355</v>
      </c>
      <c r="U245" s="15">
        <v>210000</v>
      </c>
      <c r="V245" s="15">
        <f t="shared" si="41"/>
        <v>3.3083868452389495</v>
      </c>
      <c r="W245" s="63">
        <v>2.91676</v>
      </c>
      <c r="X245" s="15">
        <f t="shared" si="42"/>
        <v>0.88162604206864925</v>
      </c>
      <c r="Y245" s="15">
        <f>'Global Only'!Y245</f>
        <v>0.14077845945619211</v>
      </c>
      <c r="Z245" s="15">
        <f t="shared" si="43"/>
        <v>0.12411395601888446</v>
      </c>
      <c r="AA245" s="16">
        <v>0.142364649775582</v>
      </c>
      <c r="AB245" s="15">
        <v>1.5137471488237149</v>
      </c>
      <c r="AC245" s="17">
        <v>2.5</v>
      </c>
      <c r="AD245" s="15"/>
      <c r="AE245" s="25"/>
      <c r="AF245" s="22" t="s">
        <v>5</v>
      </c>
      <c r="AG245" s="17">
        <f t="shared" si="44"/>
        <v>2020.7188032840675</v>
      </c>
      <c r="AH245" s="17">
        <v>303.61774546550089</v>
      </c>
      <c r="AI245" s="15">
        <f t="shared" si="45"/>
        <v>0.52934189523823183</v>
      </c>
      <c r="AJ245" s="17">
        <f t="shared" si="46"/>
        <v>2.5</v>
      </c>
      <c r="AK245" s="15">
        <f t="shared" si="47"/>
        <v>0.88162604206864925</v>
      </c>
      <c r="AL245" s="5">
        <v>1.7927999999999999</v>
      </c>
      <c r="AM245" s="5">
        <v>1.6408</v>
      </c>
      <c r="AN245" s="5">
        <f t="shared" si="48"/>
        <v>1.4199737598176907</v>
      </c>
      <c r="AO245" s="5">
        <f t="shared" si="49"/>
        <v>1.1470478771454244</v>
      </c>
      <c r="AR245" s="15"/>
    </row>
    <row r="246" spans="1:44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39"/>
        <v>18131.148799999999</v>
      </c>
      <c r="M246" s="25"/>
      <c r="N246" s="25"/>
      <c r="O246" s="25"/>
      <c r="P246" s="25">
        <f t="shared" si="40"/>
        <v>296599421.04640174</v>
      </c>
      <c r="Q246" s="25"/>
      <c r="R246" s="25"/>
      <c r="S246" s="25">
        <v>1942.6626635709547</v>
      </c>
      <c r="T246" s="25">
        <v>355</v>
      </c>
      <c r="U246" s="25">
        <v>210000</v>
      </c>
      <c r="V246" s="25">
        <f t="shared" si="41"/>
        <v>3.3132658308100069</v>
      </c>
      <c r="W246" s="63">
        <v>3.3924400000000001</v>
      </c>
      <c r="X246" s="25">
        <f t="shared" si="42"/>
        <v>1.0238961113393781</v>
      </c>
      <c r="Y246" s="25">
        <f>'Global Only'!Y246</f>
        <v>1.1037205809551591</v>
      </c>
      <c r="Z246" s="25">
        <f t="shared" si="43"/>
        <v>1.1300952108452267</v>
      </c>
      <c r="AA246" s="46">
        <v>0.97443038019884742</v>
      </c>
      <c r="AB246" s="25">
        <v>0.35499999999999998</v>
      </c>
      <c r="AC246" s="47">
        <v>0.3</v>
      </c>
      <c r="AD246" s="25"/>
      <c r="AE246" s="15"/>
      <c r="AF246" s="48" t="s">
        <v>5</v>
      </c>
      <c r="AG246" s="47">
        <f t="shared" si="44"/>
        <v>6590.3665264046494</v>
      </c>
      <c r="AH246" s="47">
        <v>6109.2446647285724</v>
      </c>
      <c r="AI246" s="25">
        <f t="shared" si="45"/>
        <v>36.814064786777848</v>
      </c>
      <c r="AJ246" s="47">
        <f t="shared" si="46"/>
        <v>0.30000000000000004</v>
      </c>
      <c r="AK246" s="25">
        <f t="shared" si="47"/>
        <v>1.0238961113393781</v>
      </c>
      <c r="AL246" s="56">
        <v>29.24</v>
      </c>
      <c r="AM246" s="56">
        <v>26.817</v>
      </c>
      <c r="AN246" s="56">
        <f t="shared" si="48"/>
        <v>0.35149815102468268</v>
      </c>
      <c r="AO246" s="5">
        <f t="shared" si="49"/>
        <v>0.86225511872583405</v>
      </c>
      <c r="AR246" s="25"/>
    </row>
    <row r="247" spans="1:44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39"/>
        <v>18131.148799999999</v>
      </c>
      <c r="M247" s="25"/>
      <c r="N247" s="25"/>
      <c r="O247" s="25"/>
      <c r="P247" s="25">
        <f t="shared" si="40"/>
        <v>296599421.04640174</v>
      </c>
      <c r="Q247" s="25"/>
      <c r="R247" s="25"/>
      <c r="S247" s="25">
        <v>1942.6626635709547</v>
      </c>
      <c r="T247" s="25">
        <v>355</v>
      </c>
      <c r="U247" s="25">
        <v>210000</v>
      </c>
      <c r="V247" s="25">
        <f t="shared" si="41"/>
        <v>3.3132658308100069</v>
      </c>
      <c r="W247" s="63">
        <v>3.3924400000000001</v>
      </c>
      <c r="X247" s="25">
        <f t="shared" si="42"/>
        <v>1.0238961113393781</v>
      </c>
      <c r="Y247" s="25">
        <f>'Global Only'!Y247</f>
        <v>0.89568278674446744</v>
      </c>
      <c r="Z247" s="25">
        <f t="shared" si="43"/>
        <v>0.91708612234127762</v>
      </c>
      <c r="AA247" s="46">
        <v>0.85732669486756818</v>
      </c>
      <c r="AB247" s="25">
        <v>0.35499999999999998</v>
      </c>
      <c r="AC247" s="47">
        <v>0.5</v>
      </c>
      <c r="AD247" s="25"/>
      <c r="AE247" s="15"/>
      <c r="AF247" s="48" t="s">
        <v>5</v>
      </c>
      <c r="AG247" s="47">
        <f t="shared" si="44"/>
        <v>6590.3665264046494</v>
      </c>
      <c r="AH247" s="47">
        <v>5425.9605113916132</v>
      </c>
      <c r="AI247" s="25">
        <f t="shared" si="45"/>
        <v>13.253063323240029</v>
      </c>
      <c r="AJ247" s="47">
        <f t="shared" si="46"/>
        <v>0.5</v>
      </c>
      <c r="AK247" s="25">
        <f t="shared" si="47"/>
        <v>1.0238961113393781</v>
      </c>
      <c r="AL247" s="5">
        <v>29.24</v>
      </c>
      <c r="AM247" s="5">
        <v>26.817</v>
      </c>
      <c r="AN247" s="5">
        <f t="shared" si="48"/>
        <v>0.35149815102468268</v>
      </c>
      <c r="AO247" s="5">
        <f t="shared" si="49"/>
        <v>0.93483771478174105</v>
      </c>
      <c r="AR247" s="25"/>
    </row>
    <row r="248" spans="1:44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39"/>
        <v>18131.148799999999</v>
      </c>
      <c r="M248" s="25"/>
      <c r="N248" s="25"/>
      <c r="O248" s="25"/>
      <c r="P248" s="25">
        <f t="shared" si="40"/>
        <v>296599421.04640174</v>
      </c>
      <c r="Q248" s="25"/>
      <c r="R248" s="25"/>
      <c r="S248" s="25">
        <v>1942.6626635709547</v>
      </c>
      <c r="T248" s="25">
        <v>355</v>
      </c>
      <c r="U248" s="25">
        <v>210000</v>
      </c>
      <c r="V248" s="25">
        <f t="shared" si="41"/>
        <v>3.3132658308100069</v>
      </c>
      <c r="W248" s="63">
        <v>3.3924400000000001</v>
      </c>
      <c r="X248" s="25">
        <f t="shared" si="42"/>
        <v>1.0238961113393781</v>
      </c>
      <c r="Y248" s="25">
        <f>'Global Only'!Y248</f>
        <v>0.72003318741785238</v>
      </c>
      <c r="Z248" s="25">
        <f t="shared" si="43"/>
        <v>0.73723918063243665</v>
      </c>
      <c r="AA248" s="46">
        <v>0.72956435556366406</v>
      </c>
      <c r="AB248" s="25">
        <v>0.35499999999999998</v>
      </c>
      <c r="AC248" s="47">
        <v>0.75</v>
      </c>
      <c r="AD248" s="25"/>
      <c r="AE248" s="15"/>
      <c r="AF248" s="48" t="s">
        <v>5</v>
      </c>
      <c r="AG248" s="47">
        <f t="shared" si="44"/>
        <v>6590.3665264046494</v>
      </c>
      <c r="AH248" s="47">
        <v>4463.9854917410057</v>
      </c>
      <c r="AI248" s="25">
        <f t="shared" si="45"/>
        <v>5.8902503658844561</v>
      </c>
      <c r="AJ248" s="47">
        <f t="shared" si="46"/>
        <v>0.75000000000000011</v>
      </c>
      <c r="AK248" s="25">
        <f t="shared" si="47"/>
        <v>1.0238961113393781</v>
      </c>
      <c r="AL248" s="5">
        <v>29.24</v>
      </c>
      <c r="AM248" s="5">
        <v>26.817</v>
      </c>
      <c r="AN248" s="5">
        <f t="shared" si="48"/>
        <v>0.35149815102468268</v>
      </c>
      <c r="AO248" s="5">
        <f t="shared" si="49"/>
        <v>0.98958977592293884</v>
      </c>
      <c r="AR248" s="25"/>
    </row>
    <row r="249" spans="1:44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39"/>
        <v>18131.148799999999</v>
      </c>
      <c r="M249" s="25"/>
      <c r="N249" s="25"/>
      <c r="O249" s="25"/>
      <c r="P249" s="25">
        <f t="shared" si="40"/>
        <v>296599421.04640174</v>
      </c>
      <c r="Q249" s="25"/>
      <c r="R249" s="25"/>
      <c r="S249" s="25">
        <v>1942.6626635709547</v>
      </c>
      <c r="T249" s="25">
        <v>355</v>
      </c>
      <c r="U249" s="25">
        <v>210000</v>
      </c>
      <c r="V249" s="25">
        <f t="shared" si="41"/>
        <v>3.3132658308100069</v>
      </c>
      <c r="W249" s="63">
        <v>3.3924400000000001</v>
      </c>
      <c r="X249" s="25">
        <f t="shared" si="42"/>
        <v>1.0238961113393781</v>
      </c>
      <c r="Y249" s="25">
        <f>'Global Only'!Y249</f>
        <v>0.63811999725128876</v>
      </c>
      <c r="Z249" s="25">
        <f t="shared" si="43"/>
        <v>0.65336858375348916</v>
      </c>
      <c r="AA249" s="46">
        <v>0.6396163996981663</v>
      </c>
      <c r="AB249" s="25">
        <v>0.35499999999999998</v>
      </c>
      <c r="AC249" s="47">
        <v>1</v>
      </c>
      <c r="AD249" s="25"/>
      <c r="AE249" s="15"/>
      <c r="AF249" s="48" t="s">
        <v>5</v>
      </c>
      <c r="AG249" s="47">
        <f t="shared" si="44"/>
        <v>6590.3665264046494</v>
      </c>
      <c r="AH249" s="47">
        <v>3475.34877016056</v>
      </c>
      <c r="AI249" s="25">
        <f t="shared" si="45"/>
        <v>3.3132658308100074</v>
      </c>
      <c r="AJ249" s="47">
        <f t="shared" si="46"/>
        <v>1</v>
      </c>
      <c r="AK249" s="25">
        <f t="shared" si="47"/>
        <v>1.0238961113393781</v>
      </c>
      <c r="AL249" s="5">
        <v>29.24</v>
      </c>
      <c r="AM249" s="5">
        <v>26.817</v>
      </c>
      <c r="AN249" s="5">
        <f t="shared" si="48"/>
        <v>0.35149815102468268</v>
      </c>
      <c r="AO249" s="5">
        <f t="shared" si="49"/>
        <v>0.97895187433665853</v>
      </c>
      <c r="AR249" s="25"/>
    </row>
    <row r="250" spans="1:44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39"/>
        <v>18131.148799999999</v>
      </c>
      <c r="M250" s="25"/>
      <c r="N250" s="25"/>
      <c r="O250" s="25"/>
      <c r="P250" s="25">
        <f t="shared" si="40"/>
        <v>296599421.04640174</v>
      </c>
      <c r="Q250" s="25"/>
      <c r="R250" s="25"/>
      <c r="S250" s="25">
        <v>1942.6626635709547</v>
      </c>
      <c r="T250" s="25">
        <v>355</v>
      </c>
      <c r="U250" s="25">
        <v>210000</v>
      </c>
      <c r="V250" s="25">
        <f t="shared" si="41"/>
        <v>3.3132658308100069</v>
      </c>
      <c r="W250" s="63">
        <v>3.3924400000000001</v>
      </c>
      <c r="X250" s="25">
        <f t="shared" si="42"/>
        <v>1.0238961113393781</v>
      </c>
      <c r="Y250" s="25">
        <f>'Global Only'!Y250</f>
        <v>0.47507228222415249</v>
      </c>
      <c r="Z250" s="25">
        <f t="shared" si="43"/>
        <v>0.48642466237443327</v>
      </c>
      <c r="AA250" s="46">
        <v>0.47168152048507977</v>
      </c>
      <c r="AB250" s="25">
        <v>0.35499999999999998</v>
      </c>
      <c r="AC250" s="47">
        <v>1.33</v>
      </c>
      <c r="AD250" s="25"/>
      <c r="AE250" s="15"/>
      <c r="AF250" s="48" t="s">
        <v>5</v>
      </c>
      <c r="AG250" s="47">
        <f t="shared" si="44"/>
        <v>6590.3665264046494</v>
      </c>
      <c r="AH250" s="47">
        <v>2422.6742468543816</v>
      </c>
      <c r="AI250" s="25">
        <f t="shared" si="45"/>
        <v>1.8730656514274446</v>
      </c>
      <c r="AJ250" s="47">
        <f t="shared" si="46"/>
        <v>1.33</v>
      </c>
      <c r="AK250" s="25">
        <f t="shared" si="47"/>
        <v>1.0238961113393781</v>
      </c>
      <c r="AL250" s="5">
        <v>29.24</v>
      </c>
      <c r="AM250" s="5">
        <v>26.817</v>
      </c>
      <c r="AN250" s="5">
        <f t="shared" si="48"/>
        <v>0.35149815102468268</v>
      </c>
      <c r="AO250" s="5">
        <f t="shared" si="49"/>
        <v>0.9696908010021813</v>
      </c>
      <c r="AR250" s="25"/>
    </row>
    <row r="251" spans="1:44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39"/>
        <v>18131.148799999999</v>
      </c>
      <c r="M251" s="25"/>
      <c r="N251" s="25"/>
      <c r="O251" s="25"/>
      <c r="P251" s="25">
        <f t="shared" si="40"/>
        <v>296599421.04640174</v>
      </c>
      <c r="Q251" s="25"/>
      <c r="R251" s="25"/>
      <c r="S251" s="25">
        <v>1942.6626635709547</v>
      </c>
      <c r="T251" s="25">
        <v>355</v>
      </c>
      <c r="U251" s="25">
        <v>210000</v>
      </c>
      <c r="V251" s="25">
        <f t="shared" si="41"/>
        <v>3.3132658308100069</v>
      </c>
      <c r="W251" s="63">
        <v>3.3924400000000001</v>
      </c>
      <c r="X251" s="25">
        <f t="shared" si="42"/>
        <v>1.0238961113393781</v>
      </c>
      <c r="Y251" s="25">
        <f>'Global Only'!Y251</f>
        <v>0.32258419414239803</v>
      </c>
      <c r="Z251" s="25">
        <f t="shared" si="43"/>
        <v>0.33029270196194832</v>
      </c>
      <c r="AA251" s="46">
        <v>0.31999182308335739</v>
      </c>
      <c r="AB251" s="25">
        <v>0.35499999999999998</v>
      </c>
      <c r="AC251" s="47">
        <v>1.67</v>
      </c>
      <c r="AD251" s="25"/>
      <c r="AE251" s="15"/>
      <c r="AF251" s="48" t="s">
        <v>5</v>
      </c>
      <c r="AG251" s="47">
        <f t="shared" si="44"/>
        <v>6590.3665264046494</v>
      </c>
      <c r="AH251" s="47">
        <v>1707.6260754306461</v>
      </c>
      <c r="AI251" s="25">
        <f t="shared" si="45"/>
        <v>1.1880188715299966</v>
      </c>
      <c r="AJ251" s="47">
        <f t="shared" si="46"/>
        <v>1.67</v>
      </c>
      <c r="AK251" s="25">
        <f t="shared" si="47"/>
        <v>1.0238961113393781</v>
      </c>
      <c r="AL251" s="5">
        <v>29.24</v>
      </c>
      <c r="AM251" s="5">
        <v>26.817</v>
      </c>
      <c r="AN251" s="5">
        <f t="shared" si="48"/>
        <v>0.35149815102468268</v>
      </c>
      <c r="AO251" s="5">
        <f t="shared" si="49"/>
        <v>0.96881287773722091</v>
      </c>
      <c r="AR251" s="25"/>
    </row>
    <row r="252" spans="1:44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39"/>
        <v>18131.148799999999</v>
      </c>
      <c r="M252" s="25"/>
      <c r="N252" s="25"/>
      <c r="O252" s="25"/>
      <c r="P252" s="25">
        <f t="shared" si="40"/>
        <v>296599421.04640174</v>
      </c>
      <c r="Q252" s="25"/>
      <c r="R252" s="25"/>
      <c r="S252" s="25">
        <v>1942.6626635709547</v>
      </c>
      <c r="T252" s="25">
        <v>355</v>
      </c>
      <c r="U252" s="25">
        <v>210000</v>
      </c>
      <c r="V252" s="25">
        <f t="shared" si="41"/>
        <v>3.3132658308100069</v>
      </c>
      <c r="W252" s="63">
        <v>3.3924400000000001</v>
      </c>
      <c r="X252" s="25">
        <f t="shared" si="42"/>
        <v>1.0238961113393781</v>
      </c>
      <c r="Y252" s="25">
        <f>'Global Only'!Y252</f>
        <v>0.22357141339706507</v>
      </c>
      <c r="Z252" s="25">
        <f t="shared" si="43"/>
        <v>0.22891390078390347</v>
      </c>
      <c r="AA252" s="46">
        <v>0.2236454026478778</v>
      </c>
      <c r="AB252" s="25">
        <v>0.35499999999999998</v>
      </c>
      <c r="AC252" s="47">
        <v>2</v>
      </c>
      <c r="AD252" s="25"/>
      <c r="AE252" s="15"/>
      <c r="AF252" s="48" t="s">
        <v>5</v>
      </c>
      <c r="AG252" s="47">
        <f t="shared" si="44"/>
        <v>6590.3665264046494</v>
      </c>
      <c r="AH252" s="47">
        <v>1262.7472115430339</v>
      </c>
      <c r="AI252" s="25">
        <f t="shared" si="45"/>
        <v>0.82831645770250184</v>
      </c>
      <c r="AJ252" s="47">
        <f t="shared" si="46"/>
        <v>2</v>
      </c>
      <c r="AK252" s="25">
        <f t="shared" si="47"/>
        <v>1.0238961113393781</v>
      </c>
      <c r="AL252" s="5">
        <v>29.24</v>
      </c>
      <c r="AM252" s="5">
        <v>26.817</v>
      </c>
      <c r="AN252" s="5">
        <f t="shared" si="48"/>
        <v>0.35149815102468268</v>
      </c>
      <c r="AO252" s="5">
        <f t="shared" si="49"/>
        <v>0.97698480468864501</v>
      </c>
      <c r="AR252" s="25"/>
    </row>
    <row r="253" spans="1:44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39"/>
        <v>18131.148799999999</v>
      </c>
      <c r="M253" s="25"/>
      <c r="N253" s="25"/>
      <c r="O253" s="25"/>
      <c r="P253" s="25">
        <f t="shared" si="40"/>
        <v>296599421.04640174</v>
      </c>
      <c r="Q253" s="25"/>
      <c r="R253" s="25"/>
      <c r="S253" s="25">
        <v>1942.6626635709547</v>
      </c>
      <c r="T253" s="25">
        <v>355</v>
      </c>
      <c r="U253" s="25">
        <v>210000</v>
      </c>
      <c r="V253" s="25">
        <f t="shared" si="41"/>
        <v>3.3132658308100069</v>
      </c>
      <c r="W253" s="63">
        <v>3.3924400000000001</v>
      </c>
      <c r="X253" s="25">
        <f t="shared" si="42"/>
        <v>1.0238961113393781</v>
      </c>
      <c r="Y253" s="25">
        <f>'Global Only'!Y253</f>
        <v>0.14234421210503867</v>
      </c>
      <c r="Z253" s="25">
        <f t="shared" si="43"/>
        <v>0.14574568524601672</v>
      </c>
      <c r="AA253" s="46">
        <v>0.14324498351046647</v>
      </c>
      <c r="AB253" s="25">
        <v>0.35499999999999998</v>
      </c>
      <c r="AC253" s="47">
        <v>2.5</v>
      </c>
      <c r="AD253" s="25"/>
      <c r="AE253" s="15"/>
      <c r="AF253" s="48" t="s">
        <v>5</v>
      </c>
      <c r="AG253" s="47">
        <f t="shared" si="44"/>
        <v>6590.3665264046494</v>
      </c>
      <c r="AH253" s="47">
        <v>852.62753488850217</v>
      </c>
      <c r="AI253" s="25">
        <f t="shared" si="45"/>
        <v>0.5301225329296011</v>
      </c>
      <c r="AJ253" s="47">
        <f t="shared" si="46"/>
        <v>2.5</v>
      </c>
      <c r="AK253" s="25">
        <f t="shared" si="47"/>
        <v>1.0238961113393781</v>
      </c>
      <c r="AL253" s="5">
        <v>29.24</v>
      </c>
      <c r="AM253" s="5">
        <v>26.817</v>
      </c>
      <c r="AN253" s="5">
        <f t="shared" si="48"/>
        <v>0.35149815102468268</v>
      </c>
      <c r="AO253" s="5">
        <f t="shared" si="49"/>
        <v>0.98284201874430033</v>
      </c>
      <c r="AR253" s="25"/>
    </row>
    <row r="254" spans="1:44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9"/>
        <v>12891.42</v>
      </c>
      <c r="M254" s="15"/>
      <c r="N254" s="15"/>
      <c r="O254" s="15"/>
      <c r="P254" s="15">
        <f t="shared" si="40"/>
        <v>221025548.50739998</v>
      </c>
      <c r="Q254" s="15"/>
      <c r="R254" s="15"/>
      <c r="S254" s="15">
        <v>1382.7631521855787</v>
      </c>
      <c r="T254" s="15">
        <v>355</v>
      </c>
      <c r="U254" s="15">
        <v>210000</v>
      </c>
      <c r="V254" s="15">
        <f t="shared" si="41"/>
        <v>3.309644238614915</v>
      </c>
      <c r="W254" s="63">
        <v>3.2841499999999999</v>
      </c>
      <c r="X254" s="15">
        <f t="shared" si="42"/>
        <v>0.99229698518122766</v>
      </c>
      <c r="Y254" s="15">
        <f>'Global Only'!Y254</f>
        <v>1.0234931856372902</v>
      </c>
      <c r="Z254" s="15">
        <f t="shared" si="43"/>
        <v>1.0156092024614136</v>
      </c>
      <c r="AA254" s="16">
        <v>0.9524481172713648</v>
      </c>
      <c r="AB254" s="15">
        <v>0.50316512905442312</v>
      </c>
      <c r="AC254" s="17">
        <v>0.3</v>
      </c>
      <c r="AD254" s="15"/>
      <c r="AE254" s="15"/>
      <c r="AF254" s="22" t="s">
        <v>5</v>
      </c>
      <c r="AG254" s="17">
        <f t="shared" si="44"/>
        <v>4541.201606250268</v>
      </c>
      <c r="AH254" s="17">
        <v>4343.7313170015586</v>
      </c>
      <c r="AI254" s="15">
        <f t="shared" si="45"/>
        <v>36.773824873499052</v>
      </c>
      <c r="AJ254" s="17">
        <f t="shared" si="46"/>
        <v>0.30000000000000004</v>
      </c>
      <c r="AK254" s="15">
        <f t="shared" si="47"/>
        <v>0.99229698518122766</v>
      </c>
      <c r="AL254" s="56">
        <v>14.43</v>
      </c>
      <c r="AM254" s="56">
        <v>13.205</v>
      </c>
      <c r="AN254" s="56">
        <f t="shared" si="48"/>
        <v>0.50063528279327463</v>
      </c>
      <c r="AO254" s="5">
        <f t="shared" si="49"/>
        <v>0.9378096564732058</v>
      </c>
      <c r="AR254" s="15"/>
    </row>
    <row r="255" spans="1:44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9"/>
        <v>12891.42</v>
      </c>
      <c r="M255" s="15"/>
      <c r="N255" s="15"/>
      <c r="O255" s="15"/>
      <c r="P255" s="15">
        <f t="shared" si="40"/>
        <v>221025548.50739998</v>
      </c>
      <c r="Q255" s="15"/>
      <c r="R255" s="15"/>
      <c r="S255" s="15">
        <v>1382.7631521855787</v>
      </c>
      <c r="T255" s="15">
        <v>355</v>
      </c>
      <c r="U255" s="15">
        <v>210000</v>
      </c>
      <c r="V255" s="15">
        <f t="shared" si="41"/>
        <v>3.309644238614915</v>
      </c>
      <c r="W255" s="63">
        <v>3.2841499999999999</v>
      </c>
      <c r="X255" s="15">
        <f t="shared" si="42"/>
        <v>0.99229698518122766</v>
      </c>
      <c r="Y255" s="15">
        <f>'Global Only'!Y255</f>
        <v>0.90221717150189484</v>
      </c>
      <c r="Z255" s="15">
        <f t="shared" si="43"/>
        <v>0.89526737926006483</v>
      </c>
      <c r="AA255" s="16">
        <v>0.84371841109334678</v>
      </c>
      <c r="AB255" s="15">
        <v>0.50316512905442312</v>
      </c>
      <c r="AC255" s="17">
        <v>0.5</v>
      </c>
      <c r="AD255" s="15"/>
      <c r="AE255" s="15"/>
      <c r="AF255" s="22" t="s">
        <v>5</v>
      </c>
      <c r="AG255" s="17">
        <f t="shared" si="44"/>
        <v>4541.201606250268</v>
      </c>
      <c r="AH255" s="17">
        <v>3857.9097567035624</v>
      </c>
      <c r="AI255" s="15">
        <f t="shared" si="45"/>
        <v>13.238576954459656</v>
      </c>
      <c r="AJ255" s="17">
        <f t="shared" si="46"/>
        <v>0.5</v>
      </c>
      <c r="AK255" s="15">
        <f t="shared" si="47"/>
        <v>0.99229698518122766</v>
      </c>
      <c r="AL255" s="5">
        <v>14.43</v>
      </c>
      <c r="AM255" s="5">
        <v>13.205</v>
      </c>
      <c r="AN255" s="5">
        <f t="shared" si="48"/>
        <v>0.50063528279327463</v>
      </c>
      <c r="AO255" s="5">
        <f t="shared" si="49"/>
        <v>0.94242058924416183</v>
      </c>
      <c r="AR255" s="15"/>
    </row>
    <row r="256" spans="1:44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9"/>
        <v>12891.42</v>
      </c>
      <c r="M256" s="15"/>
      <c r="N256" s="15"/>
      <c r="O256" s="15"/>
      <c r="P256" s="15">
        <f t="shared" si="40"/>
        <v>221025548.50739998</v>
      </c>
      <c r="Q256" s="15"/>
      <c r="R256" s="15"/>
      <c r="S256" s="15">
        <v>1382.7631521855787</v>
      </c>
      <c r="T256" s="15">
        <v>355</v>
      </c>
      <c r="U256" s="15">
        <v>210000</v>
      </c>
      <c r="V256" s="15">
        <f t="shared" si="41"/>
        <v>3.309644238614915</v>
      </c>
      <c r="W256" s="63">
        <v>3.2841499999999999</v>
      </c>
      <c r="X256" s="15">
        <f t="shared" si="42"/>
        <v>0.99229698518122766</v>
      </c>
      <c r="Y256" s="15">
        <f>'Global Only'!Y256</f>
        <v>0.72078022492117311</v>
      </c>
      <c r="Z256" s="15">
        <f t="shared" si="43"/>
        <v>0.71522804416752728</v>
      </c>
      <c r="AA256" s="16">
        <v>0.72021548834704496</v>
      </c>
      <c r="AB256" s="15">
        <v>0.50316512905442312</v>
      </c>
      <c r="AC256" s="17">
        <v>0.75</v>
      </c>
      <c r="AD256" s="15"/>
      <c r="AE256" s="15"/>
      <c r="AF256" s="22" t="s">
        <v>5</v>
      </c>
      <c r="AG256" s="17">
        <f t="shared" si="44"/>
        <v>4541.201606250268</v>
      </c>
      <c r="AH256" s="17">
        <v>3173.9363281790424</v>
      </c>
      <c r="AI256" s="15">
        <f t="shared" si="45"/>
        <v>5.883811979759848</v>
      </c>
      <c r="AJ256" s="17">
        <f t="shared" si="46"/>
        <v>0.75000000000000011</v>
      </c>
      <c r="AK256" s="15">
        <f t="shared" si="47"/>
        <v>0.99229698518122766</v>
      </c>
      <c r="AL256" s="5">
        <v>14.43</v>
      </c>
      <c r="AM256" s="5">
        <v>13.205</v>
      </c>
      <c r="AN256" s="5">
        <f t="shared" si="48"/>
        <v>0.50063528279327463</v>
      </c>
      <c r="AO256" s="5">
        <f t="shared" si="49"/>
        <v>1.006973222345221</v>
      </c>
      <c r="AR256" s="15"/>
    </row>
    <row r="257" spans="1:44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9"/>
        <v>12891.42</v>
      </c>
      <c r="M257" s="15"/>
      <c r="N257" s="15"/>
      <c r="O257" s="15"/>
      <c r="P257" s="15">
        <f t="shared" si="40"/>
        <v>221025548.50739998</v>
      </c>
      <c r="Q257" s="15"/>
      <c r="R257" s="15"/>
      <c r="S257" s="15">
        <v>1382.7631521855787</v>
      </c>
      <c r="T257" s="15">
        <v>355</v>
      </c>
      <c r="U257" s="15">
        <v>210000</v>
      </c>
      <c r="V257" s="15">
        <f t="shared" si="41"/>
        <v>3.309644238614915</v>
      </c>
      <c r="W257" s="63">
        <v>3.2841499999999999</v>
      </c>
      <c r="X257" s="15">
        <f t="shared" si="42"/>
        <v>0.99229698518122766</v>
      </c>
      <c r="Y257" s="15">
        <f>'Global Only'!Y257</f>
        <v>0.63721444236848779</v>
      </c>
      <c r="Z257" s="15">
        <f t="shared" si="43"/>
        <v>0.63230597007618761</v>
      </c>
      <c r="AA257" s="16">
        <v>0.62774699719685145</v>
      </c>
      <c r="AB257" s="15">
        <v>0.50316512905442312</v>
      </c>
      <c r="AC257" s="17">
        <v>1</v>
      </c>
      <c r="AD257" s="15"/>
      <c r="AE257" s="15"/>
      <c r="AF257" s="22" t="s">
        <v>5</v>
      </c>
      <c r="AG257" s="17">
        <f t="shared" si="44"/>
        <v>4541.201606250268</v>
      </c>
      <c r="AH257" s="17">
        <v>2471.0061748885573</v>
      </c>
      <c r="AI257" s="15">
        <f t="shared" si="45"/>
        <v>3.3096442386149141</v>
      </c>
      <c r="AJ257" s="17">
        <f t="shared" si="46"/>
        <v>1</v>
      </c>
      <c r="AK257" s="15">
        <f t="shared" si="47"/>
        <v>0.99229698518122766</v>
      </c>
      <c r="AL257" s="5">
        <v>14.43</v>
      </c>
      <c r="AM257" s="5">
        <v>13.205</v>
      </c>
      <c r="AN257" s="5">
        <f t="shared" si="48"/>
        <v>0.50063528279327463</v>
      </c>
      <c r="AO257" s="5">
        <f t="shared" si="49"/>
        <v>0.9927899259297096</v>
      </c>
      <c r="AR257" s="15"/>
    </row>
    <row r="258" spans="1:44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9"/>
        <v>12891.42</v>
      </c>
      <c r="M258" s="15"/>
      <c r="N258" s="15"/>
      <c r="O258" s="15"/>
      <c r="P258" s="15">
        <f t="shared" si="40"/>
        <v>221025548.50739998</v>
      </c>
      <c r="Q258" s="15"/>
      <c r="R258" s="15"/>
      <c r="S258" s="15">
        <v>1382.7631521855787</v>
      </c>
      <c r="T258" s="15">
        <v>355</v>
      </c>
      <c r="U258" s="15">
        <v>210000</v>
      </c>
      <c r="V258" s="15">
        <f t="shared" si="41"/>
        <v>3.309644238614915</v>
      </c>
      <c r="W258" s="63">
        <v>3.2841499999999999</v>
      </c>
      <c r="X258" s="15">
        <f t="shared" si="42"/>
        <v>0.99229698518122766</v>
      </c>
      <c r="Y258" s="15">
        <f>'Global Only'!Y258</f>
        <v>0.47441950950749628</v>
      </c>
      <c r="Z258" s="15">
        <f t="shared" si="43"/>
        <v>0.47076504899544536</v>
      </c>
      <c r="AA258" s="16">
        <v>0.46463222039005242</v>
      </c>
      <c r="AB258" s="15">
        <v>0.50316512905442312</v>
      </c>
      <c r="AC258" s="17">
        <v>1.33</v>
      </c>
      <c r="AD258" s="15"/>
      <c r="AE258" s="15"/>
      <c r="AF258" s="22" t="s">
        <v>5</v>
      </c>
      <c r="AG258" s="17">
        <f t="shared" si="44"/>
        <v>4541.201606250268</v>
      </c>
      <c r="AH258" s="17">
        <v>1722.544532830899</v>
      </c>
      <c r="AI258" s="15">
        <f t="shared" si="45"/>
        <v>1.8710182817654557</v>
      </c>
      <c r="AJ258" s="17">
        <f t="shared" si="46"/>
        <v>1.33</v>
      </c>
      <c r="AK258" s="15">
        <f t="shared" si="47"/>
        <v>0.99229698518122766</v>
      </c>
      <c r="AL258" s="5">
        <v>14.43</v>
      </c>
      <c r="AM258" s="5">
        <v>13.205</v>
      </c>
      <c r="AN258" s="5">
        <f t="shared" si="48"/>
        <v>0.50063528279327463</v>
      </c>
      <c r="AO258" s="5">
        <f t="shared" si="49"/>
        <v>0.98697263397425183</v>
      </c>
      <c r="AR258" s="15"/>
    </row>
    <row r="259" spans="1:44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9"/>
        <v>12891.42</v>
      </c>
      <c r="M259" s="15"/>
      <c r="N259" s="15"/>
      <c r="O259" s="15"/>
      <c r="P259" s="15">
        <f t="shared" si="40"/>
        <v>221025548.50739998</v>
      </c>
      <c r="Q259" s="15"/>
      <c r="R259" s="15"/>
      <c r="S259" s="15">
        <v>1382.7631521855787</v>
      </c>
      <c r="T259" s="15">
        <v>355</v>
      </c>
      <c r="U259" s="15">
        <v>210000</v>
      </c>
      <c r="V259" s="15">
        <f t="shared" si="41"/>
        <v>3.309644238614915</v>
      </c>
      <c r="W259" s="63">
        <v>3.2841499999999999</v>
      </c>
      <c r="X259" s="15">
        <f t="shared" si="42"/>
        <v>0.99229698518122766</v>
      </c>
      <c r="Y259" s="15">
        <f>'Global Only'!Y259</f>
        <v>0.32190123322889064</v>
      </c>
      <c r="Z259" s="15">
        <f t="shared" si="43"/>
        <v>0.31942162325914741</v>
      </c>
      <c r="AA259" s="16">
        <v>0.31687263977693869</v>
      </c>
      <c r="AB259" s="15">
        <v>0.50316512905442312</v>
      </c>
      <c r="AC259" s="17">
        <v>1.67</v>
      </c>
      <c r="AD259" s="15"/>
      <c r="AE259" s="15"/>
      <c r="AF259" s="22" t="s">
        <v>5</v>
      </c>
      <c r="AG259" s="17">
        <f t="shared" si="44"/>
        <v>4541.201606250268</v>
      </c>
      <c r="AH259" s="17">
        <v>1214.1384522379599</v>
      </c>
      <c r="AI259" s="15">
        <f t="shared" si="45"/>
        <v>1.1867202978288627</v>
      </c>
      <c r="AJ259" s="17">
        <f t="shared" si="46"/>
        <v>1.67</v>
      </c>
      <c r="AK259" s="15">
        <f t="shared" si="47"/>
        <v>0.99229698518122766</v>
      </c>
      <c r="AL259" s="5">
        <v>14.43</v>
      </c>
      <c r="AM259" s="5">
        <v>13.205</v>
      </c>
      <c r="AN259" s="5">
        <f t="shared" si="48"/>
        <v>0.50063528279327463</v>
      </c>
      <c r="AO259" s="5">
        <f t="shared" si="49"/>
        <v>0.99202000335418516</v>
      </c>
      <c r="AR259" s="15"/>
    </row>
    <row r="260" spans="1:44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9"/>
        <v>12891.42</v>
      </c>
      <c r="M260" s="15"/>
      <c r="N260" s="15"/>
      <c r="O260" s="15"/>
      <c r="P260" s="15">
        <f t="shared" si="40"/>
        <v>221025548.50739998</v>
      </c>
      <c r="Q260" s="15"/>
      <c r="R260" s="15"/>
      <c r="S260" s="15">
        <v>1382.7631521855787</v>
      </c>
      <c r="T260" s="15">
        <v>355</v>
      </c>
      <c r="U260" s="15">
        <v>210000</v>
      </c>
      <c r="V260" s="15">
        <f t="shared" si="41"/>
        <v>3.309644238614915</v>
      </c>
      <c r="W260" s="63">
        <v>3.2841499999999999</v>
      </c>
      <c r="X260" s="15">
        <f t="shared" si="42"/>
        <v>0.99229698518122766</v>
      </c>
      <c r="Y260" s="15">
        <f>'Global Only'!Y260</f>
        <v>0.22307198595407918</v>
      </c>
      <c r="Z260" s="15">
        <f t="shared" si="43"/>
        <v>0.22135365914062194</v>
      </c>
      <c r="AA260" s="16">
        <v>0.22173289261929444</v>
      </c>
      <c r="AB260" s="15">
        <v>0.50316512905442312</v>
      </c>
      <c r="AC260" s="17">
        <v>2</v>
      </c>
      <c r="AD260" s="15"/>
      <c r="AE260" s="15"/>
      <c r="AF260" s="22" t="s">
        <v>5</v>
      </c>
      <c r="AG260" s="17">
        <f t="shared" si="44"/>
        <v>4541.201606250268</v>
      </c>
      <c r="AH260" s="17">
        <v>897.82533017599519</v>
      </c>
      <c r="AI260" s="15">
        <f t="shared" si="45"/>
        <v>0.82741105965372852</v>
      </c>
      <c r="AJ260" s="17">
        <f t="shared" si="46"/>
        <v>2</v>
      </c>
      <c r="AK260" s="15">
        <f t="shared" si="47"/>
        <v>0.99229698518122766</v>
      </c>
      <c r="AL260" s="5">
        <v>14.43</v>
      </c>
      <c r="AM260" s="5">
        <v>13.205</v>
      </c>
      <c r="AN260" s="5">
        <f t="shared" si="48"/>
        <v>0.50063528279327463</v>
      </c>
      <c r="AO260" s="5">
        <f t="shared" si="49"/>
        <v>1.001713246937705</v>
      </c>
      <c r="AR260" s="15"/>
    </row>
    <row r="261" spans="1:44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9"/>
        <v>12891.42</v>
      </c>
      <c r="M261" s="15"/>
      <c r="N261" s="15"/>
      <c r="O261" s="15"/>
      <c r="P261" s="15">
        <f t="shared" si="40"/>
        <v>221025548.50739998</v>
      </c>
      <c r="Q261" s="15"/>
      <c r="R261" s="15"/>
      <c r="S261" s="15">
        <v>1382.7631521855787</v>
      </c>
      <c r="T261" s="15">
        <v>355</v>
      </c>
      <c r="U261" s="15">
        <v>210000</v>
      </c>
      <c r="V261" s="15">
        <f t="shared" si="41"/>
        <v>3.309644238614915</v>
      </c>
      <c r="W261" s="63">
        <v>3.2841499999999999</v>
      </c>
      <c r="X261" s="15">
        <f t="shared" si="42"/>
        <v>0.99229698518122766</v>
      </c>
      <c r="Y261" s="15">
        <f>'Global Only'!Y261</f>
        <v>0.14205354301286707</v>
      </c>
      <c r="Z261" s="15">
        <f t="shared" si="43"/>
        <v>0.14095930246597985</v>
      </c>
      <c r="AA261" s="16">
        <v>0.14207625153569298</v>
      </c>
      <c r="AB261" s="15">
        <v>0.50316512905442312</v>
      </c>
      <c r="AC261" s="17">
        <v>2.5</v>
      </c>
      <c r="AD261" s="15"/>
      <c r="AE261" s="15"/>
      <c r="AF261" s="22" t="s">
        <v>5</v>
      </c>
      <c r="AG261" s="17">
        <f t="shared" si="44"/>
        <v>4541.201606250268</v>
      </c>
      <c r="AH261" s="17">
        <v>606.22632228424141</v>
      </c>
      <c r="AI261" s="15">
        <f t="shared" si="45"/>
        <v>0.52954307817838631</v>
      </c>
      <c r="AJ261" s="17">
        <f t="shared" si="46"/>
        <v>2.5</v>
      </c>
      <c r="AK261" s="15">
        <f t="shared" si="47"/>
        <v>0.99229698518122766</v>
      </c>
      <c r="AL261" s="5">
        <v>14.43</v>
      </c>
      <c r="AM261" s="5">
        <v>13.205</v>
      </c>
      <c r="AN261" s="5">
        <f t="shared" si="48"/>
        <v>0.50063528279327463</v>
      </c>
      <c r="AO261" s="5">
        <f t="shared" si="49"/>
        <v>1.0079239117261005</v>
      </c>
      <c r="AR261" s="15"/>
    </row>
    <row r="262" spans="1:44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9"/>
        <v>10789.875</v>
      </c>
      <c r="M262" s="15"/>
      <c r="N262" s="15"/>
      <c r="O262" s="15"/>
      <c r="P262" s="15">
        <f t="shared" si="40"/>
        <v>188436955.2890625</v>
      </c>
      <c r="Q262" s="15"/>
      <c r="R262" s="15"/>
      <c r="S262" s="15">
        <v>1157.8358658941456</v>
      </c>
      <c r="T262" s="15">
        <v>355</v>
      </c>
      <c r="U262" s="15">
        <v>210000</v>
      </c>
      <c r="V262" s="15">
        <f t="shared" si="41"/>
        <v>3.3082457866702435</v>
      </c>
      <c r="W262" s="63">
        <v>3.1036299999999999</v>
      </c>
      <c r="X262" s="15">
        <f t="shared" si="42"/>
        <v>0.93814976278525242</v>
      </c>
      <c r="Y262" s="15">
        <f>'Global Only'!Y262</f>
        <v>1.0467174762505347</v>
      </c>
      <c r="Z262" s="15">
        <f t="shared" si="43"/>
        <v>0.98197775204761717</v>
      </c>
      <c r="AA262" s="16">
        <v>0.90119684820320589</v>
      </c>
      <c r="AB262" s="15">
        <v>0.60092698120307431</v>
      </c>
      <c r="AC262" s="17">
        <v>0.3</v>
      </c>
      <c r="AD262" s="15"/>
      <c r="AE262" s="15"/>
      <c r="AF262" s="22" t="s">
        <v>5</v>
      </c>
      <c r="AG262" s="17">
        <f t="shared" si="44"/>
        <v>3593.4941284650472</v>
      </c>
      <c r="AH262" s="17">
        <v>3635.621052144154</v>
      </c>
      <c r="AI262" s="15">
        <f t="shared" si="45"/>
        <v>36.758286518558251</v>
      </c>
      <c r="AJ262" s="17">
        <f t="shared" si="46"/>
        <v>0.30000000000000004</v>
      </c>
      <c r="AK262" s="15">
        <f t="shared" si="47"/>
        <v>0.93814976278525242</v>
      </c>
      <c r="AL262" s="56">
        <v>10.167</v>
      </c>
      <c r="AM262" s="56">
        <v>9.2965999999999998</v>
      </c>
      <c r="AN262" s="56">
        <f t="shared" si="48"/>
        <v>0.59653621105277554</v>
      </c>
      <c r="AO262" s="5">
        <f t="shared" si="49"/>
        <v>0.91773652338256428</v>
      </c>
      <c r="AR262" s="15"/>
    </row>
    <row r="263" spans="1:44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50">2*C263*F263+(E263-2*F263)*H263</f>
        <v>10789.875</v>
      </c>
      <c r="M263" s="15"/>
      <c r="N263" s="15"/>
      <c r="O263" s="15"/>
      <c r="P263" s="15">
        <f t="shared" ref="P263:P293" si="51">(H263*(E263-2*F263)^3)/12 + (C263*F263^3)/6 + 2*C263*F263*(E263/2 - F263/2)^2</f>
        <v>188436955.2890625</v>
      </c>
      <c r="Q263" s="15"/>
      <c r="R263" s="15"/>
      <c r="S263" s="15">
        <v>1157.8358658941456</v>
      </c>
      <c r="T263" s="15">
        <v>355</v>
      </c>
      <c r="U263" s="15">
        <v>210000</v>
      </c>
      <c r="V263" s="15">
        <f t="shared" ref="V263:V293" si="52">L263*T263/(S263*1000)</f>
        <v>3.3082457866702435</v>
      </c>
      <c r="W263" s="63">
        <v>3.1036299999999999</v>
      </c>
      <c r="X263" s="15">
        <f t="shared" ref="X263:X293" si="53">AK263</f>
        <v>0.93814976278525242</v>
      </c>
      <c r="Y263" s="15">
        <f>'Global Only'!Y263</f>
        <v>0.90651401721042757</v>
      </c>
      <c r="Z263" s="15">
        <f t="shared" ref="Z263:Z293" si="54">X263*Y263</f>
        <v>0.85044591020746885</v>
      </c>
      <c r="AA263" s="16">
        <v>0.8169088877852293</v>
      </c>
      <c r="AB263" s="15">
        <v>0.60092698120307431</v>
      </c>
      <c r="AC263" s="17">
        <v>0.5</v>
      </c>
      <c r="AD263" s="15"/>
      <c r="AE263" s="15"/>
      <c r="AF263" s="22" t="s">
        <v>5</v>
      </c>
      <c r="AG263" s="17">
        <f t="shared" ref="AG263:AG293" si="55">W263*S263</f>
        <v>3593.4941284650472</v>
      </c>
      <c r="AH263" s="17">
        <v>3228.9975841382748</v>
      </c>
      <c r="AI263" s="15">
        <f t="shared" ref="AI263:AI293" si="56">(PI()^2*U263*P263/K263^2)/(S263*1000)</f>
        <v>13.23298314668097</v>
      </c>
      <c r="AJ263" s="17">
        <f t="shared" ref="AJ263:AJ293" si="57">(V263/AI263)^0.5</f>
        <v>0.5</v>
      </c>
      <c r="AK263" s="15">
        <f t="shared" ref="AK263:AK293" si="58">W263/V263</f>
        <v>0.93814976278525242</v>
      </c>
      <c r="AL263" s="5">
        <v>10.167</v>
      </c>
      <c r="AM263" s="5">
        <v>9.2965999999999998</v>
      </c>
      <c r="AN263" s="5">
        <f t="shared" ref="AN263:AN293" si="59">(V263/AM263)^0.5</f>
        <v>0.59653621105277554</v>
      </c>
      <c r="AO263" s="5">
        <f t="shared" ref="AO263:AO293" si="60">AA263/Z263</f>
        <v>0.96056536692138583</v>
      </c>
      <c r="AR263" s="15"/>
    </row>
    <row r="264" spans="1:44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50"/>
        <v>10789.875</v>
      </c>
      <c r="M264" s="15"/>
      <c r="N264" s="15"/>
      <c r="O264" s="15"/>
      <c r="P264" s="15">
        <f t="shared" si="51"/>
        <v>188436955.2890625</v>
      </c>
      <c r="Q264" s="15"/>
      <c r="R264" s="15"/>
      <c r="S264" s="15">
        <v>1157.8358658941456</v>
      </c>
      <c r="T264" s="15">
        <v>355</v>
      </c>
      <c r="U264" s="15">
        <v>210000</v>
      </c>
      <c r="V264" s="15">
        <f t="shared" si="52"/>
        <v>3.3082457866702435</v>
      </c>
      <c r="W264" s="63">
        <v>3.1036299999999999</v>
      </c>
      <c r="X264" s="15">
        <f t="shared" si="53"/>
        <v>0.93814976278525242</v>
      </c>
      <c r="Y264" s="15">
        <f>'Global Only'!Y264</f>
        <v>0.72159265297518183</v>
      </c>
      <c r="Z264" s="15">
        <f t="shared" si="54"/>
        <v>0.67696197621624776</v>
      </c>
      <c r="AA264" s="16">
        <v>0.70858984104736145</v>
      </c>
      <c r="AB264" s="15">
        <v>0.60092698120307431</v>
      </c>
      <c r="AC264" s="17">
        <v>0.75</v>
      </c>
      <c r="AD264" s="15"/>
      <c r="AE264" s="15"/>
      <c r="AF264" s="22" t="s">
        <v>5</v>
      </c>
      <c r="AG264" s="17">
        <f t="shared" si="55"/>
        <v>3593.4941284650472</v>
      </c>
      <c r="AH264" s="17">
        <v>2656.5247458395461</v>
      </c>
      <c r="AI264" s="15">
        <f t="shared" si="56"/>
        <v>5.8813258429693205</v>
      </c>
      <c r="AJ264" s="17">
        <f t="shared" si="57"/>
        <v>0.75000000000000011</v>
      </c>
      <c r="AK264" s="15">
        <f t="shared" si="58"/>
        <v>0.93814976278525242</v>
      </c>
      <c r="AL264" s="5">
        <v>10.167</v>
      </c>
      <c r="AM264" s="5">
        <v>9.2965999999999998</v>
      </c>
      <c r="AN264" s="5">
        <f t="shared" si="59"/>
        <v>0.59653621105277554</v>
      </c>
      <c r="AO264" s="5">
        <f t="shared" si="60"/>
        <v>1.0467202973612959</v>
      </c>
      <c r="AR264" s="15"/>
    </row>
    <row r="265" spans="1:44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50"/>
        <v>10789.875</v>
      </c>
      <c r="M265" s="15"/>
      <c r="N265" s="15"/>
      <c r="O265" s="15"/>
      <c r="P265" s="15">
        <f t="shared" si="51"/>
        <v>188436955.2890625</v>
      </c>
      <c r="Q265" s="15"/>
      <c r="R265" s="15"/>
      <c r="S265" s="15">
        <v>1157.8358658941456</v>
      </c>
      <c r="T265" s="15">
        <v>355</v>
      </c>
      <c r="U265" s="15">
        <v>210000</v>
      </c>
      <c r="V265" s="15">
        <f t="shared" si="52"/>
        <v>3.3082457866702435</v>
      </c>
      <c r="W265" s="63">
        <v>3.1036299999999999</v>
      </c>
      <c r="X265" s="15">
        <f t="shared" si="53"/>
        <v>0.93814976278525242</v>
      </c>
      <c r="Y265" s="15">
        <f>'Global Only'!Y265</f>
        <v>0.63748441188209959</v>
      </c>
      <c r="Z265" s="15">
        <f t="shared" si="54"/>
        <v>0.59805584978648785</v>
      </c>
      <c r="AA265" s="16">
        <v>0.61601026542794002</v>
      </c>
      <c r="AB265" s="15">
        <v>0.60092698120307431</v>
      </c>
      <c r="AC265" s="17">
        <v>1</v>
      </c>
      <c r="AD265" s="15"/>
      <c r="AE265" s="15"/>
      <c r="AF265" s="22" t="s">
        <v>5</v>
      </c>
      <c r="AG265" s="17">
        <f t="shared" si="55"/>
        <v>3593.4941284650472</v>
      </c>
      <c r="AH265" s="17">
        <v>2068.1854870352267</v>
      </c>
      <c r="AI265" s="15">
        <f t="shared" si="56"/>
        <v>3.3082457866702426</v>
      </c>
      <c r="AJ265" s="17">
        <f t="shared" si="57"/>
        <v>1</v>
      </c>
      <c r="AK265" s="15">
        <f t="shared" si="58"/>
        <v>0.93814976278525242</v>
      </c>
      <c r="AL265" s="5">
        <v>10.167</v>
      </c>
      <c r="AM265" s="5">
        <v>9.2965999999999998</v>
      </c>
      <c r="AN265" s="5">
        <f t="shared" si="59"/>
        <v>0.59653621105277554</v>
      </c>
      <c r="AO265" s="5">
        <f t="shared" si="60"/>
        <v>1.0300213026055378</v>
      </c>
      <c r="AR265" s="15"/>
    </row>
    <row r="266" spans="1:44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50"/>
        <v>10789.875</v>
      </c>
      <c r="M266" s="15"/>
      <c r="N266" s="15"/>
      <c r="O266" s="15"/>
      <c r="P266" s="15">
        <f t="shared" si="51"/>
        <v>188436955.2890625</v>
      </c>
      <c r="Q266" s="15"/>
      <c r="R266" s="15"/>
      <c r="S266" s="15">
        <v>1157.8358658941456</v>
      </c>
      <c r="T266" s="15">
        <v>355</v>
      </c>
      <c r="U266" s="15">
        <v>210000</v>
      </c>
      <c r="V266" s="15">
        <f t="shared" si="52"/>
        <v>3.3082457866702435</v>
      </c>
      <c r="W266" s="63">
        <v>3.1036299999999999</v>
      </c>
      <c r="X266" s="15">
        <f t="shared" si="53"/>
        <v>0.93814976278525242</v>
      </c>
      <c r="Y266" s="15">
        <f>'Global Only'!Y266</f>
        <v>0.47447112909629291</v>
      </c>
      <c r="Z266" s="15">
        <f t="shared" si="54"/>
        <v>0.44512497721013805</v>
      </c>
      <c r="AA266" s="16">
        <v>0.45834538463787383</v>
      </c>
      <c r="AB266" s="15">
        <v>0.60092698120307431</v>
      </c>
      <c r="AC266" s="17">
        <v>1.33</v>
      </c>
      <c r="AD266" s="15"/>
      <c r="AE266" s="15"/>
      <c r="AF266" s="22" t="s">
        <v>5</v>
      </c>
      <c r="AG266" s="17">
        <f t="shared" si="55"/>
        <v>3593.4941284650472</v>
      </c>
      <c r="AH266" s="17">
        <v>1441.7372322970468</v>
      </c>
      <c r="AI266" s="15">
        <f t="shared" si="56"/>
        <v>1.8702277046018669</v>
      </c>
      <c r="AJ266" s="17">
        <f t="shared" si="57"/>
        <v>1.3300000000000003</v>
      </c>
      <c r="AK266" s="15">
        <f t="shared" si="58"/>
        <v>0.93814976278525242</v>
      </c>
      <c r="AL266" s="5">
        <v>10.167</v>
      </c>
      <c r="AM266" s="5">
        <v>9.2965999999999998</v>
      </c>
      <c r="AN266" s="5">
        <f t="shared" si="59"/>
        <v>0.59653621105277554</v>
      </c>
      <c r="AO266" s="5">
        <f t="shared" si="60"/>
        <v>1.029700439437472</v>
      </c>
      <c r="AR266" s="15"/>
    </row>
    <row r="267" spans="1:44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50"/>
        <v>10789.875</v>
      </c>
      <c r="M267" s="15"/>
      <c r="N267" s="15"/>
      <c r="O267" s="15"/>
      <c r="P267" s="15">
        <f t="shared" si="51"/>
        <v>188436955.2890625</v>
      </c>
      <c r="Q267" s="15"/>
      <c r="R267" s="15"/>
      <c r="S267" s="15">
        <v>1157.8358658941456</v>
      </c>
      <c r="T267" s="15">
        <v>355</v>
      </c>
      <c r="U267" s="15">
        <v>210000</v>
      </c>
      <c r="V267" s="15">
        <f t="shared" si="52"/>
        <v>3.3082457866702435</v>
      </c>
      <c r="W267" s="63">
        <v>3.1036299999999999</v>
      </c>
      <c r="X267" s="15">
        <f t="shared" si="53"/>
        <v>0.93814976278525242</v>
      </c>
      <c r="Y267" s="15">
        <f>'Global Only'!Y267</f>
        <v>0.32180875683438676</v>
      </c>
      <c r="Z267" s="15">
        <f t="shared" si="54"/>
        <v>0.30190480888639692</v>
      </c>
      <c r="AA267" s="16">
        <v>0.31442883735169086</v>
      </c>
      <c r="AB267" s="15">
        <v>0.60092698120307431</v>
      </c>
      <c r="AC267" s="17">
        <v>1.67</v>
      </c>
      <c r="AD267" s="15"/>
      <c r="AE267" s="15"/>
      <c r="AF267" s="22" t="s">
        <v>5</v>
      </c>
      <c r="AG267" s="17">
        <f t="shared" si="55"/>
        <v>3593.4941284650472</v>
      </c>
      <c r="AH267" s="17">
        <v>1016.210947462813</v>
      </c>
      <c r="AI267" s="15">
        <f t="shared" si="56"/>
        <v>1.1862188628743391</v>
      </c>
      <c r="AJ267" s="17">
        <f t="shared" si="57"/>
        <v>1.67</v>
      </c>
      <c r="AK267" s="15">
        <f t="shared" si="58"/>
        <v>0.93814976278525242</v>
      </c>
      <c r="AL267" s="5">
        <v>10.167</v>
      </c>
      <c r="AM267" s="5">
        <v>9.2965999999999998</v>
      </c>
      <c r="AN267" s="5">
        <f t="shared" si="59"/>
        <v>0.59653621105277554</v>
      </c>
      <c r="AO267" s="5">
        <f t="shared" si="60"/>
        <v>1.0414833685872376</v>
      </c>
      <c r="AR267" s="15"/>
    </row>
    <row r="268" spans="1:44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50"/>
        <v>10789.875</v>
      </c>
      <c r="M268" s="15"/>
      <c r="N268" s="15"/>
      <c r="O268" s="15"/>
      <c r="P268" s="15">
        <f t="shared" si="51"/>
        <v>188436955.2890625</v>
      </c>
      <c r="Q268" s="15"/>
      <c r="R268" s="15"/>
      <c r="S268" s="15">
        <v>1157.8358658941456</v>
      </c>
      <c r="T268" s="15">
        <v>355</v>
      </c>
      <c r="U268" s="15">
        <v>210000</v>
      </c>
      <c r="V268" s="15">
        <f t="shared" si="52"/>
        <v>3.3082457866702435</v>
      </c>
      <c r="W268" s="63">
        <v>3.1036299999999999</v>
      </c>
      <c r="X268" s="15">
        <f t="shared" si="53"/>
        <v>0.93814976278525242</v>
      </c>
      <c r="Y268" s="15">
        <f>'Global Only'!Y268</f>
        <v>0.22302938608239906</v>
      </c>
      <c r="Z268" s="15">
        <f t="shared" si="54"/>
        <v>0.20923496564734315</v>
      </c>
      <c r="AA268" s="16">
        <v>0.22036745462702323</v>
      </c>
      <c r="AB268" s="15">
        <v>0.60092698120307431</v>
      </c>
      <c r="AC268" s="17">
        <v>2</v>
      </c>
      <c r="AD268" s="15"/>
      <c r="AE268" s="15"/>
      <c r="AF268" s="22" t="s">
        <v>5</v>
      </c>
      <c r="AG268" s="17">
        <f t="shared" si="55"/>
        <v>3593.4941284650472</v>
      </c>
      <c r="AH268" s="17">
        <v>751.46283996896477</v>
      </c>
      <c r="AI268" s="15">
        <f t="shared" si="56"/>
        <v>0.82706144666756065</v>
      </c>
      <c r="AJ268" s="17">
        <f t="shared" si="57"/>
        <v>2</v>
      </c>
      <c r="AK268" s="15">
        <f t="shared" si="58"/>
        <v>0.93814976278525242</v>
      </c>
      <c r="AL268" s="5">
        <v>10.167</v>
      </c>
      <c r="AM268" s="5">
        <v>9.2965999999999998</v>
      </c>
      <c r="AN268" s="5">
        <f t="shared" si="59"/>
        <v>0.59653621105277554</v>
      </c>
      <c r="AO268" s="5">
        <f t="shared" si="60"/>
        <v>1.0532056816853614</v>
      </c>
      <c r="AR268" s="15"/>
    </row>
    <row r="269" spans="1:44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50"/>
        <v>10789.875</v>
      </c>
      <c r="M269" s="15"/>
      <c r="N269" s="15"/>
      <c r="O269" s="15"/>
      <c r="P269" s="15">
        <f t="shared" si="51"/>
        <v>188436955.2890625</v>
      </c>
      <c r="Q269" s="15"/>
      <c r="R269" s="15"/>
      <c r="S269" s="15">
        <v>1157.8358658941456</v>
      </c>
      <c r="T269" s="15">
        <v>355</v>
      </c>
      <c r="U269" s="15">
        <v>210000</v>
      </c>
      <c r="V269" s="15">
        <f t="shared" si="52"/>
        <v>3.3082457866702435</v>
      </c>
      <c r="W269" s="63">
        <v>3.1036299999999999</v>
      </c>
      <c r="X269" s="15">
        <f t="shared" si="53"/>
        <v>0.93814976278525242</v>
      </c>
      <c r="Y269" s="15">
        <f>'Global Only'!Y269</f>
        <v>0.1420410533253128</v>
      </c>
      <c r="Z269" s="15">
        <f t="shared" si="54"/>
        <v>0.13325578048290959</v>
      </c>
      <c r="AA269" s="16">
        <v>0.14128750884287297</v>
      </c>
      <c r="AB269" s="15">
        <v>0.60092698120307431</v>
      </c>
      <c r="AC269" s="17">
        <v>2.5</v>
      </c>
      <c r="AD269" s="15"/>
      <c r="AE269" s="15"/>
      <c r="AF269" s="22" t="s">
        <v>5</v>
      </c>
      <c r="AG269" s="17">
        <f t="shared" si="55"/>
        <v>3593.4941284650472</v>
      </c>
      <c r="AH269" s="17">
        <v>507.39997914556182</v>
      </c>
      <c r="AI269" s="15">
        <f t="shared" si="56"/>
        <v>0.52931932586723895</v>
      </c>
      <c r="AJ269" s="17">
        <f t="shared" si="57"/>
        <v>2.5</v>
      </c>
      <c r="AK269" s="15">
        <f t="shared" si="58"/>
        <v>0.93814976278525242</v>
      </c>
      <c r="AL269" s="5">
        <v>10.167</v>
      </c>
      <c r="AM269" s="5">
        <v>9.2965999999999998</v>
      </c>
      <c r="AN269" s="5">
        <f t="shared" si="59"/>
        <v>0.59653621105277554</v>
      </c>
      <c r="AO269" s="5">
        <f t="shared" si="60"/>
        <v>1.0602730202836752</v>
      </c>
      <c r="AR269" s="15"/>
    </row>
    <row r="270" spans="1:44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50"/>
        <v>8214.7431679999991</v>
      </c>
      <c r="M270" s="15"/>
      <c r="N270" s="15"/>
      <c r="O270" s="15"/>
      <c r="P270" s="15">
        <f t="shared" si="51"/>
        <v>146698121.23350763</v>
      </c>
      <c r="Q270" s="15"/>
      <c r="R270" s="15"/>
      <c r="S270" s="15">
        <v>885.26335242772677</v>
      </c>
      <c r="T270" s="15">
        <v>355</v>
      </c>
      <c r="U270" s="15">
        <v>210000</v>
      </c>
      <c r="V270" s="15">
        <f t="shared" si="52"/>
        <v>3.2941991969311553</v>
      </c>
      <c r="W270" s="63">
        <v>2.62941</v>
      </c>
      <c r="X270" s="15">
        <f t="shared" si="53"/>
        <v>0.79819398974097666</v>
      </c>
      <c r="Y270" s="15">
        <f>'Global Only'!Y270</f>
        <v>1.061652194867603</v>
      </c>
      <c r="Z270" s="15">
        <f t="shared" si="54"/>
        <v>0.8474044011386368</v>
      </c>
      <c r="AA270" s="16">
        <v>0.77218688296746851</v>
      </c>
      <c r="AB270" s="15">
        <v>0.80062012685654171</v>
      </c>
      <c r="AC270" s="17">
        <v>0.3</v>
      </c>
      <c r="AD270" s="15"/>
      <c r="AE270" s="15"/>
      <c r="AF270" s="22" t="s">
        <v>5</v>
      </c>
      <c r="AG270" s="17">
        <f t="shared" si="55"/>
        <v>2327.7203115069892</v>
      </c>
      <c r="AH270" s="17">
        <v>2804.879544008154</v>
      </c>
      <c r="AI270" s="15">
        <f t="shared" si="56"/>
        <v>36.602213299235061</v>
      </c>
      <c r="AJ270" s="17">
        <f t="shared" si="57"/>
        <v>0.3</v>
      </c>
      <c r="AK270" s="15">
        <f t="shared" si="58"/>
        <v>0.79819398974097666</v>
      </c>
      <c r="AL270" s="56">
        <v>5.66</v>
      </c>
      <c r="AM270" s="56">
        <v>5.2115</v>
      </c>
      <c r="AN270" s="56">
        <f t="shared" si="59"/>
        <v>0.79504838081632234</v>
      </c>
      <c r="AO270" s="5">
        <f t="shared" si="60"/>
        <v>0.91123775369811588</v>
      </c>
      <c r="AR270" s="15"/>
    </row>
    <row r="271" spans="1:44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50"/>
        <v>8214.7431679999991</v>
      </c>
      <c r="M271" s="15"/>
      <c r="N271" s="15"/>
      <c r="O271" s="15"/>
      <c r="P271" s="15">
        <f t="shared" si="51"/>
        <v>146698121.23350763</v>
      </c>
      <c r="Q271" s="15"/>
      <c r="R271" s="15"/>
      <c r="S271" s="15">
        <v>885.26335242772677</v>
      </c>
      <c r="T271" s="15">
        <v>355</v>
      </c>
      <c r="U271" s="15">
        <v>210000</v>
      </c>
      <c r="V271" s="15">
        <f t="shared" si="52"/>
        <v>3.2941991969311553</v>
      </c>
      <c r="W271" s="63">
        <v>2.62941</v>
      </c>
      <c r="X271" s="15">
        <f t="shared" si="53"/>
        <v>0.79819398974097666</v>
      </c>
      <c r="Y271" s="15">
        <f>'Global Only'!Y271</f>
        <v>0.91435545672360263</v>
      </c>
      <c r="Z271" s="15">
        <f t="shared" si="54"/>
        <v>0.7298330300436453</v>
      </c>
      <c r="AA271" s="16">
        <v>0.71982948143552627</v>
      </c>
      <c r="AB271" s="15">
        <v>0.80062012685654171</v>
      </c>
      <c r="AC271" s="17">
        <v>0.5</v>
      </c>
      <c r="AD271" s="15"/>
      <c r="AE271" s="15"/>
      <c r="AF271" s="22" t="s">
        <v>5</v>
      </c>
      <c r="AG271" s="17">
        <f t="shared" si="55"/>
        <v>2327.7203115069892</v>
      </c>
      <c r="AH271" s="17">
        <v>2525.1386907777101</v>
      </c>
      <c r="AI271" s="15">
        <f t="shared" si="56"/>
        <v>13.176796787724623</v>
      </c>
      <c r="AJ271" s="17">
        <f t="shared" si="57"/>
        <v>0.5</v>
      </c>
      <c r="AK271" s="15">
        <f t="shared" si="58"/>
        <v>0.79819398974097666</v>
      </c>
      <c r="AL271" s="5">
        <v>5.66</v>
      </c>
      <c r="AM271" s="5">
        <v>5.2115</v>
      </c>
      <c r="AN271" s="5">
        <f t="shared" si="59"/>
        <v>0.79504838081632234</v>
      </c>
      <c r="AO271" s="5">
        <f t="shared" si="60"/>
        <v>0.98629337369463699</v>
      </c>
      <c r="AR271" s="15"/>
    </row>
    <row r="272" spans="1:44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50"/>
        <v>8214.7431679999991</v>
      </c>
      <c r="M272" s="15"/>
      <c r="N272" s="15"/>
      <c r="O272" s="15"/>
      <c r="P272" s="15">
        <f t="shared" si="51"/>
        <v>146698121.23350763</v>
      </c>
      <c r="Q272" s="15"/>
      <c r="R272" s="15"/>
      <c r="S272" s="15">
        <v>885.26335242772677</v>
      </c>
      <c r="T272" s="15">
        <v>355</v>
      </c>
      <c r="U272" s="15">
        <v>210000</v>
      </c>
      <c r="V272" s="15">
        <f t="shared" si="52"/>
        <v>3.2941991969311553</v>
      </c>
      <c r="W272" s="63">
        <v>2.62941</v>
      </c>
      <c r="X272" s="15">
        <f t="shared" si="53"/>
        <v>0.79819398974097666</v>
      </c>
      <c r="Y272" s="15">
        <f>'Global Only'!Y272</f>
        <v>0.72619171371937186</v>
      </c>
      <c r="Z272" s="15">
        <f t="shared" si="54"/>
        <v>0.57964186129050255</v>
      </c>
      <c r="AA272" s="16">
        <v>0.65100704167033141</v>
      </c>
      <c r="AB272" s="15">
        <v>0.80062012685654171</v>
      </c>
      <c r="AC272" s="17">
        <v>0.75</v>
      </c>
      <c r="AD272" s="15"/>
      <c r="AE272" s="15"/>
      <c r="AF272" s="22" t="s">
        <v>5</v>
      </c>
      <c r="AG272" s="17">
        <f t="shared" si="55"/>
        <v>2327.7203115069892</v>
      </c>
      <c r="AH272" s="17">
        <v>2135.33388901322</v>
      </c>
      <c r="AI272" s="15">
        <f t="shared" si="56"/>
        <v>5.8563541278776095</v>
      </c>
      <c r="AJ272" s="17">
        <f t="shared" si="57"/>
        <v>0.75</v>
      </c>
      <c r="AK272" s="15">
        <f t="shared" si="58"/>
        <v>0.79819398974097666</v>
      </c>
      <c r="AL272" s="5">
        <v>5.66</v>
      </c>
      <c r="AM272" s="5">
        <v>5.2115</v>
      </c>
      <c r="AN272" s="5">
        <f t="shared" si="59"/>
        <v>0.79504838081632234</v>
      </c>
      <c r="AO272" s="5">
        <f t="shared" si="60"/>
        <v>1.1231194383044436</v>
      </c>
      <c r="AR272" s="15"/>
    </row>
    <row r="273" spans="1:44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50"/>
        <v>8214.7431679999991</v>
      </c>
      <c r="M273" s="15"/>
      <c r="N273" s="15"/>
      <c r="O273" s="15"/>
      <c r="P273" s="15">
        <f t="shared" si="51"/>
        <v>146698121.23350763</v>
      </c>
      <c r="Q273" s="15"/>
      <c r="R273" s="15"/>
      <c r="S273" s="15">
        <v>885.26335242772677</v>
      </c>
      <c r="T273" s="15">
        <v>355</v>
      </c>
      <c r="U273" s="15">
        <v>210000</v>
      </c>
      <c r="V273" s="15">
        <f t="shared" si="52"/>
        <v>3.2941991969311553</v>
      </c>
      <c r="W273" s="63">
        <v>2.62941</v>
      </c>
      <c r="X273" s="15">
        <f t="shared" si="53"/>
        <v>0.79819398974097666</v>
      </c>
      <c r="Y273" s="15">
        <f>'Global Only'!Y273</f>
        <v>0.63869896113936353</v>
      </c>
      <c r="Z273" s="15">
        <f t="shared" si="54"/>
        <v>0.50980567203524563</v>
      </c>
      <c r="AA273" s="16">
        <v>0.5731267816076403</v>
      </c>
      <c r="AB273" s="15">
        <v>0.80062012685654171</v>
      </c>
      <c r="AC273" s="17">
        <v>1</v>
      </c>
      <c r="AD273" s="15"/>
      <c r="AE273" s="15"/>
      <c r="AF273" s="22" t="s">
        <v>5</v>
      </c>
      <c r="AG273" s="17">
        <f t="shared" si="55"/>
        <v>2327.7203115069892</v>
      </c>
      <c r="AH273" s="17">
        <v>1718.7553355681105</v>
      </c>
      <c r="AI273" s="15">
        <f t="shared" si="56"/>
        <v>3.2941991969311557</v>
      </c>
      <c r="AJ273" s="17">
        <f t="shared" si="57"/>
        <v>1</v>
      </c>
      <c r="AK273" s="15">
        <f t="shared" si="58"/>
        <v>0.79819398974097666</v>
      </c>
      <c r="AL273" s="5">
        <v>5.66</v>
      </c>
      <c r="AM273" s="5">
        <v>5.2115</v>
      </c>
      <c r="AN273" s="5">
        <f t="shared" si="59"/>
        <v>0.79504838081632234</v>
      </c>
      <c r="AO273" s="5">
        <f t="shared" si="60"/>
        <v>1.1242063653776235</v>
      </c>
      <c r="AR273" s="15"/>
    </row>
    <row r="274" spans="1:44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50"/>
        <v>8214.7431679999991</v>
      </c>
      <c r="M274" s="15"/>
      <c r="N274" s="15"/>
      <c r="O274" s="15"/>
      <c r="P274" s="15">
        <f t="shared" si="51"/>
        <v>146698121.23350763</v>
      </c>
      <c r="Q274" s="15"/>
      <c r="R274" s="15"/>
      <c r="S274" s="15">
        <v>885.26335242772677</v>
      </c>
      <c r="T274" s="15">
        <v>355</v>
      </c>
      <c r="U274" s="15">
        <v>210000</v>
      </c>
      <c r="V274" s="15">
        <f t="shared" si="52"/>
        <v>3.2941991969311553</v>
      </c>
      <c r="W274" s="63">
        <v>2.62941</v>
      </c>
      <c r="X274" s="15">
        <f t="shared" si="53"/>
        <v>0.79819398974097666</v>
      </c>
      <c r="Y274" s="15">
        <f>'Global Only'!Y274</f>
        <v>0.47501053508408175</v>
      </c>
      <c r="Z274" s="15">
        <f t="shared" si="54"/>
        <v>0.37915055416775939</v>
      </c>
      <c r="AA274" s="16">
        <v>0.43678615277142624</v>
      </c>
      <c r="AB274" s="15">
        <v>0.80062012685654171</v>
      </c>
      <c r="AC274" s="17">
        <v>1.33</v>
      </c>
      <c r="AD274" s="15"/>
      <c r="AE274" s="15"/>
      <c r="AF274" s="22" t="s">
        <v>5</v>
      </c>
      <c r="AG274" s="17">
        <f t="shared" si="55"/>
        <v>2327.7203115069892</v>
      </c>
      <c r="AH274" s="17">
        <v>1237.8619461624439</v>
      </c>
      <c r="AI274" s="15">
        <f t="shared" si="56"/>
        <v>1.8622868431969897</v>
      </c>
      <c r="AJ274" s="17">
        <f t="shared" si="57"/>
        <v>1.33</v>
      </c>
      <c r="AK274" s="15">
        <f t="shared" si="58"/>
        <v>0.79819398974097666</v>
      </c>
      <c r="AL274" s="5">
        <v>5.66</v>
      </c>
      <c r="AM274" s="5">
        <v>5.2115</v>
      </c>
      <c r="AN274" s="5">
        <f t="shared" si="59"/>
        <v>0.79504838081632234</v>
      </c>
      <c r="AO274" s="5">
        <f t="shared" si="60"/>
        <v>1.1520124340321163</v>
      </c>
      <c r="AR274" s="15"/>
    </row>
    <row r="275" spans="1:44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50"/>
        <v>8214.7431679999991</v>
      </c>
      <c r="M275" s="15"/>
      <c r="N275" s="15"/>
      <c r="O275" s="15"/>
      <c r="P275" s="15">
        <f t="shared" si="51"/>
        <v>146698121.23350763</v>
      </c>
      <c r="Q275" s="15"/>
      <c r="R275" s="15"/>
      <c r="S275" s="15">
        <v>885.26335242772677</v>
      </c>
      <c r="T275" s="15">
        <v>355</v>
      </c>
      <c r="U275" s="15">
        <v>210000</v>
      </c>
      <c r="V275" s="15">
        <f t="shared" si="52"/>
        <v>3.2941991969311553</v>
      </c>
      <c r="W275" s="63">
        <v>2.62941</v>
      </c>
      <c r="X275" s="15">
        <f t="shared" si="53"/>
        <v>0.79819398974097666</v>
      </c>
      <c r="Y275" s="15">
        <f>'Global Only'!Y275</f>
        <v>0.32205888788737613</v>
      </c>
      <c r="Z275" s="15">
        <f t="shared" si="54"/>
        <v>0.25706546865436664</v>
      </c>
      <c r="AA275" s="16">
        <v>0.30657624127700928</v>
      </c>
      <c r="AB275" s="15">
        <v>0.80062012685654171</v>
      </c>
      <c r="AC275" s="17">
        <v>1.67</v>
      </c>
      <c r="AD275" s="15"/>
      <c r="AE275" s="15"/>
      <c r="AF275" s="22" t="s">
        <v>5</v>
      </c>
      <c r="AG275" s="17">
        <f t="shared" si="55"/>
        <v>2327.7203115069892</v>
      </c>
      <c r="AH275" s="17">
        <v>888.10027026159901</v>
      </c>
      <c r="AI275" s="15">
        <f t="shared" si="56"/>
        <v>1.1811822571376369</v>
      </c>
      <c r="AJ275" s="17">
        <f t="shared" si="57"/>
        <v>1.67</v>
      </c>
      <c r="AK275" s="15">
        <f t="shared" si="58"/>
        <v>0.79819398974097666</v>
      </c>
      <c r="AL275" s="5">
        <v>5.66</v>
      </c>
      <c r="AM275" s="5">
        <v>5.2115</v>
      </c>
      <c r="AN275" s="5">
        <f t="shared" si="59"/>
        <v>0.79504838081632234</v>
      </c>
      <c r="AO275" s="5">
        <f t="shared" si="60"/>
        <v>1.1925998574674825</v>
      </c>
      <c r="AR275" s="15"/>
    </row>
    <row r="276" spans="1:44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50"/>
        <v>8214.7431679999991</v>
      </c>
      <c r="M276" s="15"/>
      <c r="N276" s="15"/>
      <c r="O276" s="15"/>
      <c r="P276" s="15">
        <f t="shared" si="51"/>
        <v>146698121.23350763</v>
      </c>
      <c r="Q276" s="15"/>
      <c r="R276" s="15"/>
      <c r="S276" s="15">
        <v>885.26335242772677</v>
      </c>
      <c r="T276" s="15">
        <v>355</v>
      </c>
      <c r="U276" s="15">
        <v>210000</v>
      </c>
      <c r="V276" s="15">
        <f t="shared" si="52"/>
        <v>3.2941991969311553</v>
      </c>
      <c r="W276" s="63">
        <v>2.62941</v>
      </c>
      <c r="X276" s="15">
        <f t="shared" si="53"/>
        <v>0.79819398974097666</v>
      </c>
      <c r="Y276" s="15">
        <f>'Global Only'!Y276</f>
        <v>0.22322129895775125</v>
      </c>
      <c r="Z276" s="15">
        <f t="shared" si="54"/>
        <v>0.17817389921025079</v>
      </c>
      <c r="AA276" s="16">
        <v>0.21643543276364369</v>
      </c>
      <c r="AB276" s="15">
        <v>0.80062012685654171</v>
      </c>
      <c r="AC276" s="17">
        <v>2</v>
      </c>
      <c r="AD276" s="15"/>
      <c r="AE276" s="15"/>
      <c r="AF276" s="22" t="s">
        <v>5</v>
      </c>
      <c r="AG276" s="17">
        <f t="shared" si="55"/>
        <v>2327.7203115069892</v>
      </c>
      <c r="AH276" s="17">
        <v>662.73183271056735</v>
      </c>
      <c r="AI276" s="15">
        <f t="shared" si="56"/>
        <v>0.82354979923278893</v>
      </c>
      <c r="AJ276" s="17">
        <f t="shared" si="57"/>
        <v>2</v>
      </c>
      <c r="AK276" s="15">
        <f t="shared" si="58"/>
        <v>0.79819398974097666</v>
      </c>
      <c r="AL276" s="5">
        <v>5.66</v>
      </c>
      <c r="AM276" s="5">
        <v>5.2115</v>
      </c>
      <c r="AN276" s="5">
        <f t="shared" si="59"/>
        <v>0.79504838081632234</v>
      </c>
      <c r="AO276" s="5">
        <f t="shared" si="60"/>
        <v>1.2147426403249058</v>
      </c>
      <c r="AR276" s="15"/>
    </row>
    <row r="277" spans="1:44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50"/>
        <v>8214.7431679999991</v>
      </c>
      <c r="M277" s="15"/>
      <c r="N277" s="15"/>
      <c r="O277" s="15"/>
      <c r="P277" s="15">
        <f t="shared" si="51"/>
        <v>146698121.23350763</v>
      </c>
      <c r="Q277" s="15"/>
      <c r="R277" s="15"/>
      <c r="S277" s="15">
        <v>885.26335242772677</v>
      </c>
      <c r="T277" s="15">
        <v>355</v>
      </c>
      <c r="U277" s="15">
        <v>210000</v>
      </c>
      <c r="V277" s="15">
        <f t="shared" si="52"/>
        <v>3.2941991969311553</v>
      </c>
      <c r="W277" s="63">
        <v>2.62941</v>
      </c>
      <c r="X277" s="15">
        <f t="shared" si="53"/>
        <v>0.79819398974097666</v>
      </c>
      <c r="Y277" s="15">
        <f>'Global Only'!Y277</f>
        <v>0.14220237315996784</v>
      </c>
      <c r="Z277" s="15">
        <f t="shared" si="54"/>
        <v>0.11350507958318991</v>
      </c>
      <c r="AA277" s="16">
        <v>0.13916164324812039</v>
      </c>
      <c r="AB277" s="15">
        <v>0.80062012685654171</v>
      </c>
      <c r="AC277" s="17">
        <v>2.5</v>
      </c>
      <c r="AD277" s="15"/>
      <c r="AE277" s="15"/>
      <c r="AF277" s="22" t="s">
        <v>5</v>
      </c>
      <c r="AG277" s="17">
        <f t="shared" si="55"/>
        <v>2327.7203115069892</v>
      </c>
      <c r="AH277" s="17">
        <v>450.77963648270901</v>
      </c>
      <c r="AI277" s="15">
        <f t="shared" si="56"/>
        <v>0.52707187150898493</v>
      </c>
      <c r="AJ277" s="17">
        <f t="shared" si="57"/>
        <v>2.5</v>
      </c>
      <c r="AK277" s="15">
        <f t="shared" si="58"/>
        <v>0.79819398974097666</v>
      </c>
      <c r="AL277" s="5">
        <v>5.66</v>
      </c>
      <c r="AM277" s="5">
        <v>5.2115</v>
      </c>
      <c r="AN277" s="5">
        <f t="shared" si="59"/>
        <v>0.79504838081632234</v>
      </c>
      <c r="AO277" s="5">
        <f t="shared" si="60"/>
        <v>1.2260389029208716</v>
      </c>
      <c r="AR277" s="15"/>
    </row>
    <row r="278" spans="1:44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50"/>
        <v>5956.734199999999</v>
      </c>
      <c r="M278" s="15"/>
      <c r="N278" s="15"/>
      <c r="O278" s="15"/>
      <c r="P278" s="15">
        <f t="shared" si="51"/>
        <v>108445180.57615538</v>
      </c>
      <c r="Q278" s="15"/>
      <c r="R278" s="15"/>
      <c r="S278" s="15">
        <v>645.23329179852681</v>
      </c>
      <c r="T278" s="15">
        <v>355</v>
      </c>
      <c r="U278" s="15">
        <v>210000</v>
      </c>
      <c r="V278" s="15">
        <f t="shared" si="52"/>
        <v>3.2773272363328294</v>
      </c>
      <c r="W278" s="63">
        <v>2.17943</v>
      </c>
      <c r="X278" s="15">
        <f t="shared" si="53"/>
        <v>0.66500225422673287</v>
      </c>
      <c r="Y278" s="15">
        <f>'Global Only'!Y278</f>
        <v>1.0676297887249462</v>
      </c>
      <c r="Z278" s="15">
        <f t="shared" si="54"/>
        <v>0.70997621618169982</v>
      </c>
      <c r="AA278" s="16">
        <v>0.64101316496018812</v>
      </c>
      <c r="AB278" s="15">
        <v>1.1026699208821982</v>
      </c>
      <c r="AC278" s="17">
        <v>0.3</v>
      </c>
      <c r="AD278" s="15"/>
      <c r="AE278" s="15"/>
      <c r="AF278" s="22" t="s">
        <v>5</v>
      </c>
      <c r="AG278" s="17">
        <f t="shared" si="55"/>
        <v>1406.2407931444632</v>
      </c>
      <c r="AH278" s="17">
        <v>2067.8430712119402</v>
      </c>
      <c r="AI278" s="15">
        <f t="shared" si="56"/>
        <v>36.414747070364776</v>
      </c>
      <c r="AJ278" s="17">
        <f t="shared" si="57"/>
        <v>0.3</v>
      </c>
      <c r="AK278" s="15">
        <f t="shared" si="58"/>
        <v>0.66500225422673287</v>
      </c>
      <c r="AL278" s="56">
        <v>2.8845000000000001</v>
      </c>
      <c r="AM278" s="56">
        <v>2.6804999999999999</v>
      </c>
      <c r="AN278" s="56">
        <f t="shared" si="59"/>
        <v>1.1057373964136243</v>
      </c>
      <c r="AO278" s="5">
        <f t="shared" si="60"/>
        <v>0.90286568810375134</v>
      </c>
      <c r="AR278" s="15"/>
    </row>
    <row r="279" spans="1:44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50"/>
        <v>5956.734199999999</v>
      </c>
      <c r="M279" s="15"/>
      <c r="N279" s="15"/>
      <c r="O279" s="15"/>
      <c r="P279" s="15">
        <f t="shared" si="51"/>
        <v>108445180.57615538</v>
      </c>
      <c r="Q279" s="15"/>
      <c r="R279" s="15"/>
      <c r="S279" s="15">
        <v>645.23329179852681</v>
      </c>
      <c r="T279" s="15">
        <v>355</v>
      </c>
      <c r="U279" s="15">
        <v>210000</v>
      </c>
      <c r="V279" s="15">
        <f t="shared" si="52"/>
        <v>3.2773272363328294</v>
      </c>
      <c r="W279" s="63">
        <v>2.17943</v>
      </c>
      <c r="X279" s="15">
        <f t="shared" si="53"/>
        <v>0.66500225422673287</v>
      </c>
      <c r="Y279" s="15">
        <f>'Global Only'!Y279</f>
        <v>0.92449292062687372</v>
      </c>
      <c r="Z279" s="15">
        <f t="shared" si="54"/>
        <v>0.6147898762335271</v>
      </c>
      <c r="AA279" s="16">
        <v>0.58694609364878614</v>
      </c>
      <c r="AB279" s="15">
        <v>1.1026699208821982</v>
      </c>
      <c r="AC279" s="17">
        <v>0.5</v>
      </c>
      <c r="AD279" s="15"/>
      <c r="AE279" s="15"/>
      <c r="AF279" s="22" t="s">
        <v>5</v>
      </c>
      <c r="AG279" s="17">
        <f t="shared" si="55"/>
        <v>1406.2407931444632</v>
      </c>
      <c r="AH279" s="17">
        <v>1890.963876434048</v>
      </c>
      <c r="AI279" s="15">
        <f t="shared" si="56"/>
        <v>13.109308945331314</v>
      </c>
      <c r="AJ279" s="17">
        <f t="shared" si="57"/>
        <v>0.5</v>
      </c>
      <c r="AK279" s="15">
        <f t="shared" si="58"/>
        <v>0.66500225422673287</v>
      </c>
      <c r="AL279" s="5">
        <v>2.8845000000000001</v>
      </c>
      <c r="AM279" s="5">
        <v>2.6804999999999999</v>
      </c>
      <c r="AN279" s="5">
        <f t="shared" si="59"/>
        <v>1.1057373964136243</v>
      </c>
      <c r="AO279" s="5">
        <f t="shared" si="60"/>
        <v>0.95471008280857805</v>
      </c>
      <c r="AR279" s="15"/>
    </row>
    <row r="280" spans="1:44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50"/>
        <v>5956.734199999999</v>
      </c>
      <c r="M280" s="15"/>
      <c r="N280" s="15"/>
      <c r="O280" s="15"/>
      <c r="P280" s="15">
        <f t="shared" si="51"/>
        <v>108445180.57615538</v>
      </c>
      <c r="Q280" s="15"/>
      <c r="R280" s="15"/>
      <c r="S280" s="15">
        <v>645.23329179852681</v>
      </c>
      <c r="T280" s="15">
        <v>355</v>
      </c>
      <c r="U280" s="15">
        <v>210000</v>
      </c>
      <c r="V280" s="15">
        <f t="shared" si="52"/>
        <v>3.2773272363328294</v>
      </c>
      <c r="W280" s="63">
        <v>2.17943</v>
      </c>
      <c r="X280" s="15">
        <f t="shared" si="53"/>
        <v>0.66500225422673287</v>
      </c>
      <c r="Y280" s="15">
        <f>'Global Only'!Y280</f>
        <v>0.7272317936445527</v>
      </c>
      <c r="Z280" s="15">
        <f t="shared" si="54"/>
        <v>0.48361078211897779</v>
      </c>
      <c r="AA280" s="16">
        <v>0.51551474390536689</v>
      </c>
      <c r="AB280" s="15">
        <v>1.1026699208821982</v>
      </c>
      <c r="AC280" s="17">
        <v>0.75</v>
      </c>
      <c r="AD280" s="15"/>
      <c r="AE280" s="15"/>
      <c r="AF280" s="22" t="s">
        <v>5</v>
      </c>
      <c r="AG280" s="17">
        <f t="shared" si="55"/>
        <v>1406.2407931444632</v>
      </c>
      <c r="AH280" s="17">
        <v>1649.7885578004339</v>
      </c>
      <c r="AI280" s="15">
        <f t="shared" si="56"/>
        <v>5.8263595312583627</v>
      </c>
      <c r="AJ280" s="17">
        <f t="shared" si="57"/>
        <v>0.75000000000000011</v>
      </c>
      <c r="AK280" s="15">
        <f t="shared" si="58"/>
        <v>0.66500225422673287</v>
      </c>
      <c r="AL280" s="5">
        <v>2.8845000000000001</v>
      </c>
      <c r="AM280" s="5">
        <v>2.6804999999999999</v>
      </c>
      <c r="AN280" s="5">
        <f t="shared" si="59"/>
        <v>1.1057373964136243</v>
      </c>
      <c r="AO280" s="5">
        <f t="shared" si="60"/>
        <v>1.0659703277222221</v>
      </c>
      <c r="AR280" s="15"/>
    </row>
    <row r="281" spans="1:44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50"/>
        <v>5956.734199999999</v>
      </c>
      <c r="M281" s="15"/>
      <c r="N281" s="15"/>
      <c r="O281" s="15"/>
      <c r="P281" s="15">
        <f t="shared" si="51"/>
        <v>108445180.57615538</v>
      </c>
      <c r="Q281" s="15"/>
      <c r="R281" s="15"/>
      <c r="S281" s="15">
        <v>645.23329179852681</v>
      </c>
      <c r="T281" s="15">
        <v>355</v>
      </c>
      <c r="U281" s="15">
        <v>210000</v>
      </c>
      <c r="V281" s="15">
        <f t="shared" si="52"/>
        <v>3.2773272363328294</v>
      </c>
      <c r="W281" s="63">
        <v>2.17943</v>
      </c>
      <c r="X281" s="15">
        <f t="shared" si="53"/>
        <v>0.66500225422673287</v>
      </c>
      <c r="Y281" s="15">
        <f>'Global Only'!Y281</f>
        <v>0.64148984599795222</v>
      </c>
      <c r="Z281" s="15">
        <f t="shared" si="54"/>
        <v>0.42659219365219792</v>
      </c>
      <c r="AA281" s="16">
        <v>0.45430141053928286</v>
      </c>
      <c r="AB281" s="15">
        <v>1.1026699208821982</v>
      </c>
      <c r="AC281" s="17">
        <v>1</v>
      </c>
      <c r="AD281" s="15"/>
      <c r="AE281" s="15"/>
      <c r="AF281" s="22" t="s">
        <v>5</v>
      </c>
      <c r="AG281" s="17">
        <f t="shared" si="55"/>
        <v>1406.2407931444632</v>
      </c>
      <c r="AH281" s="17">
        <v>1384.6930686849744</v>
      </c>
      <c r="AI281" s="15">
        <f t="shared" si="56"/>
        <v>3.2773272363328285</v>
      </c>
      <c r="AJ281" s="17">
        <f t="shared" si="57"/>
        <v>1</v>
      </c>
      <c r="AK281" s="15">
        <f t="shared" si="58"/>
        <v>0.66500225422673287</v>
      </c>
      <c r="AL281" s="5">
        <v>2.8845000000000001</v>
      </c>
      <c r="AM281" s="5">
        <v>2.6804999999999999</v>
      </c>
      <c r="AN281" s="5">
        <f t="shared" si="59"/>
        <v>1.1057373964136243</v>
      </c>
      <c r="AO281" s="5">
        <f t="shared" si="60"/>
        <v>1.0649548146904826</v>
      </c>
      <c r="AR281" s="15"/>
    </row>
    <row r="282" spans="1:44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50"/>
        <v>5956.734199999999</v>
      </c>
      <c r="M282" s="15"/>
      <c r="N282" s="15"/>
      <c r="O282" s="15"/>
      <c r="P282" s="15">
        <f t="shared" si="51"/>
        <v>108445180.57615538</v>
      </c>
      <c r="Q282" s="15"/>
      <c r="R282" s="15"/>
      <c r="S282" s="15">
        <v>645.23329179852681</v>
      </c>
      <c r="T282" s="15">
        <v>355</v>
      </c>
      <c r="U282" s="15">
        <v>210000</v>
      </c>
      <c r="V282" s="15">
        <f t="shared" si="52"/>
        <v>3.2773272363328294</v>
      </c>
      <c r="W282" s="63">
        <v>2.17943</v>
      </c>
      <c r="X282" s="15">
        <f t="shared" si="53"/>
        <v>0.66500225422673287</v>
      </c>
      <c r="Y282" s="15">
        <f>'Global Only'!Y282</f>
        <v>0.47648057224986196</v>
      </c>
      <c r="Z282" s="15">
        <f t="shared" si="54"/>
        <v>0.31686065464140184</v>
      </c>
      <c r="AA282" s="16">
        <v>0.3628656505746134</v>
      </c>
      <c r="AB282" s="15">
        <v>1.1026699208821982</v>
      </c>
      <c r="AC282" s="17">
        <v>1.33</v>
      </c>
      <c r="AD282" s="15"/>
      <c r="AE282" s="15"/>
      <c r="AF282" s="22" t="s">
        <v>5</v>
      </c>
      <c r="AG282" s="17">
        <f t="shared" si="55"/>
        <v>1406.2407931444632</v>
      </c>
      <c r="AH282" s="17">
        <v>1047.2396604996427</v>
      </c>
      <c r="AI282" s="15">
        <f t="shared" si="56"/>
        <v>1.8527487344297748</v>
      </c>
      <c r="AJ282" s="17">
        <f t="shared" si="57"/>
        <v>1.33</v>
      </c>
      <c r="AK282" s="15">
        <f t="shared" si="58"/>
        <v>0.66500225422673287</v>
      </c>
      <c r="AL282" s="5">
        <v>2.8845000000000001</v>
      </c>
      <c r="AM282" s="5">
        <v>2.6804999999999999</v>
      </c>
      <c r="AN282" s="5">
        <f t="shared" si="59"/>
        <v>1.1057373964136243</v>
      </c>
      <c r="AO282" s="5">
        <f t="shared" si="60"/>
        <v>1.1451899920653652</v>
      </c>
      <c r="AR282" s="15"/>
    </row>
    <row r="283" spans="1:44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50"/>
        <v>5956.734199999999</v>
      </c>
      <c r="M283" s="15"/>
      <c r="N283" s="15"/>
      <c r="O283" s="15"/>
      <c r="P283" s="15">
        <f t="shared" si="51"/>
        <v>108445180.57615538</v>
      </c>
      <c r="Q283" s="15"/>
      <c r="R283" s="15"/>
      <c r="S283" s="15">
        <v>645.23329179852681</v>
      </c>
      <c r="T283" s="15">
        <v>355</v>
      </c>
      <c r="U283" s="15">
        <v>210000</v>
      </c>
      <c r="V283" s="15">
        <f t="shared" si="52"/>
        <v>3.2773272363328294</v>
      </c>
      <c r="W283" s="63">
        <v>2.17943</v>
      </c>
      <c r="X283" s="15">
        <f t="shared" si="53"/>
        <v>0.66500225422673287</v>
      </c>
      <c r="Y283" s="15">
        <f>'Global Only'!Y283</f>
        <v>0.32282750637696261</v>
      </c>
      <c r="Z283" s="15">
        <f t="shared" si="54"/>
        <v>0.21468101946707513</v>
      </c>
      <c r="AA283" s="16">
        <v>0.27103105543612316</v>
      </c>
      <c r="AB283" s="15">
        <v>1.1026699208821982</v>
      </c>
      <c r="AC283" s="17">
        <v>1.67</v>
      </c>
      <c r="AD283" s="15"/>
      <c r="AE283" s="15"/>
      <c r="AF283" s="22" t="s">
        <v>5</v>
      </c>
      <c r="AG283" s="17">
        <f t="shared" si="55"/>
        <v>1406.2407931444632</v>
      </c>
      <c r="AH283" s="17">
        <v>774.36690657034842</v>
      </c>
      <c r="AI283" s="15">
        <f t="shared" si="56"/>
        <v>1.1751325742525114</v>
      </c>
      <c r="AJ283" s="17">
        <f t="shared" si="57"/>
        <v>1.6700000000000002</v>
      </c>
      <c r="AK283" s="15">
        <f t="shared" si="58"/>
        <v>0.66500225422673287</v>
      </c>
      <c r="AL283" s="5">
        <v>2.8845000000000001</v>
      </c>
      <c r="AM283" s="5">
        <v>2.6804999999999999</v>
      </c>
      <c r="AN283" s="5">
        <f t="shared" si="59"/>
        <v>1.1057373964136243</v>
      </c>
      <c r="AO283" s="5">
        <f t="shared" si="60"/>
        <v>1.2624826177411097</v>
      </c>
      <c r="AR283" s="15"/>
    </row>
    <row r="284" spans="1:44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50"/>
        <v>5956.734199999999</v>
      </c>
      <c r="M284" s="15"/>
      <c r="N284" s="15"/>
      <c r="O284" s="15"/>
      <c r="P284" s="15">
        <f t="shared" si="51"/>
        <v>108445180.57615538</v>
      </c>
      <c r="Q284" s="15"/>
      <c r="R284" s="15"/>
      <c r="S284" s="15">
        <v>645.23329179852681</v>
      </c>
      <c r="T284" s="15">
        <v>355</v>
      </c>
      <c r="U284" s="15">
        <v>210000</v>
      </c>
      <c r="V284" s="15">
        <f t="shared" si="52"/>
        <v>3.2773272363328294</v>
      </c>
      <c r="W284" s="63">
        <v>2.17943</v>
      </c>
      <c r="X284" s="15">
        <f t="shared" si="53"/>
        <v>0.66500225422673287</v>
      </c>
      <c r="Y284" s="15">
        <f>'Global Only'!Y284</f>
        <v>0.2238573564203547</v>
      </c>
      <c r="Z284" s="15">
        <f t="shared" si="54"/>
        <v>0.14886564664477306</v>
      </c>
      <c r="AA284" s="16">
        <v>0.19951882560141368</v>
      </c>
      <c r="AB284" s="15">
        <v>1.1026699208821982</v>
      </c>
      <c r="AC284" s="17">
        <v>2</v>
      </c>
      <c r="AD284" s="15"/>
      <c r="AE284" s="15"/>
      <c r="AF284" s="22" t="s">
        <v>5</v>
      </c>
      <c r="AG284" s="17">
        <f t="shared" si="55"/>
        <v>1406.2407931444632</v>
      </c>
      <c r="AH284" s="17">
        <v>587.23834536877882</v>
      </c>
      <c r="AI284" s="15">
        <f t="shared" si="56"/>
        <v>0.81933180908320713</v>
      </c>
      <c r="AJ284" s="17">
        <f t="shared" si="57"/>
        <v>2</v>
      </c>
      <c r="AK284" s="15">
        <f t="shared" si="58"/>
        <v>0.66500225422673287</v>
      </c>
      <c r="AL284" s="5">
        <v>2.8845000000000001</v>
      </c>
      <c r="AM284" s="5">
        <v>2.6804999999999999</v>
      </c>
      <c r="AN284" s="5">
        <f t="shared" si="59"/>
        <v>1.1057373964136243</v>
      </c>
      <c r="AO284" s="5">
        <f t="shared" si="60"/>
        <v>1.3402610346866024</v>
      </c>
      <c r="AR284" s="15"/>
    </row>
    <row r="285" spans="1:44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50"/>
        <v>5956.734199999999</v>
      </c>
      <c r="M285" s="15"/>
      <c r="N285" s="15"/>
      <c r="O285" s="15"/>
      <c r="P285" s="15">
        <f t="shared" si="51"/>
        <v>108445180.57615538</v>
      </c>
      <c r="Q285" s="15"/>
      <c r="R285" s="15"/>
      <c r="S285" s="15">
        <v>645.23329179852681</v>
      </c>
      <c r="T285" s="15">
        <v>355</v>
      </c>
      <c r="U285" s="15">
        <v>210000</v>
      </c>
      <c r="V285" s="15">
        <f t="shared" si="52"/>
        <v>3.2773272363328294</v>
      </c>
      <c r="W285" s="63">
        <v>2.17943</v>
      </c>
      <c r="X285" s="15">
        <f t="shared" si="53"/>
        <v>0.66500225422673287</v>
      </c>
      <c r="Y285" s="15">
        <f>'Global Only'!Y285</f>
        <v>0.14264623796162224</v>
      </c>
      <c r="Z285" s="15">
        <f t="shared" si="54"/>
        <v>9.4860069801441738E-2</v>
      </c>
      <c r="AA285" s="16">
        <v>0.1310070694443416</v>
      </c>
      <c r="AB285" s="15">
        <v>1.1026699208821982</v>
      </c>
      <c r="AC285" s="17">
        <v>2.5</v>
      </c>
      <c r="AD285" s="15"/>
      <c r="AE285" s="15"/>
      <c r="AF285" s="22" t="s">
        <v>5</v>
      </c>
      <c r="AG285" s="17">
        <f t="shared" si="55"/>
        <v>1406.2407931444632</v>
      </c>
      <c r="AH285" s="17">
        <v>404.62332413956238</v>
      </c>
      <c r="AI285" s="15">
        <f t="shared" si="56"/>
        <v>0.52437235781325264</v>
      </c>
      <c r="AJ285" s="17">
        <f t="shared" si="57"/>
        <v>2.5</v>
      </c>
      <c r="AK285" s="15">
        <f t="shared" si="58"/>
        <v>0.66500225422673287</v>
      </c>
      <c r="AL285" s="5">
        <v>2.8845000000000001</v>
      </c>
      <c r="AM285" s="5">
        <v>2.6804999999999999</v>
      </c>
      <c r="AN285" s="5">
        <f t="shared" si="59"/>
        <v>1.1057373964136243</v>
      </c>
      <c r="AO285" s="5">
        <f t="shared" si="60"/>
        <v>1.381056009325754</v>
      </c>
      <c r="AR285" s="15"/>
    </row>
    <row r="286" spans="1:44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50"/>
        <v>4372.38</v>
      </c>
      <c r="M286" s="15"/>
      <c r="N286" s="15"/>
      <c r="O286" s="15"/>
      <c r="P286" s="15">
        <f t="shared" si="51"/>
        <v>80673246.275399998</v>
      </c>
      <c r="Q286" s="15"/>
      <c r="R286" s="15"/>
      <c r="S286" s="15">
        <v>475.83986311674261</v>
      </c>
      <c r="T286" s="15">
        <v>355</v>
      </c>
      <c r="U286" s="15">
        <v>210000</v>
      </c>
      <c r="V286" s="15">
        <f t="shared" si="52"/>
        <v>3.2620110678267924</v>
      </c>
      <c r="W286" s="63">
        <v>1.89161</v>
      </c>
      <c r="X286" s="15">
        <f t="shared" si="53"/>
        <v>0.57989073631813981</v>
      </c>
      <c r="Y286" s="15">
        <f>'Global Only'!Y286</f>
        <v>1.2223646439536624</v>
      </c>
      <c r="Z286" s="15">
        <f t="shared" si="54"/>
        <v>0.7088379334315501</v>
      </c>
      <c r="AA286" s="16">
        <v>0.55576214475571517</v>
      </c>
      <c r="AB286" s="15">
        <v>1.5093980321271014</v>
      </c>
      <c r="AC286" s="17">
        <v>0.3</v>
      </c>
      <c r="AD286" s="15"/>
      <c r="AE286" s="15"/>
      <c r="AF286" s="22" t="s">
        <v>5</v>
      </c>
      <c r="AG286" s="17">
        <f t="shared" si="55"/>
        <v>900.10344347026148</v>
      </c>
      <c r="AH286" s="17">
        <v>1541.2741945736698</v>
      </c>
      <c r="AI286" s="15">
        <f t="shared" si="56"/>
        <v>36.244567420297685</v>
      </c>
      <c r="AJ286" s="17">
        <f t="shared" si="57"/>
        <v>0.30000000000000004</v>
      </c>
      <c r="AK286" s="15">
        <f t="shared" si="58"/>
        <v>0.57989073631813981</v>
      </c>
      <c r="AL286" s="56">
        <v>1.5359</v>
      </c>
      <c r="AM286" s="56">
        <v>1.4395</v>
      </c>
      <c r="AN286" s="56">
        <f t="shared" si="59"/>
        <v>1.5053478981373021</v>
      </c>
      <c r="AO286" s="67">
        <f t="shared" si="60"/>
        <v>0.78404684419923631</v>
      </c>
      <c r="AR286" s="15"/>
    </row>
    <row r="287" spans="1:44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50"/>
        <v>4372.38</v>
      </c>
      <c r="M287" s="15"/>
      <c r="N287" s="15"/>
      <c r="O287" s="15"/>
      <c r="P287" s="15">
        <f t="shared" si="51"/>
        <v>80673246.275399998</v>
      </c>
      <c r="Q287" s="15"/>
      <c r="R287" s="15"/>
      <c r="S287" s="15">
        <v>475.83986311674261</v>
      </c>
      <c r="T287" s="15">
        <v>355</v>
      </c>
      <c r="U287" s="15">
        <v>210000</v>
      </c>
      <c r="V287" s="15">
        <f t="shared" si="52"/>
        <v>3.2620110678267924</v>
      </c>
      <c r="W287" s="63">
        <v>1.89161</v>
      </c>
      <c r="X287" s="15">
        <f t="shared" si="53"/>
        <v>0.57989073631813981</v>
      </c>
      <c r="Y287" s="15">
        <f>'Global Only'!Y287</f>
        <v>0.93465244226250221</v>
      </c>
      <c r="Z287" s="15">
        <f t="shared" si="54"/>
        <v>0.54199629294515006</v>
      </c>
      <c r="AA287" s="16">
        <v>0.51130565892707658</v>
      </c>
      <c r="AB287" s="15">
        <v>1.5093980321271014</v>
      </c>
      <c r="AC287" s="17">
        <v>0.5</v>
      </c>
      <c r="AD287" s="15"/>
      <c r="AE287" s="15"/>
      <c r="AF287" s="22" t="s">
        <v>5</v>
      </c>
      <c r="AG287" s="17">
        <f t="shared" si="55"/>
        <v>900.10344347026148</v>
      </c>
      <c r="AH287" s="17">
        <v>1428.3016898637995</v>
      </c>
      <c r="AI287" s="15">
        <f t="shared" si="56"/>
        <v>13.048044271307171</v>
      </c>
      <c r="AJ287" s="17">
        <f t="shared" si="57"/>
        <v>0.5</v>
      </c>
      <c r="AK287" s="15">
        <f t="shared" si="58"/>
        <v>0.57989073631813981</v>
      </c>
      <c r="AL287" s="5">
        <v>1.5359</v>
      </c>
      <c r="AM287" s="5">
        <v>1.4395</v>
      </c>
      <c r="AN287" s="5">
        <f t="shared" si="59"/>
        <v>1.5053478981373021</v>
      </c>
      <c r="AO287" s="5">
        <f t="shared" si="60"/>
        <v>0.94337482669613137</v>
      </c>
      <c r="AR287" s="15"/>
    </row>
    <row r="288" spans="1:44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50"/>
        <v>4372.38</v>
      </c>
      <c r="M288" s="15"/>
      <c r="N288" s="15"/>
      <c r="O288" s="15"/>
      <c r="P288" s="15">
        <f t="shared" si="51"/>
        <v>80673246.275399998</v>
      </c>
      <c r="Q288" s="15"/>
      <c r="R288" s="15"/>
      <c r="S288" s="15">
        <v>475.83986311674261</v>
      </c>
      <c r="T288" s="15">
        <v>355</v>
      </c>
      <c r="U288" s="15">
        <v>210000</v>
      </c>
      <c r="V288" s="15">
        <f t="shared" si="52"/>
        <v>3.2620110678267924</v>
      </c>
      <c r="W288" s="63">
        <v>1.89161</v>
      </c>
      <c r="X288" s="15">
        <f t="shared" si="53"/>
        <v>0.57989073631813981</v>
      </c>
      <c r="Y288" s="15">
        <f>'Global Only'!Y288</f>
        <v>0.74023901546435023</v>
      </c>
      <c r="Z288" s="15">
        <f t="shared" si="54"/>
        <v>0.42925774772903691</v>
      </c>
      <c r="AA288" s="16">
        <v>0.42926404391524042</v>
      </c>
      <c r="AB288" s="15">
        <v>1.5093980321271014</v>
      </c>
      <c r="AC288" s="17">
        <v>0.75</v>
      </c>
      <c r="AD288" s="15"/>
      <c r="AE288" s="15"/>
      <c r="AF288" s="22" t="s">
        <v>5</v>
      </c>
      <c r="AG288" s="17">
        <f t="shared" si="55"/>
        <v>900.10344347026148</v>
      </c>
      <c r="AH288" s="17">
        <v>1278.2236339801821</v>
      </c>
      <c r="AI288" s="15">
        <f t="shared" si="56"/>
        <v>5.7991307872476305</v>
      </c>
      <c r="AJ288" s="17">
        <f t="shared" si="57"/>
        <v>0.75</v>
      </c>
      <c r="AK288" s="15">
        <f t="shared" si="58"/>
        <v>0.57989073631813981</v>
      </c>
      <c r="AL288" s="5">
        <v>1.5359</v>
      </c>
      <c r="AM288" s="5">
        <v>1.4395</v>
      </c>
      <c r="AN288" s="5">
        <f t="shared" si="59"/>
        <v>1.5053478981373021</v>
      </c>
      <c r="AO288" s="5">
        <f t="shared" si="60"/>
        <v>1.0000146676122605</v>
      </c>
      <c r="AR288" s="15"/>
    </row>
    <row r="289" spans="1:44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50"/>
        <v>4372.38</v>
      </c>
      <c r="M289" s="15"/>
      <c r="N289" s="15"/>
      <c r="O289" s="15"/>
      <c r="P289" s="15">
        <f t="shared" si="51"/>
        <v>80673246.275399998</v>
      </c>
      <c r="Q289" s="15"/>
      <c r="R289" s="15"/>
      <c r="S289" s="15">
        <v>475.83986311674261</v>
      </c>
      <c r="T289" s="15">
        <v>355</v>
      </c>
      <c r="U289" s="15">
        <v>210000</v>
      </c>
      <c r="V289" s="15">
        <f t="shared" si="52"/>
        <v>3.2620110678267924</v>
      </c>
      <c r="W289" s="63">
        <v>1.89161</v>
      </c>
      <c r="X289" s="15">
        <f t="shared" si="53"/>
        <v>0.57989073631813981</v>
      </c>
      <c r="Y289" s="15">
        <f>'Global Only'!Y289</f>
        <v>0.64524468622447506</v>
      </c>
      <c r="Z289" s="15">
        <f t="shared" si="54"/>
        <v>0.37417141620007793</v>
      </c>
      <c r="AA289" s="16">
        <v>0.35611444390204494</v>
      </c>
      <c r="AB289" s="15">
        <v>1.5093980321271014</v>
      </c>
      <c r="AC289" s="17">
        <v>1</v>
      </c>
      <c r="AD289" s="15"/>
      <c r="AE289" s="15"/>
      <c r="AF289" s="22" t="s">
        <v>5</v>
      </c>
      <c r="AG289" s="17">
        <f t="shared" si="55"/>
        <v>900.10344347026148</v>
      </c>
      <c r="AH289" s="17">
        <v>1112.6517344021763</v>
      </c>
      <c r="AI289" s="15">
        <f t="shared" si="56"/>
        <v>3.2620110678267928</v>
      </c>
      <c r="AJ289" s="17">
        <f t="shared" si="57"/>
        <v>1</v>
      </c>
      <c r="AK289" s="15">
        <f t="shared" si="58"/>
        <v>0.57989073631813981</v>
      </c>
      <c r="AL289" s="5">
        <v>1.5359</v>
      </c>
      <c r="AM289" s="5">
        <v>1.4395</v>
      </c>
      <c r="AN289" s="5">
        <f t="shared" si="59"/>
        <v>1.5053478981373021</v>
      </c>
      <c r="AO289" s="5">
        <f t="shared" si="60"/>
        <v>0.95174144385102488</v>
      </c>
      <c r="AR289" s="15"/>
    </row>
    <row r="290" spans="1:44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50"/>
        <v>4372.38</v>
      </c>
      <c r="M290" s="15"/>
      <c r="N290" s="15"/>
      <c r="O290" s="15"/>
      <c r="P290" s="15">
        <f t="shared" si="51"/>
        <v>80673246.275399998</v>
      </c>
      <c r="Q290" s="15"/>
      <c r="R290" s="15"/>
      <c r="S290" s="15">
        <v>475.83986311674261</v>
      </c>
      <c r="T290" s="15">
        <v>355</v>
      </c>
      <c r="U290" s="15">
        <v>210000</v>
      </c>
      <c r="V290" s="15">
        <f t="shared" si="52"/>
        <v>3.2620110678267924</v>
      </c>
      <c r="W290" s="63">
        <v>1.89161</v>
      </c>
      <c r="X290" s="15">
        <f t="shared" si="53"/>
        <v>0.57989073631813981</v>
      </c>
      <c r="Y290" s="15">
        <f>'Global Only'!Y290</f>
        <v>0.47860450346298195</v>
      </c>
      <c r="Z290" s="15">
        <f t="shared" si="54"/>
        <v>0.27753831791832628</v>
      </c>
      <c r="AA290" s="16">
        <v>0.27430385773822069</v>
      </c>
      <c r="AB290" s="15">
        <v>1.5093980321271014</v>
      </c>
      <c r="AC290" s="17">
        <v>1.33</v>
      </c>
      <c r="AD290" s="15"/>
      <c r="AE290" s="15"/>
      <c r="AF290" s="22" t="s">
        <v>5</v>
      </c>
      <c r="AG290" s="17">
        <f t="shared" si="55"/>
        <v>900.10344347026148</v>
      </c>
      <c r="AH290" s="17">
        <v>885.89345278992414</v>
      </c>
      <c r="AI290" s="15">
        <f t="shared" si="56"/>
        <v>1.844090150843344</v>
      </c>
      <c r="AJ290" s="17">
        <f t="shared" si="57"/>
        <v>1.3300000000000003</v>
      </c>
      <c r="AK290" s="15">
        <f t="shared" si="58"/>
        <v>0.57989073631813981</v>
      </c>
      <c r="AL290" s="5">
        <v>1.5359</v>
      </c>
      <c r="AM290" s="5">
        <v>1.4395</v>
      </c>
      <c r="AN290" s="5">
        <f t="shared" si="59"/>
        <v>1.5053478981373021</v>
      </c>
      <c r="AO290" s="5">
        <f t="shared" si="60"/>
        <v>0.98834589686798702</v>
      </c>
      <c r="AR290" s="15"/>
    </row>
    <row r="291" spans="1:44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50"/>
        <v>4372.38</v>
      </c>
      <c r="M291" s="15"/>
      <c r="N291" s="15"/>
      <c r="O291" s="15"/>
      <c r="P291" s="15">
        <f t="shared" si="51"/>
        <v>80673246.275399998</v>
      </c>
      <c r="Q291" s="15"/>
      <c r="R291" s="15"/>
      <c r="S291" s="15">
        <v>475.83986311674261</v>
      </c>
      <c r="T291" s="15">
        <v>355</v>
      </c>
      <c r="U291" s="15">
        <v>210000</v>
      </c>
      <c r="V291" s="15">
        <f t="shared" si="52"/>
        <v>3.2620110678267924</v>
      </c>
      <c r="W291" s="63">
        <v>1.89161</v>
      </c>
      <c r="X291" s="15">
        <f t="shared" si="53"/>
        <v>0.57989073631813981</v>
      </c>
      <c r="Y291" s="15">
        <f>'Global Only'!Y291</f>
        <v>0.32406277938969347</v>
      </c>
      <c r="Z291" s="15">
        <f t="shared" si="54"/>
        <v>0.18792100375359225</v>
      </c>
      <c r="AA291" s="16">
        <v>0.20689965473367058</v>
      </c>
      <c r="AB291" s="15">
        <v>1.5093980321271014</v>
      </c>
      <c r="AC291" s="17">
        <v>1.67</v>
      </c>
      <c r="AD291" s="15"/>
      <c r="AE291" s="15"/>
      <c r="AF291" s="22" t="s">
        <v>5</v>
      </c>
      <c r="AG291" s="17">
        <f t="shared" si="55"/>
        <v>900.10344347026148</v>
      </c>
      <c r="AH291" s="17">
        <v>680.61378951775089</v>
      </c>
      <c r="AI291" s="15">
        <f t="shared" si="56"/>
        <v>1.1696407428831412</v>
      </c>
      <c r="AJ291" s="17">
        <f t="shared" si="57"/>
        <v>1.67</v>
      </c>
      <c r="AK291" s="15">
        <f t="shared" si="58"/>
        <v>0.57989073631813981</v>
      </c>
      <c r="AL291" s="5">
        <v>1.5359</v>
      </c>
      <c r="AM291" s="5">
        <v>1.4395</v>
      </c>
      <c r="AN291" s="5">
        <f t="shared" si="59"/>
        <v>1.5053478981373021</v>
      </c>
      <c r="AO291" s="5">
        <f t="shared" si="60"/>
        <v>1.100992707579211</v>
      </c>
      <c r="AR291" s="15"/>
    </row>
    <row r="292" spans="1:44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50"/>
        <v>4372.38</v>
      </c>
      <c r="M292" s="15"/>
      <c r="N292" s="15"/>
      <c r="O292" s="15"/>
      <c r="P292" s="15">
        <f t="shared" si="51"/>
        <v>80673246.275399998</v>
      </c>
      <c r="Q292" s="15"/>
      <c r="R292" s="15"/>
      <c r="S292" s="15">
        <v>475.83986311674261</v>
      </c>
      <c r="T292" s="15">
        <v>355</v>
      </c>
      <c r="U292" s="15">
        <v>210000</v>
      </c>
      <c r="V292" s="15">
        <f t="shared" si="52"/>
        <v>3.2620110678267924</v>
      </c>
      <c r="W292" s="63">
        <v>1.89161</v>
      </c>
      <c r="X292" s="15">
        <f t="shared" si="53"/>
        <v>0.57989073631813981</v>
      </c>
      <c r="Y292" s="15">
        <f>'Global Only'!Y292</f>
        <v>0.22483118510972766</v>
      </c>
      <c r="Z292" s="15">
        <f t="shared" si="54"/>
        <v>0.13037752148055998</v>
      </c>
      <c r="AA292" s="16">
        <v>0.15733170692323223</v>
      </c>
      <c r="AB292" s="15">
        <v>1.5093980321271014</v>
      </c>
      <c r="AC292" s="17">
        <v>2</v>
      </c>
      <c r="AD292" s="15"/>
      <c r="AE292" s="15"/>
      <c r="AF292" s="22" t="s">
        <v>5</v>
      </c>
      <c r="AG292" s="17">
        <f t="shared" si="55"/>
        <v>900.10344347026148</v>
      </c>
      <c r="AH292" s="17">
        <v>527.71404147143915</v>
      </c>
      <c r="AI292" s="15">
        <f t="shared" si="56"/>
        <v>0.81550276695669821</v>
      </c>
      <c r="AJ292" s="17">
        <f t="shared" si="57"/>
        <v>2</v>
      </c>
      <c r="AK292" s="15">
        <f t="shared" si="58"/>
        <v>0.57989073631813981</v>
      </c>
      <c r="AL292" s="5">
        <v>1.5359</v>
      </c>
      <c r="AM292" s="5">
        <v>1.4395</v>
      </c>
      <c r="AN292" s="5">
        <f t="shared" si="59"/>
        <v>1.5053478981373021</v>
      </c>
      <c r="AO292" s="5">
        <f t="shared" si="60"/>
        <v>1.2067395141170196</v>
      </c>
      <c r="AR292" s="15"/>
    </row>
    <row r="293" spans="1:44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50"/>
        <v>4372.38</v>
      </c>
      <c r="M293" s="42"/>
      <c r="N293" s="42"/>
      <c r="O293" s="42"/>
      <c r="P293" s="42">
        <f t="shared" si="51"/>
        <v>80673246.275399998</v>
      </c>
      <c r="Q293" s="42"/>
      <c r="R293" s="42"/>
      <c r="S293" s="42">
        <v>475.83986311674261</v>
      </c>
      <c r="T293" s="42">
        <v>355</v>
      </c>
      <c r="U293" s="42">
        <v>210000</v>
      </c>
      <c r="V293" s="42">
        <f t="shared" si="52"/>
        <v>3.2620110678267924</v>
      </c>
      <c r="W293" s="64">
        <v>1.89161</v>
      </c>
      <c r="X293" s="42">
        <f t="shared" si="53"/>
        <v>0.57989073631813981</v>
      </c>
      <c r="Y293" s="42">
        <f>'Global Only'!Y293</f>
        <v>0.14331896647601899</v>
      </c>
      <c r="Z293" s="42">
        <f t="shared" si="54"/>
        <v>8.3109340998133455E-2</v>
      </c>
      <c r="AA293" s="41">
        <v>0.1079388622077927</v>
      </c>
      <c r="AB293" s="42">
        <v>1.5093980321271014</v>
      </c>
      <c r="AC293" s="43">
        <v>2.5</v>
      </c>
      <c r="AD293" s="42"/>
      <c r="AE293" s="15"/>
      <c r="AF293" s="44" t="s">
        <v>5</v>
      </c>
      <c r="AG293" s="43">
        <f t="shared" si="55"/>
        <v>900.10344347026148</v>
      </c>
      <c r="AH293" s="43">
        <v>370.25188473625445</v>
      </c>
      <c r="AI293" s="42">
        <f t="shared" si="56"/>
        <v>0.52192177085228675</v>
      </c>
      <c r="AJ293" s="43">
        <f t="shared" si="57"/>
        <v>2.5</v>
      </c>
      <c r="AK293" s="42">
        <f t="shared" si="58"/>
        <v>0.57989073631813981</v>
      </c>
      <c r="AL293" s="5">
        <v>1.5359</v>
      </c>
      <c r="AM293" s="5">
        <v>1.4395</v>
      </c>
      <c r="AN293" s="5">
        <f t="shared" si="59"/>
        <v>1.5053478981373021</v>
      </c>
      <c r="AO293" s="5">
        <f t="shared" si="60"/>
        <v>1.2987572866233759</v>
      </c>
      <c r="AR293" s="42"/>
    </row>
    <row r="294" spans="1:44">
      <c r="AF294" s="10"/>
      <c r="AG294" s="6"/>
      <c r="AH294" s="6"/>
      <c r="AJ294" s="19"/>
    </row>
    <row r="295" spans="1:44">
      <c r="AF295" s="11"/>
      <c r="AG295" s="6"/>
      <c r="AH295" s="6"/>
      <c r="AJ295" s="19"/>
    </row>
    <row r="296" spans="1:44">
      <c r="AF296" s="18"/>
      <c r="AG296" s="6"/>
      <c r="AH296" s="6"/>
      <c r="AJ296" s="19"/>
    </row>
    <row r="297" spans="1:44">
      <c r="AF297" s="11"/>
      <c r="AG297" s="6"/>
      <c r="AH297" s="6"/>
      <c r="AJ297" s="19"/>
    </row>
  </sheetData>
  <mergeCells count="14">
    <mergeCell ref="AE4:AE5"/>
    <mergeCell ref="I2:J2"/>
    <mergeCell ref="I3:J3"/>
    <mergeCell ref="B4:R4"/>
    <mergeCell ref="T4:U4"/>
    <mergeCell ref="V4:AD4"/>
    <mergeCell ref="AM4:AM5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F1C31-03DF-4C81-AB7B-DBC0A81CF98D}">
  <sheetPr codeName="Sheet2"/>
  <dimension ref="A1:T290"/>
  <sheetViews>
    <sheetView topLeftCell="D1" zoomScaleNormal="100" workbookViewId="0">
      <pane ySplit="1" topLeftCell="A268" activePane="bottomLeft" state="frozen"/>
      <selection pane="bottomLeft" activeCell="T3" sqref="T3:T290"/>
    </sheetView>
  </sheetViews>
  <sheetFormatPr defaultRowHeight="15"/>
  <cols>
    <col min="1" max="1" width="11.42578125"/>
    <col min="2" max="2" width="16.5703125" customWidth="1"/>
    <col min="3" max="10" width="11.42578125"/>
    <col min="11" max="11" width="16.5703125" customWidth="1"/>
    <col min="14" max="14" width="12" style="73" bestFit="1" customWidth="1"/>
    <col min="18" max="18" width="12.42578125" bestFit="1" customWidth="1"/>
    <col min="19" max="19" width="13" customWidth="1"/>
    <col min="20" max="20" width="31.7109375" bestFit="1" customWidth="1"/>
  </cols>
  <sheetData>
    <row r="1" spans="1:20" ht="33.75" customHeight="1">
      <c r="A1" s="68" t="s">
        <v>935</v>
      </c>
      <c r="B1" s="68" t="s">
        <v>932</v>
      </c>
      <c r="C1" s="69" t="s">
        <v>933</v>
      </c>
      <c r="D1" s="69" t="s">
        <v>934</v>
      </c>
      <c r="E1" s="69" t="s">
        <v>936</v>
      </c>
      <c r="F1" s="69" t="s">
        <v>937</v>
      </c>
      <c r="G1" s="69" t="s">
        <v>938</v>
      </c>
      <c r="H1" s="69" t="s">
        <v>939</v>
      </c>
      <c r="I1" s="69" t="s">
        <v>940</v>
      </c>
      <c r="J1" s="69" t="s">
        <v>941</v>
      </c>
      <c r="K1" s="71"/>
      <c r="L1" s="70" t="s">
        <v>942</v>
      </c>
      <c r="M1" s="70" t="s">
        <v>516</v>
      </c>
      <c r="N1" s="72" t="s">
        <v>943</v>
      </c>
      <c r="O1" t="s">
        <v>944</v>
      </c>
      <c r="P1" t="s">
        <v>915</v>
      </c>
      <c r="Q1" t="s">
        <v>922</v>
      </c>
      <c r="R1" t="s">
        <v>945</v>
      </c>
      <c r="T1" s="110" t="s">
        <v>3</v>
      </c>
    </row>
    <row r="2" spans="1:20">
      <c r="A2">
        <v>1</v>
      </c>
      <c r="B2">
        <v>0.57989073631813981</v>
      </c>
      <c r="C2">
        <v>281</v>
      </c>
      <c r="D2">
        <v>0.88835673589373487</v>
      </c>
      <c r="I2">
        <v>0.3</v>
      </c>
      <c r="J2">
        <v>1.5</v>
      </c>
      <c r="T2" s="110"/>
    </row>
    <row r="3" spans="1:20">
      <c r="A3">
        <v>1</v>
      </c>
      <c r="B3">
        <v>0.57989073631813981</v>
      </c>
      <c r="C3">
        <v>282</v>
      </c>
      <c r="D3">
        <v>0.94337482669613149</v>
      </c>
      <c r="I3">
        <v>0.5</v>
      </c>
      <c r="L3" s="74">
        <v>1.0067908962997172</v>
      </c>
      <c r="M3" s="74">
        <v>1.0463296815800893</v>
      </c>
      <c r="N3" s="74">
        <f>L3/M3</f>
        <v>0.96221192423724078</v>
      </c>
      <c r="O3" s="74">
        <v>1.1513392501083863</v>
      </c>
      <c r="P3" s="74">
        <v>0.83573275569877326</v>
      </c>
      <c r="Q3">
        <v>0.3</v>
      </c>
      <c r="R3">
        <v>0.35247653168269572</v>
      </c>
      <c r="T3" s="15" t="s">
        <v>6</v>
      </c>
    </row>
    <row r="4" spans="1:20">
      <c r="A4">
        <v>1</v>
      </c>
      <c r="B4">
        <v>0.57989073631813981</v>
      </c>
      <c r="C4">
        <v>283</v>
      </c>
      <c r="D4">
        <v>1.0000146676122608</v>
      </c>
      <c r="I4">
        <v>0.75</v>
      </c>
      <c r="L4" s="74">
        <v>0.96515006472961806</v>
      </c>
      <c r="M4" s="74">
        <v>0.99845302751654974</v>
      </c>
      <c r="N4" s="74">
        <f t="shared" ref="N4:N67" si="0">L4/M4</f>
        <v>0.96664543862442276</v>
      </c>
      <c r="O4" s="74">
        <v>1.1513392501083863</v>
      </c>
      <c r="P4" s="74">
        <v>0.83958350115608693</v>
      </c>
      <c r="Q4" s="74">
        <v>0.5</v>
      </c>
      <c r="R4">
        <v>0.35247653168269572</v>
      </c>
      <c r="T4" s="15" t="s">
        <v>7</v>
      </c>
    </row>
    <row r="5" spans="1:20">
      <c r="A5">
        <v>1</v>
      </c>
      <c r="B5">
        <v>0.57989073631813981</v>
      </c>
      <c r="C5">
        <v>284</v>
      </c>
      <c r="D5">
        <v>0.95174144385102488</v>
      </c>
      <c r="I5">
        <v>1</v>
      </c>
      <c r="L5" s="74">
        <v>0.89541064436446482</v>
      </c>
      <c r="M5" s="74">
        <v>0.88989009666088248</v>
      </c>
      <c r="N5" s="74">
        <f t="shared" si="0"/>
        <v>1.006203628655153</v>
      </c>
      <c r="O5" s="74">
        <v>1.1513392501083863</v>
      </c>
      <c r="P5" s="74">
        <v>0.87394191465324378</v>
      </c>
      <c r="Q5" s="74">
        <v>0.75</v>
      </c>
      <c r="R5">
        <v>0.35247653168269572</v>
      </c>
      <c r="T5" s="15" t="s">
        <v>8</v>
      </c>
    </row>
    <row r="6" spans="1:20">
      <c r="A6">
        <v>1</v>
      </c>
      <c r="B6">
        <v>0.57989073631813981</v>
      </c>
      <c r="C6">
        <v>285</v>
      </c>
      <c r="D6">
        <v>0.98834589686798691</v>
      </c>
      <c r="I6">
        <v>1.33</v>
      </c>
      <c r="L6" s="74">
        <v>0.75820552227174076</v>
      </c>
      <c r="M6" s="74">
        <v>0.75091788808715376</v>
      </c>
      <c r="N6" s="74">
        <f t="shared" si="0"/>
        <v>1.0097049681465853</v>
      </c>
      <c r="O6" s="74">
        <v>1.1513392501083863</v>
      </c>
      <c r="P6" s="74">
        <v>0.87698301612798524</v>
      </c>
      <c r="Q6" s="74">
        <v>1</v>
      </c>
      <c r="R6">
        <v>0.35247653168269572</v>
      </c>
      <c r="T6" s="15" t="s">
        <v>9</v>
      </c>
    </row>
    <row r="7" spans="1:20">
      <c r="A7">
        <v>1</v>
      </c>
      <c r="B7">
        <v>0.57989073631813981</v>
      </c>
      <c r="C7">
        <v>286</v>
      </c>
      <c r="D7">
        <v>1.100992707579211</v>
      </c>
      <c r="I7">
        <v>1.67</v>
      </c>
      <c r="L7" s="74">
        <v>0.52086100830288262</v>
      </c>
      <c r="M7" s="74">
        <v>0.51975871500045656</v>
      </c>
      <c r="N7" s="74">
        <f t="shared" si="0"/>
        <v>1.0021207788741457</v>
      </c>
      <c r="O7" s="74">
        <v>1.1513392501083863</v>
      </c>
      <c r="P7" s="74">
        <v>0.87039574024754796</v>
      </c>
      <c r="Q7" s="74">
        <v>1.33</v>
      </c>
      <c r="R7">
        <v>0.35247653168269572</v>
      </c>
      <c r="T7" s="15" t="s">
        <v>10</v>
      </c>
    </row>
    <row r="8" spans="1:20">
      <c r="A8">
        <v>1</v>
      </c>
      <c r="B8">
        <v>0.57989073631813981</v>
      </c>
      <c r="C8">
        <v>287</v>
      </c>
      <c r="D8">
        <v>1.2067395141170196</v>
      </c>
      <c r="I8">
        <v>2</v>
      </c>
      <c r="L8" s="74">
        <v>0.34823805558162985</v>
      </c>
      <c r="M8" s="74">
        <v>0.34917267356870507</v>
      </c>
      <c r="N8" s="74">
        <f t="shared" si="0"/>
        <v>0.99732333582258026</v>
      </c>
      <c r="O8" s="74">
        <v>1.1513392501083863</v>
      </c>
      <c r="P8" s="74">
        <v>0.8662289031913859</v>
      </c>
      <c r="Q8" s="74">
        <v>1.67</v>
      </c>
      <c r="R8">
        <v>0.35247653168269572</v>
      </c>
      <c r="T8" s="15" t="s">
        <v>11</v>
      </c>
    </row>
    <row r="9" spans="1:20">
      <c r="A9">
        <v>1</v>
      </c>
      <c r="B9">
        <v>0.57989073631813981</v>
      </c>
      <c r="C9">
        <v>288</v>
      </c>
      <c r="D9">
        <v>1.2987572866233761</v>
      </c>
      <c r="I9">
        <v>2.5</v>
      </c>
      <c r="L9" s="74">
        <v>0.24788024543680795</v>
      </c>
      <c r="M9" s="74">
        <v>0.2490035367900556</v>
      </c>
      <c r="N9" s="74">
        <f t="shared" si="0"/>
        <v>0.99548885382220598</v>
      </c>
      <c r="O9" s="74">
        <v>1.1513392501083863</v>
      </c>
      <c r="P9" s="74">
        <v>0.86463555700762518</v>
      </c>
      <c r="Q9" s="74">
        <v>2</v>
      </c>
      <c r="R9">
        <v>0.35247653168269572</v>
      </c>
      <c r="T9" s="15" t="s">
        <v>12</v>
      </c>
    </row>
    <row r="10" spans="1:20">
      <c r="A10">
        <v>1</v>
      </c>
      <c r="B10">
        <v>0.58036876948907201</v>
      </c>
      <c r="C10">
        <v>185</v>
      </c>
      <c r="D10">
        <v>0.82133822462154926</v>
      </c>
      <c r="I10">
        <v>0.3</v>
      </c>
      <c r="L10" s="74">
        <v>0.16028394513750838</v>
      </c>
      <c r="M10" s="74">
        <v>0.16165743229309559</v>
      </c>
      <c r="N10" s="74">
        <f t="shared" si="0"/>
        <v>0.99150371785506908</v>
      </c>
      <c r="O10" s="74">
        <v>1.1513392501083863</v>
      </c>
      <c r="P10" s="74">
        <v>0.8611742522994239</v>
      </c>
      <c r="Q10" s="74">
        <v>2.5</v>
      </c>
      <c r="R10">
        <v>0.35247653168269572</v>
      </c>
      <c r="T10" s="15" t="s">
        <v>13</v>
      </c>
    </row>
    <row r="11" spans="1:20">
      <c r="A11">
        <v>1</v>
      </c>
      <c r="B11">
        <v>0.58036876948907201</v>
      </c>
      <c r="C11">
        <v>186</v>
      </c>
      <c r="D11">
        <v>0.84477386040973035</v>
      </c>
      <c r="I11">
        <v>0.5</v>
      </c>
      <c r="L11" s="74">
        <v>1.0015570241741261</v>
      </c>
      <c r="M11" s="74">
        <v>1.0487757710398216</v>
      </c>
      <c r="N11" s="74">
        <f t="shared" si="0"/>
        <v>0.95497727143440791</v>
      </c>
      <c r="O11" s="74">
        <v>1.0326179569210958</v>
      </c>
      <c r="P11" s="74">
        <v>0.92481179998245888</v>
      </c>
      <c r="Q11" s="74">
        <v>0.3</v>
      </c>
      <c r="R11">
        <v>0.50090177114795964</v>
      </c>
      <c r="T11" s="15" t="s">
        <v>14</v>
      </c>
    </row>
    <row r="12" spans="1:20">
      <c r="A12">
        <v>1</v>
      </c>
      <c r="B12">
        <v>0.58036876948907201</v>
      </c>
      <c r="C12">
        <v>187</v>
      </c>
      <c r="D12">
        <v>0.8286195718191105</v>
      </c>
      <c r="I12">
        <v>0.75</v>
      </c>
      <c r="L12" s="74">
        <v>0.95651061094233814</v>
      </c>
      <c r="M12" s="74">
        <v>0.99093595607241802</v>
      </c>
      <c r="N12" s="74">
        <f t="shared" si="0"/>
        <v>0.9652597678799294</v>
      </c>
      <c r="O12" s="74">
        <v>1.0326179569210958</v>
      </c>
      <c r="P12" s="74">
        <v>0.93476949670524334</v>
      </c>
      <c r="Q12" s="74">
        <v>0.5</v>
      </c>
      <c r="R12">
        <v>0.50090177114795964</v>
      </c>
      <c r="T12" s="15" t="s">
        <v>15</v>
      </c>
    </row>
    <row r="13" spans="1:20">
      <c r="A13">
        <v>1</v>
      </c>
      <c r="B13">
        <v>0.58036876948907201</v>
      </c>
      <c r="C13">
        <v>188</v>
      </c>
      <c r="D13">
        <v>0.8223863969000359</v>
      </c>
      <c r="I13">
        <v>1</v>
      </c>
      <c r="L13" s="74">
        <v>0.88305777487985138</v>
      </c>
      <c r="M13" s="74">
        <v>0.88146660481309747</v>
      </c>
      <c r="N13" s="74">
        <f t="shared" si="0"/>
        <v>1.0018051393644021</v>
      </c>
      <c r="O13" s="74">
        <v>1.0326179569210958</v>
      </c>
      <c r="P13" s="74">
        <v>0.97016048641206398</v>
      </c>
      <c r="Q13" s="74">
        <v>0.75</v>
      </c>
      <c r="R13">
        <v>0.50090177114795964</v>
      </c>
      <c r="T13" s="15" t="s">
        <v>133</v>
      </c>
    </row>
    <row r="14" spans="1:20">
      <c r="A14">
        <v>1</v>
      </c>
      <c r="B14">
        <v>0.58036876948907201</v>
      </c>
      <c r="C14">
        <v>189</v>
      </c>
      <c r="D14">
        <v>0.93291259228828505</v>
      </c>
      <c r="I14">
        <v>1.33</v>
      </c>
      <c r="L14" s="74">
        <v>0.75206410150780345</v>
      </c>
      <c r="M14" s="74">
        <v>0.74657677830827429</v>
      </c>
      <c r="N14" s="74">
        <f t="shared" si="0"/>
        <v>1.0073499784067264</v>
      </c>
      <c r="O14" s="74">
        <v>1.0326179569210958</v>
      </c>
      <c r="P14" s="74">
        <v>0.9755301771143805</v>
      </c>
      <c r="Q14" s="74">
        <v>1</v>
      </c>
      <c r="R14">
        <v>0.50090177114795964</v>
      </c>
      <c r="T14" s="15" t="s">
        <v>134</v>
      </c>
    </row>
    <row r="15" spans="1:20">
      <c r="A15">
        <v>1</v>
      </c>
      <c r="B15">
        <v>0.58036876948907201</v>
      </c>
      <c r="C15">
        <v>190</v>
      </c>
      <c r="D15">
        <v>1.0572664948872892</v>
      </c>
      <c r="I15">
        <v>1.67</v>
      </c>
      <c r="L15" s="74">
        <v>0.51755412839560466</v>
      </c>
      <c r="M15" s="74">
        <v>0.51787997704988276</v>
      </c>
      <c r="N15" s="74">
        <f t="shared" si="0"/>
        <v>0.99937080275600865</v>
      </c>
      <c r="O15" s="74">
        <v>1.0326179569210958</v>
      </c>
      <c r="P15" s="74">
        <v>0.96780304473474543</v>
      </c>
      <c r="Q15" s="74">
        <v>1.33</v>
      </c>
      <c r="R15">
        <v>0.50090177114795964</v>
      </c>
      <c r="T15" s="15" t="s">
        <v>135</v>
      </c>
    </row>
    <row r="16" spans="1:20">
      <c r="A16">
        <v>1</v>
      </c>
      <c r="B16">
        <v>0.58036876948907201</v>
      </c>
      <c r="C16">
        <v>191</v>
      </c>
      <c r="D16">
        <v>1.1382879242426307</v>
      </c>
      <c r="I16">
        <v>2</v>
      </c>
      <c r="L16" s="74">
        <v>0.34580789721458771</v>
      </c>
      <c r="M16" s="74">
        <v>0.34747550432859042</v>
      </c>
      <c r="N16" s="74">
        <f t="shared" si="0"/>
        <v>0.99520079230556135</v>
      </c>
      <c r="O16" s="74">
        <v>1.0326179569210958</v>
      </c>
      <c r="P16" s="74">
        <v>0.96376475504348258</v>
      </c>
      <c r="Q16" s="74">
        <v>1.67</v>
      </c>
      <c r="R16">
        <v>0.50090177114795964</v>
      </c>
      <c r="T16" s="15" t="s">
        <v>136</v>
      </c>
    </row>
    <row r="17" spans="1:20">
      <c r="A17">
        <v>1</v>
      </c>
      <c r="B17">
        <v>0.58036876948907201</v>
      </c>
      <c r="C17">
        <v>192</v>
      </c>
      <c r="D17">
        <v>1.2161616816880965</v>
      </c>
      <c r="I17">
        <v>2.5</v>
      </c>
      <c r="L17" s="74">
        <v>0.24605854039785843</v>
      </c>
      <c r="M17" s="74">
        <v>0.24759549892610452</v>
      </c>
      <c r="N17" s="74">
        <f t="shared" si="0"/>
        <v>0.99379246175753466</v>
      </c>
      <c r="O17" s="74">
        <v>1.0326179569210958</v>
      </c>
      <c r="P17" s="74">
        <v>0.9624009103237704</v>
      </c>
      <c r="Q17" s="74">
        <v>2</v>
      </c>
      <c r="R17">
        <v>0.50090177114795964</v>
      </c>
      <c r="T17" s="15" t="s">
        <v>137</v>
      </c>
    </row>
    <row r="18" spans="1:20">
      <c r="A18">
        <v>1</v>
      </c>
      <c r="B18">
        <v>0.58600394911666143</v>
      </c>
      <c r="C18">
        <v>89</v>
      </c>
      <c r="D18">
        <v>0.94268637734571137</v>
      </c>
      <c r="I18">
        <v>0.3</v>
      </c>
      <c r="L18" s="74">
        <v>0.15897214946893162</v>
      </c>
      <c r="M18" s="74">
        <v>0.16063857656897307</v>
      </c>
      <c r="N18" s="74">
        <f t="shared" si="0"/>
        <v>0.98962623340150224</v>
      </c>
      <c r="O18" s="74">
        <v>1.0326179569210958</v>
      </c>
      <c r="P18" s="74">
        <v>0.95836628325951279</v>
      </c>
      <c r="Q18" s="74">
        <v>2.5</v>
      </c>
      <c r="R18">
        <v>0.50090177114795964</v>
      </c>
      <c r="T18" s="15" t="s">
        <v>138</v>
      </c>
    </row>
    <row r="19" spans="1:20">
      <c r="A19">
        <v>1</v>
      </c>
      <c r="B19">
        <v>0.58600394911666143</v>
      </c>
      <c r="C19">
        <v>90</v>
      </c>
      <c r="D19">
        <v>0.97497020534097545</v>
      </c>
      <c r="I19">
        <v>0.5</v>
      </c>
      <c r="L19" s="74">
        <v>0.99537671610458078</v>
      </c>
      <c r="M19" s="74">
        <v>1.0498659350784161</v>
      </c>
      <c r="N19" s="74">
        <f t="shared" si="0"/>
        <v>0.9480988789585163</v>
      </c>
      <c r="O19" s="74">
        <v>1.011753934997377</v>
      </c>
      <c r="P19" s="74">
        <v>0.93708444925492129</v>
      </c>
      <c r="Q19" s="74">
        <v>0.3</v>
      </c>
      <c r="R19">
        <v>0.60431763065185862</v>
      </c>
      <c r="T19" s="15" t="s">
        <v>139</v>
      </c>
    </row>
    <row r="20" spans="1:20">
      <c r="A20">
        <v>1</v>
      </c>
      <c r="B20">
        <v>0.58600394911666143</v>
      </c>
      <c r="C20">
        <v>91</v>
      </c>
      <c r="D20">
        <v>0.98385264208557266</v>
      </c>
      <c r="I20">
        <v>0.75</v>
      </c>
      <c r="L20" s="74">
        <v>0.94942226065073898</v>
      </c>
      <c r="M20" s="74">
        <v>0.98857558118768551</v>
      </c>
      <c r="N20" s="74">
        <f t="shared" si="0"/>
        <v>0.96039420628829686</v>
      </c>
      <c r="O20" s="74">
        <v>1.011753934997377</v>
      </c>
      <c r="P20" s="74">
        <v>0.94923693703329826</v>
      </c>
      <c r="Q20" s="74">
        <v>0.5</v>
      </c>
      <c r="R20">
        <v>0.60431763065185862</v>
      </c>
      <c r="T20" s="15" t="s">
        <v>140</v>
      </c>
    </row>
    <row r="21" spans="1:20">
      <c r="A21">
        <v>1</v>
      </c>
      <c r="B21">
        <v>0.58600394911666143</v>
      </c>
      <c r="C21">
        <v>92</v>
      </c>
      <c r="D21">
        <v>0.97378735322300991</v>
      </c>
      <c r="I21">
        <v>1</v>
      </c>
      <c r="L21" s="74">
        <v>0.87443612984816188</v>
      </c>
      <c r="M21" s="74">
        <v>0.86833301178389988</v>
      </c>
      <c r="N21" s="74">
        <f t="shared" si="0"/>
        <v>1.0070285454790251</v>
      </c>
      <c r="O21" s="74">
        <v>1.011753934997377</v>
      </c>
      <c r="P21" s="74">
        <v>0.99532950715100099</v>
      </c>
      <c r="Q21" s="74">
        <v>0.75</v>
      </c>
      <c r="R21">
        <v>0.60431763065185862</v>
      </c>
      <c r="T21" s="15" t="s">
        <v>141</v>
      </c>
    </row>
    <row r="22" spans="1:20">
      <c r="A22">
        <v>1</v>
      </c>
      <c r="B22">
        <v>0.58600394911666143</v>
      </c>
      <c r="C22">
        <v>93</v>
      </c>
      <c r="D22">
        <v>1.0827948117655137</v>
      </c>
      <c r="I22">
        <v>1.33</v>
      </c>
      <c r="L22" s="74">
        <v>0.74831383929299977</v>
      </c>
      <c r="M22" s="74">
        <v>0.74453272341949794</v>
      </c>
      <c r="N22" s="74">
        <f t="shared" si="0"/>
        <v>1.0050785086465184</v>
      </c>
      <c r="O22" s="74">
        <v>1.011753934997377</v>
      </c>
      <c r="P22" s="74">
        <v>0.9934021246471596</v>
      </c>
      <c r="Q22" s="74">
        <v>1</v>
      </c>
      <c r="R22">
        <v>0.60431763065185862</v>
      </c>
      <c r="T22" s="15" t="s">
        <v>142</v>
      </c>
    </row>
    <row r="23" spans="1:20">
      <c r="A23">
        <v>1</v>
      </c>
      <c r="B23">
        <v>0.58600394911666143</v>
      </c>
      <c r="C23">
        <v>94</v>
      </c>
      <c r="D23">
        <v>1.218715174879007</v>
      </c>
      <c r="I23">
        <v>1.67</v>
      </c>
      <c r="L23" s="74">
        <v>0.51561086595903483</v>
      </c>
      <c r="M23" s="74">
        <v>0.51707664719923652</v>
      </c>
      <c r="N23" s="74">
        <f t="shared" si="0"/>
        <v>0.99716525345296259</v>
      </c>
      <c r="O23" s="74">
        <v>1.011753934997377</v>
      </c>
      <c r="P23" s="74">
        <v>0.98558080078586285</v>
      </c>
      <c r="Q23" s="74">
        <v>1.33</v>
      </c>
      <c r="R23">
        <v>0.60431763065185862</v>
      </c>
      <c r="T23" s="15" t="s">
        <v>143</v>
      </c>
    </row>
    <row r="24" spans="1:20">
      <c r="A24">
        <v>1</v>
      </c>
      <c r="B24">
        <v>0.58600394911666143</v>
      </c>
      <c r="C24">
        <v>95</v>
      </c>
      <c r="D24">
        <v>1.3132921918665295</v>
      </c>
      <c r="I24">
        <v>2</v>
      </c>
      <c r="L24" s="74">
        <v>0.3444480394134416</v>
      </c>
      <c r="M24" s="74">
        <v>0.34656665845145873</v>
      </c>
      <c r="N24" s="74">
        <f t="shared" si="0"/>
        <v>0.99388683537105493</v>
      </c>
      <c r="O24" s="74">
        <v>1.011753934997377</v>
      </c>
      <c r="P24" s="74">
        <v>0.98234046934903363</v>
      </c>
      <c r="Q24" s="74">
        <v>1.67</v>
      </c>
      <c r="R24">
        <v>0.60431763065185862</v>
      </c>
      <c r="T24" s="15" t="s">
        <v>144</v>
      </c>
    </row>
    <row r="25" spans="1:20">
      <c r="A25">
        <v>1</v>
      </c>
      <c r="B25">
        <v>0.58600394911666143</v>
      </c>
      <c r="C25">
        <v>96</v>
      </c>
      <c r="D25">
        <v>1.4047764335741024</v>
      </c>
      <c r="I25">
        <v>2.5</v>
      </c>
      <c r="L25" s="74">
        <v>0.24502437246036229</v>
      </c>
      <c r="M25" s="74">
        <v>0.2468287012358634</v>
      </c>
      <c r="N25" s="74">
        <f t="shared" si="0"/>
        <v>0.99268995555838169</v>
      </c>
      <c r="O25" s="74">
        <v>1.011753934997377</v>
      </c>
      <c r="P25" s="74">
        <v>0.98115749414995379</v>
      </c>
      <c r="Q25" s="74">
        <v>2</v>
      </c>
      <c r="R25">
        <v>0.60431763065185862</v>
      </c>
      <c r="T25" s="15" t="s">
        <v>145</v>
      </c>
    </row>
    <row r="26" spans="1:20">
      <c r="A26">
        <v>1</v>
      </c>
      <c r="B26">
        <v>0.66206942736160623</v>
      </c>
      <c r="C26">
        <v>177</v>
      </c>
      <c r="D26">
        <v>0.83314956468108226</v>
      </c>
      <c r="I26">
        <v>0.3</v>
      </c>
      <c r="L26" s="74">
        <v>0.15827159153975226</v>
      </c>
      <c r="M26" s="74">
        <v>0.16008865184120555</v>
      </c>
      <c r="N26" s="74">
        <f t="shared" si="0"/>
        <v>0.98864966204315552</v>
      </c>
      <c r="O26" s="74">
        <v>1.011753934997377</v>
      </c>
      <c r="P26" s="74">
        <v>0.977164138280044</v>
      </c>
      <c r="Q26" s="74">
        <v>2.5</v>
      </c>
      <c r="R26">
        <v>0.60431763065185862</v>
      </c>
      <c r="T26" s="15" t="s">
        <v>146</v>
      </c>
    </row>
    <row r="27" spans="1:20">
      <c r="A27">
        <v>1</v>
      </c>
      <c r="B27">
        <v>0.66206942736160623</v>
      </c>
      <c r="C27">
        <v>178</v>
      </c>
      <c r="D27">
        <v>0.85352107158563217</v>
      </c>
      <c r="I27">
        <v>0.5</v>
      </c>
      <c r="L27">
        <v>0.93331329772827099</v>
      </c>
      <c r="M27">
        <v>1.0509127095035344</v>
      </c>
      <c r="N27" s="73">
        <f t="shared" si="0"/>
        <v>0.88809783085522009</v>
      </c>
      <c r="O27">
        <v>0.88539732001610139</v>
      </c>
      <c r="P27">
        <v>1.0030500553571471</v>
      </c>
      <c r="Q27" s="74">
        <v>0.3</v>
      </c>
      <c r="R27">
        <v>0.80783434531025655</v>
      </c>
      <c r="T27" s="15" t="s">
        <v>147</v>
      </c>
    </row>
    <row r="28" spans="1:20">
      <c r="A28">
        <v>1</v>
      </c>
      <c r="B28">
        <v>0.66206942736160623</v>
      </c>
      <c r="C28">
        <v>179</v>
      </c>
      <c r="D28">
        <v>0.87736375873089634</v>
      </c>
      <c r="I28">
        <v>0.75</v>
      </c>
      <c r="L28">
        <v>0.90905985012181756</v>
      </c>
      <c r="M28">
        <v>0.98143183434266956</v>
      </c>
      <c r="N28" s="73">
        <f t="shared" si="0"/>
        <v>0.92625877652590682</v>
      </c>
      <c r="O28">
        <v>0.88539732001610139</v>
      </c>
      <c r="P28">
        <v>1.0461504181072769</v>
      </c>
      <c r="Q28">
        <v>0.5</v>
      </c>
      <c r="R28">
        <v>0.80783434531025655</v>
      </c>
      <c r="T28" s="15" t="s">
        <v>148</v>
      </c>
    </row>
    <row r="29" spans="1:20">
      <c r="A29">
        <v>1</v>
      </c>
      <c r="B29">
        <v>0.66206942736160623</v>
      </c>
      <c r="C29">
        <v>180</v>
      </c>
      <c r="D29">
        <v>0.92525670234520063</v>
      </c>
      <c r="I29">
        <v>1</v>
      </c>
      <c r="L29">
        <v>0.84886049840159417</v>
      </c>
      <c r="M29">
        <v>0.85848876160751908</v>
      </c>
      <c r="N29" s="73">
        <f t="shared" si="0"/>
        <v>0.98878463686828466</v>
      </c>
      <c r="O29">
        <v>0.88539732001610139</v>
      </c>
      <c r="P29">
        <v>1.1167694034247846</v>
      </c>
      <c r="Q29">
        <v>0.75</v>
      </c>
      <c r="R29">
        <v>0.80783434531025655</v>
      </c>
      <c r="T29" s="15" t="s">
        <v>149</v>
      </c>
    </row>
    <row r="30" spans="1:20">
      <c r="A30">
        <v>1</v>
      </c>
      <c r="B30">
        <v>0.66206942736160623</v>
      </c>
      <c r="C30">
        <v>181</v>
      </c>
      <c r="D30">
        <v>1.0917282721502326</v>
      </c>
      <c r="I30">
        <v>1.33</v>
      </c>
      <c r="L30">
        <v>0.73814447338597267</v>
      </c>
      <c r="M30">
        <v>0.74223566852939438</v>
      </c>
      <c r="N30" s="73">
        <f t="shared" si="0"/>
        <v>0.99448801059166603</v>
      </c>
      <c r="O30">
        <v>0.88539732001610139</v>
      </c>
      <c r="P30">
        <v>1.1232110015575614</v>
      </c>
      <c r="Q30">
        <v>1</v>
      </c>
      <c r="R30">
        <v>0.80783434531025655</v>
      </c>
      <c r="T30" s="15" t="s">
        <v>150</v>
      </c>
    </row>
    <row r="31" spans="1:20">
      <c r="A31">
        <v>1</v>
      </c>
      <c r="B31">
        <v>0.66206942736160623</v>
      </c>
      <c r="C31">
        <v>182</v>
      </c>
      <c r="D31">
        <v>1.2223474736185891</v>
      </c>
      <c r="I31">
        <v>1.67</v>
      </c>
      <c r="L31">
        <v>0.51157593476810537</v>
      </c>
      <c r="M31">
        <v>0.51570120023942878</v>
      </c>
      <c r="N31" s="73">
        <f t="shared" si="0"/>
        <v>0.99200066730616854</v>
      </c>
      <c r="O31">
        <v>0.88539732001610139</v>
      </c>
      <c r="P31">
        <v>1.120401705403997</v>
      </c>
      <c r="Q31">
        <v>1.33</v>
      </c>
      <c r="R31">
        <v>0.80783434531025655</v>
      </c>
      <c r="T31" s="15" t="s">
        <v>151</v>
      </c>
    </row>
    <row r="32" spans="1:20">
      <c r="A32">
        <v>1</v>
      </c>
      <c r="B32">
        <v>0.66206942736160623</v>
      </c>
      <c r="C32">
        <v>183</v>
      </c>
      <c r="D32">
        <v>1.2692385897168403</v>
      </c>
      <c r="I32">
        <v>2</v>
      </c>
      <c r="L32">
        <v>0.34188295647081196</v>
      </c>
      <c r="M32">
        <v>0.34505216799065097</v>
      </c>
      <c r="N32" s="73">
        <f t="shared" si="0"/>
        <v>0.99081526849028556</v>
      </c>
      <c r="O32">
        <v>0.88539732001610139</v>
      </c>
      <c r="P32">
        <v>1.1190628727815295</v>
      </c>
      <c r="Q32">
        <v>1.67</v>
      </c>
      <c r="R32">
        <v>0.80783434531025655</v>
      </c>
      <c r="T32" s="15" t="s">
        <v>152</v>
      </c>
    </row>
    <row r="33" spans="1:20">
      <c r="A33">
        <v>1</v>
      </c>
      <c r="B33">
        <v>0.66206942736160623</v>
      </c>
      <c r="C33">
        <v>184</v>
      </c>
      <c r="D33">
        <v>1.2906260520306219</v>
      </c>
      <c r="I33">
        <v>2.5</v>
      </c>
      <c r="L33">
        <v>0.24322004368486122</v>
      </c>
      <c r="M33">
        <v>0.24556135505338192</v>
      </c>
      <c r="N33" s="73">
        <f t="shared" si="0"/>
        <v>0.99046547300567012</v>
      </c>
      <c r="O33">
        <v>0.88539732001610139</v>
      </c>
      <c r="P33">
        <v>1.1186678010135134</v>
      </c>
      <c r="Q33">
        <v>2</v>
      </c>
      <c r="R33">
        <v>0.80783434531025655</v>
      </c>
      <c r="T33" s="15" t="s">
        <v>153</v>
      </c>
    </row>
    <row r="34" spans="1:20">
      <c r="A34">
        <v>1</v>
      </c>
      <c r="B34">
        <v>0.66500225422673287</v>
      </c>
      <c r="C34">
        <v>273</v>
      </c>
      <c r="D34">
        <v>0.9035324720711867</v>
      </c>
      <c r="I34">
        <v>0.3</v>
      </c>
      <c r="L34">
        <v>0.15717741921492379</v>
      </c>
      <c r="M34">
        <v>0.15913073065333252</v>
      </c>
      <c r="N34" s="73">
        <f t="shared" si="0"/>
        <v>0.98772511487637138</v>
      </c>
      <c r="O34">
        <v>0.88539732001610139</v>
      </c>
      <c r="P34">
        <v>1.1155727406746716</v>
      </c>
      <c r="Q34">
        <v>2.5</v>
      </c>
      <c r="R34">
        <v>0.80783434531025655</v>
      </c>
      <c r="T34" s="15" t="s">
        <v>154</v>
      </c>
    </row>
    <row r="35" spans="1:20">
      <c r="A35">
        <v>1</v>
      </c>
      <c r="B35">
        <v>0.66500225422673287</v>
      </c>
      <c r="C35">
        <v>274</v>
      </c>
      <c r="D35">
        <v>0.95471008280857828</v>
      </c>
      <c r="I35">
        <v>0.5</v>
      </c>
      <c r="L35">
        <v>0.84994286728420476</v>
      </c>
      <c r="M35">
        <v>1.0483689934134801</v>
      </c>
      <c r="N35" s="73">
        <f t="shared" si="0"/>
        <v>0.81072873446666749</v>
      </c>
      <c r="O35">
        <v>0.81980691750807566</v>
      </c>
      <c r="P35">
        <v>0.98892643761899113</v>
      </c>
      <c r="Q35">
        <v>0.3</v>
      </c>
      <c r="R35">
        <v>1.107313728755202</v>
      </c>
      <c r="T35" s="15" t="s">
        <v>155</v>
      </c>
    </row>
    <row r="36" spans="1:20">
      <c r="A36">
        <v>1</v>
      </c>
      <c r="B36">
        <v>0.66500225422673287</v>
      </c>
      <c r="C36">
        <v>275</v>
      </c>
      <c r="D36">
        <v>1.0659703277222221</v>
      </c>
      <c r="I36">
        <v>0.75</v>
      </c>
      <c r="L36">
        <v>0.82151402735625823</v>
      </c>
      <c r="M36">
        <v>0.97455543608153627</v>
      </c>
      <c r="N36" s="73">
        <f t="shared" si="0"/>
        <v>0.84296284946023958</v>
      </c>
      <c r="O36">
        <v>0.81980691750807566</v>
      </c>
      <c r="P36">
        <v>1.0282455922945244</v>
      </c>
      <c r="Q36">
        <v>0.5</v>
      </c>
      <c r="R36">
        <v>1.107313728755202</v>
      </c>
      <c r="T36" s="15" t="s">
        <v>156</v>
      </c>
    </row>
    <row r="37" spans="1:20">
      <c r="A37">
        <v>1</v>
      </c>
      <c r="B37">
        <v>0.66500225422673287</v>
      </c>
      <c r="C37">
        <v>276</v>
      </c>
      <c r="D37">
        <v>1.0649548146904824</v>
      </c>
      <c r="I37">
        <v>1</v>
      </c>
      <c r="L37">
        <v>0.7732313727007224</v>
      </c>
      <c r="M37">
        <v>0.85178127633234824</v>
      </c>
      <c r="N37" s="73">
        <f t="shared" si="0"/>
        <v>0.9077816033127063</v>
      </c>
      <c r="O37">
        <v>0.81980691750807566</v>
      </c>
      <c r="P37">
        <v>1.1073114704521434</v>
      </c>
      <c r="Q37">
        <v>0.75</v>
      </c>
      <c r="R37">
        <v>1.107313728755202</v>
      </c>
      <c r="T37" s="15" t="s">
        <v>157</v>
      </c>
    </row>
    <row r="38" spans="1:20">
      <c r="A38">
        <v>1</v>
      </c>
      <c r="B38">
        <v>0.66500225422673287</v>
      </c>
      <c r="C38">
        <v>277</v>
      </c>
      <c r="D38">
        <v>1.1451899920653652</v>
      </c>
      <c r="I38">
        <v>1.33</v>
      </c>
      <c r="L38">
        <v>0.6985036926901329</v>
      </c>
      <c r="M38">
        <v>0.74034896729998056</v>
      </c>
      <c r="N38" s="73">
        <f t="shared" si="0"/>
        <v>0.94347898564314137</v>
      </c>
      <c r="O38">
        <v>0.81980691750807566</v>
      </c>
      <c r="P38">
        <v>1.1508551166059751</v>
      </c>
      <c r="Q38">
        <v>1</v>
      </c>
      <c r="R38">
        <v>1.107313728755202</v>
      </c>
      <c r="T38" s="15" t="s">
        <v>158</v>
      </c>
    </row>
    <row r="39" spans="1:20">
      <c r="A39">
        <v>1</v>
      </c>
      <c r="B39">
        <v>0.66500225422673287</v>
      </c>
      <c r="C39">
        <v>278</v>
      </c>
      <c r="D39">
        <v>1.2624826177411099</v>
      </c>
      <c r="I39">
        <v>1.67</v>
      </c>
      <c r="L39">
        <v>0.50468471966376738</v>
      </c>
      <c r="M39">
        <v>0.51417196992133141</v>
      </c>
      <c r="N39" s="73">
        <f t="shared" si="0"/>
        <v>0.98154848803015149</v>
      </c>
      <c r="O39">
        <v>0.81980691750807566</v>
      </c>
      <c r="P39">
        <v>1.1972922734217872</v>
      </c>
      <c r="Q39">
        <v>1.33</v>
      </c>
      <c r="R39">
        <v>1.107313728755202</v>
      </c>
      <c r="T39" s="15" t="s">
        <v>159</v>
      </c>
    </row>
    <row r="40" spans="1:20">
      <c r="A40">
        <v>1</v>
      </c>
      <c r="B40">
        <v>0.66500225422673287</v>
      </c>
      <c r="C40">
        <v>279</v>
      </c>
      <c r="D40">
        <v>1.3402610346866022</v>
      </c>
      <c r="I40">
        <v>2</v>
      </c>
      <c r="L40">
        <v>0.3390146722347272</v>
      </c>
      <c r="M40">
        <v>0.34350887340696468</v>
      </c>
      <c r="N40" s="73">
        <f t="shared" si="0"/>
        <v>0.98691678288347129</v>
      </c>
      <c r="O40">
        <v>0.81980691750807566</v>
      </c>
      <c r="P40">
        <v>1.2038405163539616</v>
      </c>
      <c r="Q40">
        <v>1.67</v>
      </c>
      <c r="R40">
        <v>1.107313728755202</v>
      </c>
      <c r="T40" s="15" t="s">
        <v>160</v>
      </c>
    </row>
    <row r="41" spans="1:20">
      <c r="A41">
        <v>1</v>
      </c>
      <c r="B41">
        <v>0.66500225422673287</v>
      </c>
      <c r="C41">
        <v>280</v>
      </c>
      <c r="D41">
        <v>1.381056009325754</v>
      </c>
      <c r="I41">
        <v>2.5</v>
      </c>
      <c r="L41">
        <v>0.24138768867799157</v>
      </c>
      <c r="M41">
        <v>0.24435398500602878</v>
      </c>
      <c r="N41" s="73">
        <f t="shared" si="0"/>
        <v>0.9878606590845489</v>
      </c>
      <c r="O41">
        <v>0.81980691750807566</v>
      </c>
      <c r="P41">
        <v>1.2049918559937227</v>
      </c>
      <c r="Q41">
        <v>2</v>
      </c>
      <c r="R41">
        <v>1.107313728755202</v>
      </c>
      <c r="T41" s="15" t="s">
        <v>161</v>
      </c>
    </row>
    <row r="42" spans="1:20">
      <c r="A42">
        <v>1</v>
      </c>
      <c r="B42">
        <v>0.66862420737717243</v>
      </c>
      <c r="C42">
        <v>81</v>
      </c>
      <c r="D42">
        <v>0.97980400391029798</v>
      </c>
      <c r="I42">
        <v>0.3</v>
      </c>
      <c r="L42">
        <v>0.15619111237351838</v>
      </c>
      <c r="M42">
        <v>0.15809560048785146</v>
      </c>
      <c r="N42" s="73">
        <f t="shared" si="0"/>
        <v>0.98795356664919065</v>
      </c>
      <c r="O42">
        <v>0.81980691750807566</v>
      </c>
      <c r="P42">
        <v>1.2051051845869043</v>
      </c>
      <c r="Q42">
        <v>2.5</v>
      </c>
      <c r="R42">
        <v>1.107313728755202</v>
      </c>
      <c r="T42" s="15" t="s">
        <v>162</v>
      </c>
    </row>
    <row r="43" spans="1:20">
      <c r="A43">
        <v>1</v>
      </c>
      <c r="B43">
        <v>0.66862420737717243</v>
      </c>
      <c r="C43">
        <v>82</v>
      </c>
      <c r="D43">
        <v>1.0205911188655339</v>
      </c>
      <c r="I43">
        <v>0.5</v>
      </c>
      <c r="L43">
        <v>0.83774496219565131</v>
      </c>
      <c r="M43">
        <v>1.0465818837084213</v>
      </c>
      <c r="N43" s="73">
        <f t="shared" si="0"/>
        <v>0.80045811535282396</v>
      </c>
      <c r="O43">
        <v>0.81794598367806093</v>
      </c>
      <c r="P43">
        <v>0.97861977603142059</v>
      </c>
      <c r="Q43">
        <v>0.3</v>
      </c>
      <c r="R43">
        <v>1.4992191540155151</v>
      </c>
      <c r="T43" s="15" t="s">
        <v>163</v>
      </c>
    </row>
    <row r="44" spans="1:20">
      <c r="A44">
        <v>1</v>
      </c>
      <c r="B44">
        <v>0.66862420737717243</v>
      </c>
      <c r="C44">
        <v>83</v>
      </c>
      <c r="D44">
        <v>1.0704030952011978</v>
      </c>
      <c r="I44">
        <v>0.75</v>
      </c>
      <c r="L44">
        <v>0.79550414125398938</v>
      </c>
      <c r="M44">
        <v>0.96608458050030854</v>
      </c>
      <c r="N44" s="73">
        <f t="shared" si="0"/>
        <v>0.82343115428052871</v>
      </c>
      <c r="O44">
        <v>0.81794598367806093</v>
      </c>
      <c r="P44">
        <v>1.0067060303637687</v>
      </c>
      <c r="Q44">
        <v>0.5</v>
      </c>
      <c r="R44">
        <v>1.4992191540155151</v>
      </c>
      <c r="T44" s="15" t="s">
        <v>164</v>
      </c>
    </row>
    <row r="45" spans="1:20">
      <c r="A45">
        <v>1</v>
      </c>
      <c r="B45">
        <v>0.66862420737717243</v>
      </c>
      <c r="C45">
        <v>84</v>
      </c>
      <c r="D45">
        <v>1.1102326249433569</v>
      </c>
      <c r="I45">
        <v>1</v>
      </c>
      <c r="L45">
        <v>0.73604198314550606</v>
      </c>
      <c r="M45">
        <v>0.84753485360127279</v>
      </c>
      <c r="N45" s="73">
        <f t="shared" si="0"/>
        <v>0.86845040061536027</v>
      </c>
      <c r="O45">
        <v>0.81794598367806093</v>
      </c>
      <c r="P45">
        <v>1.0617454183345896</v>
      </c>
      <c r="Q45">
        <v>0.75</v>
      </c>
      <c r="R45">
        <v>1.4992191540155151</v>
      </c>
      <c r="T45" s="15" t="s">
        <v>165</v>
      </c>
    </row>
    <row r="46" spans="1:20">
      <c r="A46">
        <v>1</v>
      </c>
      <c r="B46">
        <v>0.66862420737717243</v>
      </c>
      <c r="C46">
        <v>85</v>
      </c>
      <c r="D46">
        <v>1.2443519659723461</v>
      </c>
      <c r="I46">
        <v>1.33</v>
      </c>
      <c r="L46">
        <v>0.6645199303166649</v>
      </c>
      <c r="M46">
        <v>0.73926600387966357</v>
      </c>
      <c r="N46" s="73">
        <f t="shared" si="0"/>
        <v>0.89889150431545384</v>
      </c>
      <c r="O46">
        <v>0.81794598367806093</v>
      </c>
      <c r="P46">
        <v>1.0989619391165721</v>
      </c>
      <c r="Q46">
        <v>1</v>
      </c>
      <c r="R46">
        <v>1.4992191540155151</v>
      </c>
      <c r="T46" s="15" t="s">
        <v>166</v>
      </c>
    </row>
    <row r="47" spans="1:20">
      <c r="A47">
        <v>1</v>
      </c>
      <c r="B47">
        <v>0.66862420737717243</v>
      </c>
      <c r="C47">
        <v>86</v>
      </c>
      <c r="D47">
        <v>1.3321724578481891</v>
      </c>
      <c r="I47">
        <v>1.67</v>
      </c>
      <c r="L47">
        <v>0.49249711966728449</v>
      </c>
      <c r="M47">
        <v>0.51260832654403632</v>
      </c>
      <c r="N47" s="73">
        <f t="shared" si="0"/>
        <v>0.96076691338133358</v>
      </c>
      <c r="O47">
        <v>0.81794598367806093</v>
      </c>
      <c r="P47">
        <v>1.174609243829341</v>
      </c>
      <c r="Q47">
        <v>1.33</v>
      </c>
      <c r="R47">
        <v>1.4992191540155151</v>
      </c>
      <c r="T47" s="15" t="s">
        <v>167</v>
      </c>
    </row>
    <row r="48" spans="1:20">
      <c r="A48">
        <v>1</v>
      </c>
      <c r="B48">
        <v>0.66862420737717243</v>
      </c>
      <c r="C48">
        <v>87</v>
      </c>
      <c r="D48">
        <v>1.3685131282767748</v>
      </c>
      <c r="I48">
        <v>2</v>
      </c>
      <c r="L48">
        <v>0.33543538096549053</v>
      </c>
      <c r="M48">
        <v>0.3423097122913501</v>
      </c>
      <c r="N48" s="73">
        <f t="shared" si="0"/>
        <v>0.97991780227372394</v>
      </c>
      <c r="O48">
        <v>0.81794598367806093</v>
      </c>
      <c r="P48">
        <v>1.1980226345355027</v>
      </c>
      <c r="Q48">
        <v>1.67</v>
      </c>
      <c r="R48">
        <v>1.4992191540155151</v>
      </c>
      <c r="T48" s="15" t="s">
        <v>168</v>
      </c>
    </row>
    <row r="49" spans="1:20">
      <c r="A49">
        <v>1</v>
      </c>
      <c r="B49">
        <v>0.66862420737717243</v>
      </c>
      <c r="C49">
        <v>88</v>
      </c>
      <c r="D49">
        <v>1.3963421087933217</v>
      </c>
      <c r="I49">
        <v>2.5</v>
      </c>
      <c r="L49">
        <v>0.23972124896082345</v>
      </c>
      <c r="M49">
        <v>0.24348124816121539</v>
      </c>
      <c r="N49" s="73">
        <f t="shared" si="0"/>
        <v>0.98455733561090364</v>
      </c>
      <c r="O49">
        <v>0.81794598367806093</v>
      </c>
      <c r="P49">
        <v>1.2036948102411857</v>
      </c>
      <c r="Q49">
        <v>2</v>
      </c>
      <c r="R49">
        <v>1.4992191540155151</v>
      </c>
      <c r="T49" s="31" t="s">
        <v>169</v>
      </c>
    </row>
    <row r="50" spans="1:20">
      <c r="A50">
        <v>1</v>
      </c>
      <c r="B50">
        <v>0.79819398974097666</v>
      </c>
      <c r="C50">
        <v>265</v>
      </c>
      <c r="D50">
        <v>0.91635642729348599</v>
      </c>
      <c r="I50">
        <v>0.3</v>
      </c>
      <c r="L50" s="74">
        <v>0.15541372394211139</v>
      </c>
      <c r="M50" s="74">
        <v>0.15735795197138983</v>
      </c>
      <c r="N50" s="74">
        <f t="shared" si="0"/>
        <v>0.98764455176925581</v>
      </c>
      <c r="O50" s="74">
        <v>0.81794598367806093</v>
      </c>
      <c r="P50" s="74">
        <v>1.2074691623621778</v>
      </c>
      <c r="Q50" s="74">
        <v>2.5</v>
      </c>
      <c r="R50" s="74">
        <v>1.4992191540155151</v>
      </c>
      <c r="S50" s="74"/>
      <c r="T50" s="25" t="s">
        <v>170</v>
      </c>
    </row>
    <row r="51" spans="1:20">
      <c r="A51">
        <v>1</v>
      </c>
      <c r="B51">
        <v>0.79819398974097666</v>
      </c>
      <c r="C51">
        <v>266</v>
      </c>
      <c r="D51">
        <v>0.98629337369463688</v>
      </c>
      <c r="I51">
        <v>0.5</v>
      </c>
      <c r="L51">
        <v>0.9969658606981544</v>
      </c>
      <c r="M51">
        <v>1.0445452837258726</v>
      </c>
      <c r="N51" s="73">
        <f t="shared" si="0"/>
        <v>0.95444963107965664</v>
      </c>
      <c r="O51">
        <v>1.093434418979423</v>
      </c>
      <c r="P51">
        <v>0.87289151915531404</v>
      </c>
      <c r="Q51">
        <v>0.3</v>
      </c>
      <c r="R51">
        <v>0.35022897823777349</v>
      </c>
      <c r="T51" s="36" t="s">
        <v>171</v>
      </c>
    </row>
    <row r="52" spans="1:20">
      <c r="A52">
        <v>1</v>
      </c>
      <c r="B52">
        <v>0.79819398974097666</v>
      </c>
      <c r="C52">
        <v>267</v>
      </c>
      <c r="D52">
        <v>1.1231194383044436</v>
      </c>
      <c r="I52">
        <v>0.75</v>
      </c>
      <c r="L52">
        <v>0.93126423385890578</v>
      </c>
      <c r="M52">
        <v>0.96197560136423332</v>
      </c>
      <c r="N52" s="73">
        <f t="shared" si="0"/>
        <v>0.968074691851047</v>
      </c>
      <c r="O52">
        <v>1.093434418979423</v>
      </c>
      <c r="P52">
        <v>0.8853523129028783</v>
      </c>
      <c r="Q52">
        <v>0.5</v>
      </c>
      <c r="R52">
        <v>0.35022897823777349</v>
      </c>
      <c r="T52" s="15" t="s">
        <v>172</v>
      </c>
    </row>
    <row r="53" spans="1:20">
      <c r="A53">
        <v>1</v>
      </c>
      <c r="B53">
        <v>0.79819398974097666</v>
      </c>
      <c r="C53">
        <v>268</v>
      </c>
      <c r="D53">
        <v>1.1242063653776238</v>
      </c>
      <c r="I53">
        <v>1</v>
      </c>
      <c r="L53">
        <v>0.84537498389671217</v>
      </c>
      <c r="M53">
        <v>0.85650326670479504</v>
      </c>
      <c r="N53" s="73">
        <f t="shared" si="0"/>
        <v>0.98700730838903106</v>
      </c>
      <c r="O53">
        <v>1.093434418979423</v>
      </c>
      <c r="P53">
        <v>0.90266712960277251</v>
      </c>
      <c r="Q53">
        <v>0.75</v>
      </c>
      <c r="R53">
        <v>0.35022897823777349</v>
      </c>
      <c r="T53" s="15" t="s">
        <v>173</v>
      </c>
    </row>
    <row r="54" spans="1:20">
      <c r="A54">
        <v>1</v>
      </c>
      <c r="B54">
        <v>0.79819398974097666</v>
      </c>
      <c r="C54">
        <v>269</v>
      </c>
      <c r="D54">
        <v>1.1520124340321165</v>
      </c>
      <c r="I54">
        <v>1.33</v>
      </c>
      <c r="L54">
        <v>0.73633490630330534</v>
      </c>
      <c r="M54">
        <v>0.74895251002805896</v>
      </c>
      <c r="N54" s="73">
        <f t="shared" si="0"/>
        <v>0.98315299894744879</v>
      </c>
      <c r="O54">
        <v>1.093434418979423</v>
      </c>
      <c r="P54">
        <v>0.8991421724817229</v>
      </c>
      <c r="Q54">
        <v>1</v>
      </c>
      <c r="R54">
        <v>0.35022897823777349</v>
      </c>
      <c r="T54" s="15" t="s">
        <v>174</v>
      </c>
    </row>
    <row r="55" spans="1:20">
      <c r="A55">
        <v>1</v>
      </c>
      <c r="B55">
        <v>0.79819398974097666</v>
      </c>
      <c r="C55">
        <v>270</v>
      </c>
      <c r="D55">
        <v>1.1925998574674825</v>
      </c>
      <c r="I55">
        <v>1.67</v>
      </c>
      <c r="L55">
        <v>0.50902291593887639</v>
      </c>
      <c r="M55">
        <v>0.51408378645713715</v>
      </c>
      <c r="N55" s="73">
        <f t="shared" si="0"/>
        <v>0.99015555313825732</v>
      </c>
      <c r="O55">
        <v>1.093434418979423</v>
      </c>
      <c r="P55">
        <v>0.90554635554863661</v>
      </c>
      <c r="Q55">
        <v>1.33</v>
      </c>
      <c r="R55">
        <v>0.35022897823777349</v>
      </c>
      <c r="T55" s="15" t="s">
        <v>175</v>
      </c>
    </row>
    <row r="56" spans="1:20">
      <c r="A56">
        <v>1</v>
      </c>
      <c r="B56">
        <v>0.79819398974097666</v>
      </c>
      <c r="C56">
        <v>271</v>
      </c>
      <c r="D56">
        <v>1.214742640324906</v>
      </c>
      <c r="I56">
        <v>2</v>
      </c>
      <c r="L56">
        <v>0.34041015618785403</v>
      </c>
      <c r="M56">
        <v>0.34372717833825228</v>
      </c>
      <c r="N56" s="73">
        <f t="shared" si="0"/>
        <v>0.99034984034013729</v>
      </c>
      <c r="O56">
        <v>1.093434418979423</v>
      </c>
      <c r="P56">
        <v>0.9057240408295345</v>
      </c>
      <c r="Q56">
        <v>1.67</v>
      </c>
      <c r="R56">
        <v>0.35022897823777349</v>
      </c>
      <c r="T56" s="15" t="s">
        <v>176</v>
      </c>
    </row>
    <row r="57" spans="1:20">
      <c r="A57">
        <v>1</v>
      </c>
      <c r="B57">
        <v>0.79819398974097666</v>
      </c>
      <c r="C57">
        <v>272</v>
      </c>
      <c r="D57">
        <v>1.2260389029208716</v>
      </c>
      <c r="I57">
        <v>2.5</v>
      </c>
      <c r="L57">
        <v>0.24252219052378668</v>
      </c>
      <c r="M57">
        <v>0.24487751500799163</v>
      </c>
      <c r="N57" s="73">
        <f t="shared" si="0"/>
        <v>0.99038162207694702</v>
      </c>
      <c r="O57">
        <v>1.093434418979423</v>
      </c>
      <c r="P57">
        <v>0.90575310680391585</v>
      </c>
      <c r="Q57">
        <v>2</v>
      </c>
      <c r="R57">
        <v>0.35022897823777349</v>
      </c>
      <c r="T57" s="15" t="s">
        <v>177</v>
      </c>
    </row>
    <row r="58" spans="1:20">
      <c r="A58">
        <v>1</v>
      </c>
      <c r="B58">
        <v>0.79953283252729768</v>
      </c>
      <c r="C58">
        <v>169</v>
      </c>
      <c r="D58">
        <v>0.84596454413262578</v>
      </c>
      <c r="I58">
        <v>0.3</v>
      </c>
      <c r="L58">
        <v>0.15710096718807653</v>
      </c>
      <c r="M58">
        <v>0.15848997183426142</v>
      </c>
      <c r="N58" s="73">
        <f t="shared" si="0"/>
        <v>0.99123600925592048</v>
      </c>
      <c r="O58">
        <v>1.093434418979423</v>
      </c>
      <c r="P58">
        <v>0.90653448624848376</v>
      </c>
      <c r="Q58">
        <v>2.5</v>
      </c>
      <c r="R58">
        <v>0.35022897823777349</v>
      </c>
      <c r="T58" s="15" t="s">
        <v>178</v>
      </c>
    </row>
    <row r="59" spans="1:20">
      <c r="A59">
        <v>1</v>
      </c>
      <c r="B59">
        <v>0.79953283252729768</v>
      </c>
      <c r="C59">
        <v>170</v>
      </c>
      <c r="D59">
        <v>0.88257937452915725</v>
      </c>
      <c r="I59">
        <v>0.5</v>
      </c>
      <c r="L59">
        <v>0.98114763473516298</v>
      </c>
      <c r="M59">
        <v>1.046619849620213</v>
      </c>
      <c r="N59" s="73">
        <f t="shared" si="0"/>
        <v>0.93744413035085472</v>
      </c>
      <c r="O59">
        <v>1.0166220561537915</v>
      </c>
      <c r="P59">
        <v>0.92211665552241473</v>
      </c>
      <c r="Q59">
        <v>0.3</v>
      </c>
      <c r="R59">
        <v>0.50266891735380559</v>
      </c>
      <c r="T59" s="15" t="s">
        <v>179</v>
      </c>
    </row>
    <row r="60" spans="1:20">
      <c r="A60">
        <v>1</v>
      </c>
      <c r="B60">
        <v>0.79953283252729768</v>
      </c>
      <c r="C60">
        <v>171</v>
      </c>
      <c r="D60">
        <v>0.93576123694296987</v>
      </c>
      <c r="I60">
        <v>0.75</v>
      </c>
      <c r="L60">
        <v>0.92096047492330946</v>
      </c>
      <c r="M60">
        <v>0.93451577068991476</v>
      </c>
      <c r="N60" s="73">
        <f t="shared" si="0"/>
        <v>0.98549484536082466</v>
      </c>
      <c r="O60">
        <v>1.0166220561537915</v>
      </c>
      <c r="P60">
        <v>0.96938172784610721</v>
      </c>
      <c r="Q60">
        <v>0.5</v>
      </c>
      <c r="R60">
        <v>0.50266891735380559</v>
      </c>
      <c r="T60" s="15" t="s">
        <v>180</v>
      </c>
    </row>
    <row r="61" spans="1:20">
      <c r="A61">
        <v>1</v>
      </c>
      <c r="B61">
        <v>0.79953283252729768</v>
      </c>
      <c r="C61">
        <v>172</v>
      </c>
      <c r="D61">
        <v>0.98238690576220455</v>
      </c>
      <c r="I61">
        <v>1</v>
      </c>
      <c r="L61">
        <v>0.83408223394598857</v>
      </c>
      <c r="M61">
        <v>0.85539360887492932</v>
      </c>
      <c r="N61" s="73">
        <f t="shared" si="0"/>
        <v>0.9750858847811934</v>
      </c>
      <c r="O61">
        <v>1.0166220561537915</v>
      </c>
      <c r="P61">
        <v>0.95914295669548744</v>
      </c>
      <c r="Q61">
        <v>0.75</v>
      </c>
      <c r="R61">
        <v>0.50266891735380559</v>
      </c>
      <c r="T61" s="15" t="s">
        <v>181</v>
      </c>
    </row>
    <row r="62" spans="1:20">
      <c r="A62">
        <v>1</v>
      </c>
      <c r="B62">
        <v>0.79953283252729768</v>
      </c>
      <c r="C62">
        <v>173</v>
      </c>
      <c r="D62">
        <v>1.0974482125569518</v>
      </c>
      <c r="I62">
        <v>1.33</v>
      </c>
      <c r="L62">
        <v>0.7247740403889753</v>
      </c>
      <c r="M62">
        <v>0.74792045514459393</v>
      </c>
      <c r="N62" s="73">
        <f t="shared" si="0"/>
        <v>0.9690523041636242</v>
      </c>
      <c r="O62">
        <v>1.0166220561537915</v>
      </c>
      <c r="P62">
        <v>0.95320802681564964</v>
      </c>
      <c r="Q62">
        <v>1</v>
      </c>
      <c r="R62">
        <v>0.50266891735380559</v>
      </c>
      <c r="T62" s="15" t="s">
        <v>182</v>
      </c>
    </row>
    <row r="63" spans="1:20">
      <c r="A63">
        <v>1</v>
      </c>
      <c r="B63">
        <v>0.79953283252729768</v>
      </c>
      <c r="C63">
        <v>174</v>
      </c>
      <c r="D63">
        <v>1.1480209872637253</v>
      </c>
      <c r="I63">
        <v>1.67</v>
      </c>
      <c r="L63">
        <v>0.50383407185672446</v>
      </c>
      <c r="M63">
        <v>0.51297611611421157</v>
      </c>
      <c r="N63" s="73">
        <f t="shared" si="0"/>
        <v>0.98217842123579169</v>
      </c>
      <c r="O63">
        <v>1.0166220561537915</v>
      </c>
      <c r="P63">
        <v>0.96611952818699298</v>
      </c>
      <c r="Q63">
        <v>1.33</v>
      </c>
      <c r="R63">
        <v>0.50266891735380559</v>
      </c>
      <c r="T63" s="15" t="s">
        <v>183</v>
      </c>
    </row>
    <row r="64" spans="1:20">
      <c r="A64">
        <v>1</v>
      </c>
      <c r="B64">
        <v>0.79953283252729768</v>
      </c>
      <c r="C64">
        <v>175</v>
      </c>
      <c r="D64">
        <v>1.1357394122621103</v>
      </c>
      <c r="I64">
        <v>2</v>
      </c>
      <c r="L64">
        <v>0.33752898589679736</v>
      </c>
      <c r="M64">
        <v>0.34278270630913976</v>
      </c>
      <c r="N64" s="73">
        <f t="shared" si="0"/>
        <v>0.98467332127425267</v>
      </c>
      <c r="O64">
        <v>1.0166220561537915</v>
      </c>
      <c r="P64">
        <v>0.96857363590908974</v>
      </c>
      <c r="Q64">
        <v>1.67</v>
      </c>
      <c r="R64">
        <v>0.50266891735380559</v>
      </c>
      <c r="T64" s="15" t="s">
        <v>184</v>
      </c>
    </row>
    <row r="65" spans="1:20">
      <c r="A65">
        <v>1</v>
      </c>
      <c r="B65">
        <v>0.79953283252729768</v>
      </c>
      <c r="C65">
        <v>176</v>
      </c>
      <c r="D65">
        <v>1.1304768205433189</v>
      </c>
      <c r="I65">
        <v>2.5</v>
      </c>
      <c r="L65">
        <v>0.24054185701529165</v>
      </c>
      <c r="M65">
        <v>0.24409950682520334</v>
      </c>
      <c r="N65" s="73">
        <f t="shared" si="0"/>
        <v>0.98542541172580378</v>
      </c>
      <c r="O65">
        <v>1.0166220561537915</v>
      </c>
      <c r="P65">
        <v>0.96931342947052057</v>
      </c>
      <c r="Q65">
        <v>2</v>
      </c>
      <c r="R65">
        <v>0.50266891735380559</v>
      </c>
      <c r="T65" s="15" t="s">
        <v>185</v>
      </c>
    </row>
    <row r="66" spans="1:20">
      <c r="A66">
        <v>1</v>
      </c>
      <c r="B66">
        <v>0.81482727293442681</v>
      </c>
      <c r="C66">
        <v>73</v>
      </c>
      <c r="D66">
        <v>1.0095527533479247</v>
      </c>
      <c r="I66">
        <v>0.3</v>
      </c>
      <c r="L66">
        <v>0.15586827287400998</v>
      </c>
      <c r="M66">
        <v>0.15781817803399489</v>
      </c>
      <c r="N66" s="73">
        <f t="shared" si="0"/>
        <v>0.98764460986512659</v>
      </c>
      <c r="O66">
        <v>1.0166220561537915</v>
      </c>
      <c r="P66">
        <v>0.97149634309696564</v>
      </c>
      <c r="Q66">
        <v>2.5</v>
      </c>
      <c r="R66">
        <v>0.50266891735380559</v>
      </c>
      <c r="T66" s="15" t="s">
        <v>186</v>
      </c>
    </row>
    <row r="67" spans="1:20">
      <c r="A67">
        <v>1</v>
      </c>
      <c r="B67">
        <v>0.81482727293442681</v>
      </c>
      <c r="C67">
        <v>74</v>
      </c>
      <c r="D67">
        <v>1.0741800183280819</v>
      </c>
      <c r="I67">
        <v>0.5</v>
      </c>
      <c r="L67">
        <v>0.96870566307080441</v>
      </c>
      <c r="M67">
        <v>1.0495649196349235</v>
      </c>
      <c r="N67" s="73">
        <f t="shared" si="0"/>
        <v>0.92295926145069251</v>
      </c>
      <c r="O67">
        <v>0.97094580084000337</v>
      </c>
      <c r="P67">
        <v>0.95057753033403525</v>
      </c>
      <c r="Q67">
        <v>0.3</v>
      </c>
      <c r="R67">
        <v>0.60017711473117275</v>
      </c>
      <c r="T67" s="15" t="s">
        <v>187</v>
      </c>
    </row>
    <row r="68" spans="1:20">
      <c r="A68">
        <v>1</v>
      </c>
      <c r="B68">
        <v>0.81482727293442681</v>
      </c>
      <c r="C68">
        <v>75</v>
      </c>
      <c r="D68">
        <v>1.1070084257668173</v>
      </c>
      <c r="I68">
        <v>0.75</v>
      </c>
      <c r="L68">
        <v>0.90915378340804653</v>
      </c>
      <c r="M68">
        <v>0.94421739317532427</v>
      </c>
      <c r="N68" s="73">
        <f t="shared" ref="N68:N131" si="1">L68/M68</f>
        <v>0.96286489740528747</v>
      </c>
      <c r="O68">
        <v>0.97094580084000337</v>
      </c>
      <c r="P68">
        <v>0.99167728679837241</v>
      </c>
      <c r="Q68">
        <v>0.5</v>
      </c>
      <c r="R68">
        <v>0.60017711473117275</v>
      </c>
      <c r="T68" s="15" t="s">
        <v>188</v>
      </c>
    </row>
    <row r="69" spans="1:20">
      <c r="A69">
        <v>1</v>
      </c>
      <c r="B69">
        <v>0.81482727293442681</v>
      </c>
      <c r="C69">
        <v>76</v>
      </c>
      <c r="D69">
        <v>1.1240519947733281</v>
      </c>
      <c r="I69">
        <v>1</v>
      </c>
      <c r="L69">
        <v>0.82443613695351214</v>
      </c>
      <c r="M69">
        <v>0.856073274295722</v>
      </c>
      <c r="N69" s="73">
        <f t="shared" si="1"/>
        <v>0.96304389087693776</v>
      </c>
      <c r="O69">
        <v>0.97094580084000337</v>
      </c>
      <c r="P69">
        <v>0.99186163640006553</v>
      </c>
      <c r="Q69">
        <v>0.75</v>
      </c>
      <c r="R69">
        <v>0.60017711473117275</v>
      </c>
      <c r="T69" s="15" t="s">
        <v>189</v>
      </c>
    </row>
    <row r="70" spans="1:20">
      <c r="A70">
        <v>1</v>
      </c>
      <c r="B70">
        <v>0.81482727293442681</v>
      </c>
      <c r="C70">
        <v>77</v>
      </c>
      <c r="D70">
        <v>1.1642691975311368</v>
      </c>
      <c r="I70">
        <v>1.33</v>
      </c>
      <c r="L70">
        <v>0.71546240619376666</v>
      </c>
      <c r="M70">
        <v>0.74822590636570929</v>
      </c>
      <c r="N70" s="73">
        <f t="shared" si="1"/>
        <v>0.95621175383904866</v>
      </c>
      <c r="O70">
        <v>0.97094580084000337</v>
      </c>
      <c r="P70">
        <v>0.98482505718835411</v>
      </c>
      <c r="Q70">
        <v>1</v>
      </c>
      <c r="R70">
        <v>0.60017711473117275</v>
      </c>
      <c r="T70" s="15" t="s">
        <v>190</v>
      </c>
    </row>
    <row r="71" spans="1:20">
      <c r="A71">
        <v>1</v>
      </c>
      <c r="B71">
        <v>0.81482727293442681</v>
      </c>
      <c r="C71">
        <v>78</v>
      </c>
      <c r="D71">
        <v>1.1823656809107386</v>
      </c>
      <c r="I71">
        <v>1.67</v>
      </c>
      <c r="L71">
        <v>0.50000346820478114</v>
      </c>
      <c r="M71">
        <v>0.51283093602072116</v>
      </c>
      <c r="N71" s="73">
        <f t="shared" si="1"/>
        <v>0.97498694615524961</v>
      </c>
      <c r="O71">
        <v>0.97094580084000337</v>
      </c>
      <c r="P71">
        <v>1.0041620709536518</v>
      </c>
      <c r="Q71">
        <v>1.33</v>
      </c>
      <c r="R71">
        <v>0.60017711473117275</v>
      </c>
      <c r="T71" s="15" t="s">
        <v>191</v>
      </c>
    </row>
    <row r="72" spans="1:20">
      <c r="A72">
        <v>1</v>
      </c>
      <c r="B72">
        <v>0.81482727293442681</v>
      </c>
      <c r="C72">
        <v>79</v>
      </c>
      <c r="D72">
        <v>1.188610935836643</v>
      </c>
      <c r="I72">
        <v>2</v>
      </c>
      <c r="L72">
        <v>0.33565974992264708</v>
      </c>
      <c r="M72">
        <v>0.34257880343929131</v>
      </c>
      <c r="N72" s="73">
        <f t="shared" si="1"/>
        <v>0.97980303087295251</v>
      </c>
      <c r="O72">
        <v>0.97094580084000337</v>
      </c>
      <c r="P72">
        <v>1.0091222702907683</v>
      </c>
      <c r="Q72">
        <v>1.67</v>
      </c>
      <c r="R72">
        <v>0.60017711473117275</v>
      </c>
      <c r="T72" s="15" t="s">
        <v>192</v>
      </c>
    </row>
    <row r="73" spans="1:20">
      <c r="A73">
        <v>1</v>
      </c>
      <c r="B73">
        <v>0.81482727293442681</v>
      </c>
      <c r="C73">
        <v>80</v>
      </c>
      <c r="D73">
        <v>1.1950526707499711</v>
      </c>
      <c r="I73">
        <v>2.5</v>
      </c>
      <c r="L73">
        <v>0.2393681184455809</v>
      </c>
      <c r="M73">
        <v>0.24390668635338844</v>
      </c>
      <c r="N73" s="73">
        <f t="shared" si="1"/>
        <v>0.98139219561520441</v>
      </c>
      <c r="O73">
        <v>0.97094580084000337</v>
      </c>
      <c r="P73">
        <v>1.0107589885719299</v>
      </c>
      <c r="Q73">
        <v>2</v>
      </c>
      <c r="R73">
        <v>0.60017711473117275</v>
      </c>
      <c r="T73" s="15" t="s">
        <v>193</v>
      </c>
    </row>
    <row r="74" spans="1:20">
      <c r="A74">
        <v>1</v>
      </c>
      <c r="B74">
        <v>0.81794598367806093</v>
      </c>
      <c r="C74">
        <v>41</v>
      </c>
      <c r="D74">
        <v>0.97861977603142059</v>
      </c>
      <c r="I74">
        <v>0.3</v>
      </c>
      <c r="L74">
        <v>0.15525741360999298</v>
      </c>
      <c r="M74">
        <v>0.15763196814682243</v>
      </c>
      <c r="N74" s="73">
        <f t="shared" si="1"/>
        <v>0.98493608520691867</v>
      </c>
      <c r="O74">
        <v>0.97094580084000337</v>
      </c>
      <c r="P74">
        <v>1.0144089241179186</v>
      </c>
      <c r="Q74">
        <v>2.5</v>
      </c>
      <c r="R74">
        <v>0.60017711473117275</v>
      </c>
      <c r="T74" s="15" t="s">
        <v>194</v>
      </c>
    </row>
    <row r="75" spans="1:20">
      <c r="A75">
        <v>1</v>
      </c>
      <c r="B75">
        <v>0.81794598367806093</v>
      </c>
      <c r="C75">
        <v>42</v>
      </c>
      <c r="D75">
        <v>1.0067060303637687</v>
      </c>
      <c r="I75">
        <v>0.5</v>
      </c>
      <c r="L75">
        <v>0.86843821756746331</v>
      </c>
      <c r="M75">
        <v>1.055709313589839</v>
      </c>
      <c r="N75" s="73">
        <f t="shared" si="1"/>
        <v>0.82261111689393163</v>
      </c>
      <c r="O75">
        <v>0.81482727293442681</v>
      </c>
      <c r="P75">
        <v>1.0095527533479247</v>
      </c>
      <c r="Q75">
        <v>0.3</v>
      </c>
      <c r="R75">
        <v>0.80073751797666637</v>
      </c>
      <c r="T75" s="15" t="s">
        <v>195</v>
      </c>
    </row>
    <row r="76" spans="1:20">
      <c r="A76">
        <v>1</v>
      </c>
      <c r="B76">
        <v>0.81794598367806093</v>
      </c>
      <c r="C76">
        <v>43</v>
      </c>
      <c r="D76">
        <v>1.0617454183345896</v>
      </c>
      <c r="I76">
        <v>0.75</v>
      </c>
      <c r="L76">
        <v>0.83496903496968833</v>
      </c>
      <c r="M76">
        <v>0.95395468152325491</v>
      </c>
      <c r="N76" s="73">
        <f t="shared" si="1"/>
        <v>0.87527117497492357</v>
      </c>
      <c r="O76">
        <v>0.81482727293442681</v>
      </c>
      <c r="P76">
        <v>1.0741800183280819</v>
      </c>
      <c r="Q76">
        <v>0.5</v>
      </c>
      <c r="R76">
        <v>0.80073751797666637</v>
      </c>
      <c r="T76" s="15" t="s">
        <v>196</v>
      </c>
    </row>
    <row r="77" spans="1:20">
      <c r="A77">
        <v>1</v>
      </c>
      <c r="B77">
        <v>0.81794598367806093</v>
      </c>
      <c r="C77">
        <v>44</v>
      </c>
      <c r="D77">
        <v>1.0989619391165721</v>
      </c>
      <c r="I77">
        <v>1</v>
      </c>
      <c r="L77">
        <v>0.77469678100265393</v>
      </c>
      <c r="M77">
        <v>0.85884594245484192</v>
      </c>
      <c r="N77" s="73">
        <f t="shared" si="1"/>
        <v>0.90202065668300857</v>
      </c>
      <c r="O77">
        <v>0.81482727293442681</v>
      </c>
      <c r="P77">
        <v>1.1070084257668173</v>
      </c>
      <c r="Q77">
        <v>0.75</v>
      </c>
      <c r="R77">
        <v>0.80073751797666637</v>
      </c>
      <c r="T77" s="15" t="s">
        <v>197</v>
      </c>
    </row>
    <row r="78" spans="1:20">
      <c r="A78">
        <v>1</v>
      </c>
      <c r="B78">
        <v>0.81794598367806093</v>
      </c>
      <c r="C78">
        <v>45</v>
      </c>
      <c r="D78">
        <v>1.174609243829341</v>
      </c>
      <c r="I78">
        <v>1.33</v>
      </c>
      <c r="L78">
        <v>0.68010071871453104</v>
      </c>
      <c r="M78">
        <v>0.7425424324423664</v>
      </c>
      <c r="N78" s="73">
        <f t="shared" si="1"/>
        <v>0.9159082215376535</v>
      </c>
      <c r="O78">
        <v>0.81482727293442681</v>
      </c>
      <c r="P78">
        <v>1.1240519947733281</v>
      </c>
      <c r="Q78">
        <v>1</v>
      </c>
      <c r="R78">
        <v>0.80073751797666637</v>
      </c>
      <c r="T78" s="15" t="s">
        <v>198</v>
      </c>
    </row>
    <row r="79" spans="1:20">
      <c r="A79">
        <v>1</v>
      </c>
      <c r="B79">
        <v>0.81794598367806093</v>
      </c>
      <c r="C79">
        <v>46</v>
      </c>
      <c r="D79">
        <v>1.1980226345355027</v>
      </c>
      <c r="I79">
        <v>1.67</v>
      </c>
      <c r="L79">
        <v>0.48672765931845702</v>
      </c>
      <c r="M79">
        <v>0.51305870682232191</v>
      </c>
      <c r="N79" s="73">
        <f t="shared" si="1"/>
        <v>0.94867829518584967</v>
      </c>
      <c r="O79">
        <v>0.81482727293442681</v>
      </c>
      <c r="P79">
        <v>1.1642691975311368</v>
      </c>
      <c r="Q79">
        <v>1.33</v>
      </c>
      <c r="R79">
        <v>0.80073751797666637</v>
      </c>
      <c r="T79" s="15" t="s">
        <v>199</v>
      </c>
    </row>
    <row r="80" spans="1:20">
      <c r="A80">
        <v>1</v>
      </c>
      <c r="B80">
        <v>0.81794598367806093</v>
      </c>
      <c r="C80">
        <v>47</v>
      </c>
      <c r="D80">
        <v>1.2036948102411857</v>
      </c>
      <c r="I80">
        <v>2</v>
      </c>
      <c r="L80">
        <v>0.33008987934597822</v>
      </c>
      <c r="M80">
        <v>0.34262167717390868</v>
      </c>
      <c r="N80" s="73">
        <f t="shared" si="1"/>
        <v>0.96342380338775369</v>
      </c>
      <c r="O80">
        <v>0.81482727293442681</v>
      </c>
      <c r="P80">
        <v>1.1823656809107386</v>
      </c>
      <c r="Q80">
        <v>1.67</v>
      </c>
      <c r="R80">
        <v>0.80073751797666637</v>
      </c>
      <c r="T80" s="15" t="s">
        <v>200</v>
      </c>
    </row>
    <row r="81" spans="1:20">
      <c r="A81">
        <v>1</v>
      </c>
      <c r="B81">
        <v>0.81794598367806093</v>
      </c>
      <c r="C81">
        <v>48</v>
      </c>
      <c r="D81">
        <v>1.2074691623621778</v>
      </c>
      <c r="I81">
        <v>2.5</v>
      </c>
      <c r="L81">
        <v>0.23620570209356076</v>
      </c>
      <c r="M81">
        <v>0.24388500498809162</v>
      </c>
      <c r="N81" s="73">
        <f t="shared" si="1"/>
        <v>0.96851260742780876</v>
      </c>
      <c r="O81">
        <v>0.81482727293442681</v>
      </c>
      <c r="P81">
        <v>1.188610935836643</v>
      </c>
      <c r="Q81">
        <v>2</v>
      </c>
      <c r="R81">
        <v>0.80073751797666637</v>
      </c>
      <c r="T81" s="15" t="s">
        <v>201</v>
      </c>
    </row>
    <row r="82" spans="1:20">
      <c r="A82">
        <v>1</v>
      </c>
      <c r="B82">
        <v>0.81980691750807566</v>
      </c>
      <c r="C82">
        <v>33</v>
      </c>
      <c r="D82">
        <v>0.98892643761899113</v>
      </c>
      <c r="I82">
        <v>0.3</v>
      </c>
      <c r="L82">
        <v>0.15406008376740388</v>
      </c>
      <c r="M82">
        <v>0.15821130984103315</v>
      </c>
      <c r="N82" s="73">
        <f t="shared" si="1"/>
        <v>0.97376150872020262</v>
      </c>
      <c r="O82">
        <v>0.81482727293442681</v>
      </c>
      <c r="P82">
        <v>1.1950526707499711</v>
      </c>
      <c r="Q82">
        <v>2.5</v>
      </c>
      <c r="R82">
        <v>0.80073751797666637</v>
      </c>
      <c r="T82" s="15" t="s">
        <v>202</v>
      </c>
    </row>
    <row r="83" spans="1:20">
      <c r="A83">
        <v>1</v>
      </c>
      <c r="B83">
        <v>0.81980691750807566</v>
      </c>
      <c r="C83">
        <v>34</v>
      </c>
      <c r="D83">
        <v>1.0282455922945244</v>
      </c>
      <c r="I83">
        <v>0.5</v>
      </c>
      <c r="L83">
        <v>0.69767283822642301</v>
      </c>
      <c r="M83">
        <v>1.0649531671313468</v>
      </c>
      <c r="N83" s="73">
        <f t="shared" si="1"/>
        <v>0.65512067549950292</v>
      </c>
      <c r="O83">
        <v>0.66862420737717243</v>
      </c>
      <c r="P83">
        <v>0.97980400391029798</v>
      </c>
      <c r="Q83">
        <v>0.3</v>
      </c>
      <c r="R83">
        <v>1.1133395391615006</v>
      </c>
      <c r="T83" s="15" t="s">
        <v>203</v>
      </c>
    </row>
    <row r="84" spans="1:20">
      <c r="A84">
        <v>1</v>
      </c>
      <c r="B84">
        <v>0.81980691750807566</v>
      </c>
      <c r="C84">
        <v>35</v>
      </c>
      <c r="D84">
        <v>1.1073114704521434</v>
      </c>
      <c r="I84">
        <v>0.75</v>
      </c>
      <c r="L84">
        <v>0.66901158327801735</v>
      </c>
      <c r="M84">
        <v>0.98039199456731752</v>
      </c>
      <c r="N84" s="73">
        <f t="shared" si="1"/>
        <v>0.68239192790764924</v>
      </c>
      <c r="O84">
        <v>0.66862420737717243</v>
      </c>
      <c r="P84">
        <v>1.0205911188655339</v>
      </c>
      <c r="Q84">
        <v>0.5</v>
      </c>
      <c r="R84">
        <v>1.1133395391615006</v>
      </c>
      <c r="T84" s="15" t="s">
        <v>204</v>
      </c>
    </row>
    <row r="85" spans="1:20">
      <c r="A85">
        <v>1</v>
      </c>
      <c r="B85">
        <v>0.81980691750807566</v>
      </c>
      <c r="C85">
        <v>36</v>
      </c>
      <c r="D85">
        <v>1.1508551166059751</v>
      </c>
      <c r="I85">
        <v>1</v>
      </c>
      <c r="L85">
        <v>0.61844053064729232</v>
      </c>
      <c r="M85">
        <v>0.86410892705775522</v>
      </c>
      <c r="N85" s="73">
        <f t="shared" si="1"/>
        <v>0.71569742110297285</v>
      </c>
      <c r="O85">
        <v>0.66862420737717243</v>
      </c>
      <c r="P85">
        <v>1.0704030952011978</v>
      </c>
      <c r="Q85">
        <v>0.75</v>
      </c>
      <c r="R85">
        <v>1.1133395391615006</v>
      </c>
      <c r="T85" s="15" t="s">
        <v>205</v>
      </c>
    </row>
    <row r="86" spans="1:20">
      <c r="A86">
        <v>1</v>
      </c>
      <c r="B86">
        <v>0.81980691750807566</v>
      </c>
      <c r="C86">
        <v>37</v>
      </c>
      <c r="D86">
        <v>1.1972922734217872</v>
      </c>
      <c r="I86">
        <v>1.33</v>
      </c>
      <c r="L86">
        <v>0.55279345671472691</v>
      </c>
      <c r="M86">
        <v>0.74467506580526599</v>
      </c>
      <c r="N86" s="73">
        <f t="shared" si="1"/>
        <v>0.74232840885702955</v>
      </c>
      <c r="O86">
        <v>0.66862420737717243</v>
      </c>
      <c r="P86">
        <v>1.1102326249433569</v>
      </c>
      <c r="Q86">
        <v>1</v>
      </c>
      <c r="R86">
        <v>1.1133395391615006</v>
      </c>
      <c r="T86" s="15" t="s">
        <v>206</v>
      </c>
    </row>
    <row r="87" spans="1:20">
      <c r="A87">
        <v>1</v>
      </c>
      <c r="B87">
        <v>0.81980691750807566</v>
      </c>
      <c r="C87">
        <v>38</v>
      </c>
      <c r="D87">
        <v>1.2038405163539616</v>
      </c>
      <c r="I87">
        <v>1.67</v>
      </c>
      <c r="L87">
        <v>0.42779819126392482</v>
      </c>
      <c r="M87">
        <v>0.51417814092323599</v>
      </c>
      <c r="N87" s="73">
        <f t="shared" si="1"/>
        <v>0.8320038469464861</v>
      </c>
      <c r="O87">
        <v>0.66862420737717243</v>
      </c>
      <c r="P87">
        <v>1.2443519659723461</v>
      </c>
      <c r="Q87">
        <v>1.33</v>
      </c>
      <c r="R87">
        <v>1.1133395391615006</v>
      </c>
      <c r="T87" s="15" t="s">
        <v>207</v>
      </c>
    </row>
    <row r="88" spans="1:20">
      <c r="A88">
        <v>1</v>
      </c>
      <c r="B88">
        <v>0.81980691750807566</v>
      </c>
      <c r="C88">
        <v>39</v>
      </c>
      <c r="D88">
        <v>1.2049918559937227</v>
      </c>
      <c r="I88">
        <v>2</v>
      </c>
      <c r="L88">
        <v>0.30570883017534423</v>
      </c>
      <c r="M88">
        <v>0.34321434913290416</v>
      </c>
      <c r="N88" s="73">
        <f t="shared" si="1"/>
        <v>0.89072275371844511</v>
      </c>
      <c r="O88">
        <v>0.66862420737717243</v>
      </c>
      <c r="P88">
        <v>1.3321724578481891</v>
      </c>
      <c r="Q88">
        <v>1.67</v>
      </c>
      <c r="R88">
        <v>1.1133395391615006</v>
      </c>
      <c r="T88" s="15" t="s">
        <v>208</v>
      </c>
    </row>
    <row r="89" spans="1:20">
      <c r="A89">
        <v>1</v>
      </c>
      <c r="B89">
        <v>0.81980691750807566</v>
      </c>
      <c r="C89">
        <v>40</v>
      </c>
      <c r="D89">
        <v>1.2051051845869043</v>
      </c>
      <c r="I89">
        <v>2.5</v>
      </c>
      <c r="L89">
        <v>0.22351763481439338</v>
      </c>
      <c r="M89">
        <v>0.24427596025345175</v>
      </c>
      <c r="N89" s="73">
        <f t="shared" si="1"/>
        <v>0.91502100567931333</v>
      </c>
      <c r="O89">
        <v>0.66862420737717243</v>
      </c>
      <c r="P89">
        <v>1.3685131282767748</v>
      </c>
      <c r="Q89">
        <v>2</v>
      </c>
      <c r="R89">
        <v>1.1133395391615006</v>
      </c>
      <c r="T89" s="15" t="s">
        <v>209</v>
      </c>
    </row>
    <row r="90" spans="1:20">
      <c r="A90">
        <v>1</v>
      </c>
      <c r="B90">
        <v>0.86587161690105752</v>
      </c>
      <c r="C90">
        <v>137</v>
      </c>
      <c r="D90">
        <v>0.86194494040745717</v>
      </c>
      <c r="I90">
        <v>0.3</v>
      </c>
      <c r="L90">
        <v>0.14788722682681468</v>
      </c>
      <c r="M90">
        <v>0.15840056781587511</v>
      </c>
      <c r="N90" s="73">
        <f t="shared" si="1"/>
        <v>0.93362813571930414</v>
      </c>
      <c r="O90">
        <v>0.66862420737717243</v>
      </c>
      <c r="P90">
        <v>1.3963421087933217</v>
      </c>
      <c r="Q90">
        <v>2.5</v>
      </c>
      <c r="R90">
        <v>1.1133395391615006</v>
      </c>
      <c r="T90" s="15" t="s">
        <v>210</v>
      </c>
    </row>
    <row r="91" spans="1:20">
      <c r="A91">
        <v>1</v>
      </c>
      <c r="B91">
        <v>0.86587161690105752</v>
      </c>
      <c r="C91">
        <v>138</v>
      </c>
      <c r="D91">
        <v>0.86133079136215129</v>
      </c>
      <c r="I91">
        <v>0.5</v>
      </c>
      <c r="L91">
        <v>0.59377371584786665</v>
      </c>
      <c r="M91">
        <v>1.0748632022197855</v>
      </c>
      <c r="N91" s="73">
        <f t="shared" si="1"/>
        <v>0.55241793990306609</v>
      </c>
      <c r="O91">
        <v>0.58600394911666143</v>
      </c>
      <c r="P91">
        <v>0.94268637734571137</v>
      </c>
      <c r="Q91">
        <v>0.3</v>
      </c>
      <c r="R91">
        <v>1.5142327300352278</v>
      </c>
      <c r="T91" s="15" t="s">
        <v>211</v>
      </c>
    </row>
    <row r="92" spans="1:20">
      <c r="A92">
        <v>1</v>
      </c>
      <c r="B92">
        <v>0.86587161690105752</v>
      </c>
      <c r="C92">
        <v>139</v>
      </c>
      <c r="D92">
        <v>0.87814700841647442</v>
      </c>
      <c r="I92">
        <v>0.75</v>
      </c>
      <c r="L92">
        <v>0.56525309524492051</v>
      </c>
      <c r="M92">
        <v>0.98935251551266434</v>
      </c>
      <c r="N92" s="73">
        <f t="shared" si="1"/>
        <v>0.57133639060089392</v>
      </c>
      <c r="O92">
        <v>0.58600394911666143</v>
      </c>
      <c r="P92">
        <v>0.97497020534097545</v>
      </c>
      <c r="Q92">
        <v>0.5</v>
      </c>
      <c r="R92">
        <v>1.5142327300352278</v>
      </c>
      <c r="T92" s="15" t="s">
        <v>212</v>
      </c>
    </row>
    <row r="93" spans="1:20">
      <c r="A93">
        <v>1</v>
      </c>
      <c r="B93">
        <v>0.86587161690105752</v>
      </c>
      <c r="C93">
        <v>140</v>
      </c>
      <c r="D93">
        <v>0.93199503520191707</v>
      </c>
      <c r="I93">
        <v>1</v>
      </c>
      <c r="L93">
        <v>0.50184396322631442</v>
      </c>
      <c r="M93">
        <v>0.87043852692303869</v>
      </c>
      <c r="N93" s="73">
        <f t="shared" si="1"/>
        <v>0.57654153361100691</v>
      </c>
      <c r="O93">
        <v>0.58600394911666143</v>
      </c>
      <c r="P93">
        <v>0.98385264208557266</v>
      </c>
      <c r="Q93">
        <v>0.75</v>
      </c>
      <c r="R93">
        <v>1.5142327300352278</v>
      </c>
      <c r="T93" s="15" t="s">
        <v>213</v>
      </c>
    </row>
    <row r="94" spans="1:20">
      <c r="A94">
        <v>1</v>
      </c>
      <c r="B94">
        <v>0.86587161690105752</v>
      </c>
      <c r="C94">
        <v>141</v>
      </c>
      <c r="D94">
        <v>1.0541571986381719</v>
      </c>
      <c r="I94">
        <v>1.33</v>
      </c>
      <c r="L94">
        <v>0.42676820348459149</v>
      </c>
      <c r="M94">
        <v>0.74787218636230246</v>
      </c>
      <c r="N94" s="73">
        <f t="shared" si="1"/>
        <v>0.57064323458854516</v>
      </c>
      <c r="O94">
        <v>0.58600394911666143</v>
      </c>
      <c r="P94">
        <v>0.97378735322300991</v>
      </c>
      <c r="Q94">
        <v>1</v>
      </c>
      <c r="R94">
        <v>1.5142327300352278</v>
      </c>
      <c r="T94" s="15" t="s">
        <v>214</v>
      </c>
    </row>
    <row r="95" spans="1:20">
      <c r="A95">
        <v>1</v>
      </c>
      <c r="B95">
        <v>0.86587161690105752</v>
      </c>
      <c r="C95">
        <v>142</v>
      </c>
      <c r="D95">
        <v>1.0947671563347796</v>
      </c>
      <c r="I95">
        <v>1.67</v>
      </c>
      <c r="L95">
        <v>0.32726898356734857</v>
      </c>
      <c r="M95">
        <v>0.51577244778626485</v>
      </c>
      <c r="N95" s="73">
        <f t="shared" si="1"/>
        <v>0.63452203577762312</v>
      </c>
      <c r="O95">
        <v>0.58600394911666143</v>
      </c>
      <c r="P95">
        <v>1.0827948117655137</v>
      </c>
      <c r="Q95">
        <v>1.33</v>
      </c>
      <c r="R95">
        <v>1.5142327300352278</v>
      </c>
      <c r="T95" s="15" t="s">
        <v>215</v>
      </c>
    </row>
    <row r="96" spans="1:20">
      <c r="A96">
        <v>1</v>
      </c>
      <c r="B96">
        <v>0.86587161690105752</v>
      </c>
      <c r="C96">
        <v>143</v>
      </c>
      <c r="D96">
        <v>1.077313042277523</v>
      </c>
      <c r="I96">
        <v>2</v>
      </c>
      <c r="L96">
        <v>0.24588840019378524</v>
      </c>
      <c r="M96">
        <v>0.34429861824517893</v>
      </c>
      <c r="N96" s="73">
        <f t="shared" si="1"/>
        <v>0.71417190532750074</v>
      </c>
      <c r="O96">
        <v>0.58600394911666143</v>
      </c>
      <c r="P96">
        <v>1.218715174879007</v>
      </c>
      <c r="Q96">
        <v>1.67</v>
      </c>
      <c r="R96">
        <v>1.5142327300352278</v>
      </c>
      <c r="T96" s="15" t="s">
        <v>216</v>
      </c>
    </row>
    <row r="97" spans="1:20">
      <c r="A97">
        <v>1</v>
      </c>
      <c r="B97">
        <v>0.86587161690105752</v>
      </c>
      <c r="C97">
        <v>144</v>
      </c>
      <c r="D97">
        <v>1.070714315594522</v>
      </c>
      <c r="I97">
        <v>2.5</v>
      </c>
      <c r="L97">
        <v>0.18855726168213463</v>
      </c>
      <c r="M97">
        <v>0.24500861628081685</v>
      </c>
      <c r="N97" s="73">
        <f t="shared" si="1"/>
        <v>0.76959441077786239</v>
      </c>
      <c r="O97">
        <v>0.58600394911666143</v>
      </c>
      <c r="P97">
        <v>1.3132921918665295</v>
      </c>
      <c r="Q97">
        <v>2</v>
      </c>
      <c r="R97">
        <v>1.5142327300352278</v>
      </c>
      <c r="T97" s="31" t="s">
        <v>217</v>
      </c>
    </row>
    <row r="98" spans="1:20" ht="15.75" thickBot="1">
      <c r="A98">
        <v>1</v>
      </c>
      <c r="B98">
        <v>0.87128800210660096</v>
      </c>
      <c r="C98">
        <v>129</v>
      </c>
      <c r="D98">
        <v>0.86397130024629065</v>
      </c>
      <c r="I98">
        <v>0.3</v>
      </c>
      <c r="L98">
        <v>0.13074854265391256</v>
      </c>
      <c r="M98">
        <v>0.15882874384918752</v>
      </c>
      <c r="N98" s="73">
        <f t="shared" si="1"/>
        <v>0.82320453770044344</v>
      </c>
      <c r="O98">
        <v>0.58600394911666143</v>
      </c>
      <c r="P98">
        <v>1.4047764335741024</v>
      </c>
      <c r="Q98">
        <v>2.5</v>
      </c>
      <c r="R98">
        <v>1.5142327300352278</v>
      </c>
      <c r="T98" s="42" t="s">
        <v>226</v>
      </c>
    </row>
    <row r="99" spans="1:20">
      <c r="A99">
        <v>1</v>
      </c>
      <c r="B99">
        <v>0.87128800210660096</v>
      </c>
      <c r="C99">
        <v>130</v>
      </c>
      <c r="D99">
        <v>0.87469619546463095</v>
      </c>
      <c r="I99">
        <v>0.5</v>
      </c>
      <c r="L99">
        <v>0.99204633672278386</v>
      </c>
      <c r="M99">
        <v>1.1341320917606239</v>
      </c>
      <c r="N99" s="73">
        <f t="shared" si="1"/>
        <v>0.87471851288744817</v>
      </c>
      <c r="O99">
        <v>1.1097256933415107</v>
      </c>
      <c r="P99">
        <v>0.78822948602151488</v>
      </c>
      <c r="Q99">
        <v>0.3</v>
      </c>
      <c r="R99">
        <v>0.3550200773318104</v>
      </c>
      <c r="T99" s="36" t="s">
        <v>323</v>
      </c>
    </row>
    <row r="100" spans="1:20">
      <c r="A100">
        <v>1</v>
      </c>
      <c r="B100">
        <v>0.87128800210660096</v>
      </c>
      <c r="C100">
        <v>131</v>
      </c>
      <c r="D100">
        <v>0.91608055835076618</v>
      </c>
      <c r="I100">
        <v>0.75</v>
      </c>
      <c r="L100">
        <v>0.91978716587063902</v>
      </c>
      <c r="M100">
        <v>1.0567559483299949</v>
      </c>
      <c r="N100" s="73">
        <f t="shared" si="1"/>
        <v>0.87038749800669735</v>
      </c>
      <c r="O100">
        <v>1.1097256933415107</v>
      </c>
      <c r="P100">
        <v>0.78432670634655777</v>
      </c>
      <c r="Q100">
        <v>0.5</v>
      </c>
      <c r="R100">
        <v>0.3550200773318104</v>
      </c>
      <c r="T100" s="15" t="s">
        <v>324</v>
      </c>
    </row>
    <row r="101" spans="1:20">
      <c r="A101">
        <v>1</v>
      </c>
      <c r="B101">
        <v>0.87128800210660096</v>
      </c>
      <c r="C101">
        <v>132</v>
      </c>
      <c r="D101">
        <v>0.97062842091001766</v>
      </c>
      <c r="I101">
        <v>1</v>
      </c>
      <c r="L101">
        <v>0.82324649753127521</v>
      </c>
      <c r="M101">
        <v>0.90153884682400254</v>
      </c>
      <c r="N101" s="73">
        <f t="shared" si="1"/>
        <v>0.91315698755684183</v>
      </c>
      <c r="O101">
        <v>1.1097256933415107</v>
      </c>
      <c r="P101">
        <v>0.8228673022855062</v>
      </c>
      <c r="Q101">
        <v>0.75</v>
      </c>
      <c r="R101">
        <v>0.3550200773318104</v>
      </c>
      <c r="T101" s="15" t="s">
        <v>325</v>
      </c>
    </row>
    <row r="102" spans="1:20">
      <c r="A102">
        <v>1</v>
      </c>
      <c r="B102">
        <v>0.87128800210660096</v>
      </c>
      <c r="C102">
        <v>133</v>
      </c>
      <c r="D102">
        <v>1.0743794227667074</v>
      </c>
      <c r="I102">
        <v>1.33</v>
      </c>
      <c r="L102">
        <v>0.69270481454377986</v>
      </c>
      <c r="M102">
        <v>0.74953548211251608</v>
      </c>
      <c r="N102" s="73">
        <f t="shared" si="1"/>
        <v>0.92417881618017239</v>
      </c>
      <c r="O102">
        <v>1.1097256933415107</v>
      </c>
      <c r="P102">
        <v>0.83279933205598267</v>
      </c>
      <c r="Q102">
        <v>1</v>
      </c>
      <c r="R102">
        <v>0.3550200773318104</v>
      </c>
      <c r="T102" s="15" t="s">
        <v>326</v>
      </c>
    </row>
    <row r="103" spans="1:20">
      <c r="A103">
        <v>1</v>
      </c>
      <c r="B103">
        <v>0.87128800210660096</v>
      </c>
      <c r="C103">
        <v>134</v>
      </c>
      <c r="D103">
        <v>1.0925934508158242</v>
      </c>
      <c r="I103">
        <v>1.67</v>
      </c>
      <c r="L103">
        <v>0.49197889560561531</v>
      </c>
      <c r="M103">
        <v>0.51122078168800444</v>
      </c>
      <c r="N103" s="73">
        <f t="shared" si="1"/>
        <v>0.96236090790586759</v>
      </c>
      <c r="O103">
        <v>1.1097256933415107</v>
      </c>
      <c r="P103">
        <v>0.8672061156014953</v>
      </c>
      <c r="Q103">
        <v>1.33</v>
      </c>
      <c r="R103">
        <v>0.3550200773318104</v>
      </c>
      <c r="T103" s="15" t="s">
        <v>327</v>
      </c>
    </row>
    <row r="104" spans="1:20">
      <c r="A104">
        <v>1</v>
      </c>
      <c r="B104">
        <v>0.87128800210660096</v>
      </c>
      <c r="C104">
        <v>135</v>
      </c>
      <c r="D104">
        <v>1.0744024041475393</v>
      </c>
      <c r="I104">
        <v>2</v>
      </c>
      <c r="L104">
        <v>0.33129941584081257</v>
      </c>
      <c r="M104">
        <v>0.34345258617321206</v>
      </c>
      <c r="N104" s="73">
        <f t="shared" si="1"/>
        <v>0.96461470717745501</v>
      </c>
      <c r="O104">
        <v>1.1097256933415107</v>
      </c>
      <c r="P104">
        <v>0.8692370672908275</v>
      </c>
      <c r="Q104">
        <v>1.67</v>
      </c>
      <c r="R104">
        <v>0.3550200773318104</v>
      </c>
      <c r="T104" s="15" t="s">
        <v>328</v>
      </c>
    </row>
    <row r="105" spans="1:20">
      <c r="A105">
        <v>1</v>
      </c>
      <c r="B105">
        <v>0.87128800210660096</v>
      </c>
      <c r="C105">
        <v>136</v>
      </c>
      <c r="D105">
        <v>1.0691109869829696</v>
      </c>
      <c r="I105">
        <v>2.5</v>
      </c>
      <c r="L105">
        <v>0.23404951223655335</v>
      </c>
      <c r="M105">
        <v>0.2446056861018612</v>
      </c>
      <c r="N105" s="73">
        <f t="shared" si="1"/>
        <v>0.95684411906552347</v>
      </c>
      <c r="O105">
        <v>1.1097256933415107</v>
      </c>
      <c r="P105">
        <v>0.86223480703988808</v>
      </c>
      <c r="Q105">
        <v>2</v>
      </c>
      <c r="R105">
        <v>0.3550200773318104</v>
      </c>
      <c r="T105" s="15" t="s">
        <v>329</v>
      </c>
    </row>
    <row r="106" spans="1:20">
      <c r="A106">
        <v>2</v>
      </c>
      <c r="B106">
        <v>0.88162604206864925</v>
      </c>
      <c r="C106">
        <v>233</v>
      </c>
      <c r="D106">
        <v>0.93693946977928155</v>
      </c>
      <c r="I106">
        <v>0.3</v>
      </c>
      <c r="L106">
        <v>0.15108412540401975</v>
      </c>
      <c r="M106">
        <v>0.15739228831669186</v>
      </c>
      <c r="N106" s="73">
        <f t="shared" si="1"/>
        <v>0.9599207624456203</v>
      </c>
      <c r="O106">
        <v>1.1097256933415107</v>
      </c>
      <c r="P106">
        <v>0.86500724296577236</v>
      </c>
      <c r="Q106">
        <v>2.5</v>
      </c>
      <c r="R106">
        <v>0.3550200773318104</v>
      </c>
      <c r="T106" s="15" t="s">
        <v>330</v>
      </c>
    </row>
    <row r="107" spans="1:20">
      <c r="A107">
        <v>2</v>
      </c>
      <c r="B107">
        <v>0.88162604206864925</v>
      </c>
      <c r="C107">
        <v>234</v>
      </c>
      <c r="D107">
        <v>0.97950184719836975</v>
      </c>
      <c r="I107">
        <v>0.5</v>
      </c>
      <c r="L107">
        <v>0.98678828448709577</v>
      </c>
      <c r="M107">
        <v>1.1363495702894149</v>
      </c>
      <c r="N107" s="73">
        <f t="shared" si="1"/>
        <v>0.8683844393374236</v>
      </c>
      <c r="O107">
        <v>1.0215187844376274</v>
      </c>
      <c r="P107">
        <v>0.85009150352089891</v>
      </c>
      <c r="Q107">
        <v>0.3</v>
      </c>
      <c r="R107">
        <v>0.50420742049940981</v>
      </c>
      <c r="T107" s="15" t="s">
        <v>331</v>
      </c>
    </row>
    <row r="108" spans="1:20">
      <c r="A108">
        <v>2</v>
      </c>
      <c r="B108">
        <v>0.88162604206864925</v>
      </c>
      <c r="C108">
        <v>235</v>
      </c>
      <c r="D108">
        <v>1.0385534410869524</v>
      </c>
      <c r="I108">
        <v>0.75</v>
      </c>
      <c r="L108">
        <v>0.90539886050468188</v>
      </c>
      <c r="M108">
        <v>1.048138918840164</v>
      </c>
      <c r="N108" s="73">
        <f t="shared" si="1"/>
        <v>0.86381570632504179</v>
      </c>
      <c r="O108">
        <v>1.0215187844376274</v>
      </c>
      <c r="P108">
        <v>0.84561901306650444</v>
      </c>
      <c r="Q108">
        <v>0.5</v>
      </c>
      <c r="R108">
        <v>0.50420742049940981</v>
      </c>
      <c r="T108" s="15" t="s">
        <v>332</v>
      </c>
    </row>
    <row r="109" spans="1:20">
      <c r="A109">
        <v>2</v>
      </c>
      <c r="B109">
        <v>0.88162604206864925</v>
      </c>
      <c r="C109">
        <v>236</v>
      </c>
      <c r="D109">
        <v>1.0632239308499436</v>
      </c>
      <c r="I109">
        <v>1</v>
      </c>
      <c r="L109">
        <v>0.80316241112951359</v>
      </c>
      <c r="M109">
        <v>0.88856643339239971</v>
      </c>
      <c r="N109" s="73">
        <f t="shared" si="1"/>
        <v>0.90388560826360764</v>
      </c>
      <c r="O109">
        <v>1.0215187844376274</v>
      </c>
      <c r="P109">
        <v>0.88484482325131208</v>
      </c>
      <c r="Q109">
        <v>0.75</v>
      </c>
      <c r="R109">
        <v>0.50420742049940981</v>
      </c>
      <c r="T109" s="15" t="s">
        <v>333</v>
      </c>
    </row>
    <row r="110" spans="1:20">
      <c r="A110">
        <v>2</v>
      </c>
      <c r="B110">
        <v>0.88162604206864925</v>
      </c>
      <c r="C110">
        <v>237</v>
      </c>
      <c r="D110">
        <v>1.0995847929737468</v>
      </c>
      <c r="I110">
        <v>1.33</v>
      </c>
      <c r="L110">
        <v>0.68204789382328534</v>
      </c>
      <c r="M110">
        <v>0.74632223562401134</v>
      </c>
      <c r="N110" s="73">
        <f t="shared" si="1"/>
        <v>0.91387856513884347</v>
      </c>
      <c r="O110">
        <v>1.0215187844376274</v>
      </c>
      <c r="P110">
        <v>0.89462727368440642</v>
      </c>
      <c r="Q110">
        <v>1</v>
      </c>
      <c r="R110">
        <v>0.50420742049940981</v>
      </c>
      <c r="T110" s="15" t="s">
        <v>334</v>
      </c>
    </row>
    <row r="111" spans="1:20">
      <c r="A111">
        <v>2</v>
      </c>
      <c r="B111">
        <v>0.88162604206864925</v>
      </c>
      <c r="C111">
        <v>238</v>
      </c>
      <c r="D111">
        <v>1.1249801196397238</v>
      </c>
      <c r="I111">
        <v>1.67</v>
      </c>
      <c r="L111">
        <v>0.48955910473828135</v>
      </c>
      <c r="M111">
        <v>0.5109134833785498</v>
      </c>
      <c r="N111" s="73">
        <f t="shared" si="1"/>
        <v>0.95820353281918302</v>
      </c>
      <c r="O111">
        <v>1.0215187844376274</v>
      </c>
      <c r="P111">
        <v>0.93801851460489671</v>
      </c>
      <c r="Q111">
        <v>1.33</v>
      </c>
      <c r="R111">
        <v>0.50420742049940981</v>
      </c>
      <c r="T111" s="15" t="s">
        <v>335</v>
      </c>
    </row>
    <row r="112" spans="1:20">
      <c r="A112">
        <v>2</v>
      </c>
      <c r="B112">
        <v>0.88162604206864925</v>
      </c>
      <c r="C112">
        <v>239</v>
      </c>
      <c r="D112">
        <v>1.1391353240320332</v>
      </c>
      <c r="I112">
        <v>2</v>
      </c>
      <c r="L112">
        <v>0.32920383638175538</v>
      </c>
      <c r="M112">
        <v>0.34280014038351342</v>
      </c>
      <c r="N112" s="73">
        <f t="shared" si="1"/>
        <v>0.96033751915461019</v>
      </c>
      <c r="O112">
        <v>1.0215187844376274</v>
      </c>
      <c r="P112">
        <v>0.94010754749194447</v>
      </c>
      <c r="Q112">
        <v>1.67</v>
      </c>
      <c r="R112">
        <v>0.50420742049940981</v>
      </c>
      <c r="T112" s="15" t="s">
        <v>336</v>
      </c>
    </row>
    <row r="113" spans="1:20">
      <c r="A113">
        <v>2</v>
      </c>
      <c r="B113">
        <v>0.88162604206864925</v>
      </c>
      <c r="C113">
        <v>240</v>
      </c>
      <c r="D113">
        <v>1.1470478771454244</v>
      </c>
      <c r="I113">
        <v>2.5</v>
      </c>
      <c r="L113">
        <v>0.231715836232738</v>
      </c>
      <c r="M113">
        <v>0.24394592307730428</v>
      </c>
      <c r="N113" s="73">
        <f t="shared" si="1"/>
        <v>0.94986558213276362</v>
      </c>
      <c r="O113">
        <v>1.0215187844376274</v>
      </c>
      <c r="P113">
        <v>0.92985620685936698</v>
      </c>
      <c r="Q113">
        <v>2</v>
      </c>
      <c r="R113">
        <v>0.50420742049940981</v>
      </c>
      <c r="T113" s="15" t="s">
        <v>337</v>
      </c>
    </row>
    <row r="114" spans="1:20">
      <c r="A114">
        <v>2</v>
      </c>
      <c r="B114">
        <v>0.88539732001610139</v>
      </c>
      <c r="C114">
        <v>25</v>
      </c>
      <c r="D114">
        <v>1.0030500553571471</v>
      </c>
      <c r="I114">
        <v>0.3</v>
      </c>
      <c r="L114">
        <v>0.14914011603607302</v>
      </c>
      <c r="M114">
        <v>0.15692762546383879</v>
      </c>
      <c r="N114" s="73">
        <f t="shared" si="1"/>
        <v>0.95037515284674812</v>
      </c>
      <c r="O114">
        <v>1.0215187844376274</v>
      </c>
      <c r="P114">
        <v>0.93035504322121132</v>
      </c>
      <c r="Q114">
        <v>2.5</v>
      </c>
      <c r="R114">
        <v>0.50420742049940981</v>
      </c>
      <c r="T114" s="15" t="s">
        <v>338</v>
      </c>
    </row>
    <row r="115" spans="1:20">
      <c r="A115">
        <v>2</v>
      </c>
      <c r="B115">
        <v>0.88539732001610139</v>
      </c>
      <c r="C115">
        <v>26</v>
      </c>
      <c r="D115">
        <v>1.0461504181072769</v>
      </c>
      <c r="I115">
        <v>0.5</v>
      </c>
      <c r="L115">
        <v>0.97381207820680871</v>
      </c>
      <c r="M115">
        <v>1.1363414347368874</v>
      </c>
      <c r="N115" s="73">
        <f t="shared" si="1"/>
        <v>0.85697137184149996</v>
      </c>
      <c r="O115">
        <v>0.99455998951003011</v>
      </c>
      <c r="P115">
        <v>0.86165880477826873</v>
      </c>
      <c r="Q115">
        <v>0.3</v>
      </c>
      <c r="R115">
        <v>0.60172287236842936</v>
      </c>
      <c r="T115" s="15" t="s">
        <v>339</v>
      </c>
    </row>
    <row r="116" spans="1:20">
      <c r="A116">
        <v>2</v>
      </c>
      <c r="B116">
        <v>0.88539732001610139</v>
      </c>
      <c r="C116">
        <v>27</v>
      </c>
      <c r="D116">
        <v>1.1167694034247846</v>
      </c>
      <c r="I116">
        <v>0.75</v>
      </c>
      <c r="L116">
        <v>0.89369332791305045</v>
      </c>
      <c r="M116">
        <v>1.0421825850749162</v>
      </c>
      <c r="N116" s="73">
        <f t="shared" si="1"/>
        <v>0.85752088042116748</v>
      </c>
      <c r="O116">
        <v>0.99455998951003011</v>
      </c>
      <c r="P116">
        <v>0.86221131904132309</v>
      </c>
      <c r="Q116">
        <v>0.5</v>
      </c>
      <c r="R116">
        <v>0.60172287236842936</v>
      </c>
      <c r="T116" s="15" t="s">
        <v>340</v>
      </c>
    </row>
    <row r="117" spans="1:20">
      <c r="A117">
        <v>2</v>
      </c>
      <c r="B117">
        <v>0.88539732001610139</v>
      </c>
      <c r="C117">
        <v>28</v>
      </c>
      <c r="D117">
        <v>1.1232110015575614</v>
      </c>
      <c r="I117">
        <v>1</v>
      </c>
      <c r="L117">
        <v>0.78945219233515396</v>
      </c>
      <c r="M117">
        <v>0.88300823658387562</v>
      </c>
      <c r="N117" s="73">
        <f t="shared" si="1"/>
        <v>0.89404850331785679</v>
      </c>
      <c r="O117">
        <v>0.99455998951003011</v>
      </c>
      <c r="P117">
        <v>0.8989387394905255</v>
      </c>
      <c r="Q117">
        <v>0.75</v>
      </c>
      <c r="R117">
        <v>0.60172287236842936</v>
      </c>
      <c r="T117" s="15" t="s">
        <v>341</v>
      </c>
    </row>
    <row r="118" spans="1:20">
      <c r="A118">
        <v>2</v>
      </c>
      <c r="B118">
        <v>0.88539732001610139</v>
      </c>
      <c r="C118">
        <v>29</v>
      </c>
      <c r="D118">
        <v>1.120401705403997</v>
      </c>
      <c r="I118">
        <v>1.33</v>
      </c>
      <c r="L118">
        <v>0.67529402793418269</v>
      </c>
      <c r="M118">
        <v>0.74475486976212746</v>
      </c>
      <c r="N118" s="73">
        <f t="shared" si="1"/>
        <v>0.90673328279124865</v>
      </c>
      <c r="O118">
        <v>0.99455998951003011</v>
      </c>
      <c r="P118">
        <v>0.91169290174034723</v>
      </c>
      <c r="Q118">
        <v>1</v>
      </c>
      <c r="R118">
        <v>0.60172287236842936</v>
      </c>
      <c r="T118" s="15" t="s">
        <v>342</v>
      </c>
    </row>
    <row r="119" spans="1:20">
      <c r="A119">
        <v>2</v>
      </c>
      <c r="B119">
        <v>0.88539732001610139</v>
      </c>
      <c r="C119">
        <v>30</v>
      </c>
      <c r="D119">
        <v>1.1190628727815295</v>
      </c>
      <c r="I119">
        <v>1.67</v>
      </c>
      <c r="L119">
        <v>0.48735451813342912</v>
      </c>
      <c r="M119">
        <v>0.51024027790799487</v>
      </c>
      <c r="N119" s="73">
        <f t="shared" si="1"/>
        <v>0.95514709291787336</v>
      </c>
      <c r="O119">
        <v>0.99455998951003011</v>
      </c>
      <c r="P119">
        <v>0.96037152408315418</v>
      </c>
      <c r="Q119">
        <v>1.33</v>
      </c>
      <c r="R119">
        <v>0.60172287236842936</v>
      </c>
      <c r="T119" s="15" t="s">
        <v>343</v>
      </c>
    </row>
    <row r="120" spans="1:20">
      <c r="A120">
        <v>2</v>
      </c>
      <c r="B120">
        <v>0.88539732001610139</v>
      </c>
      <c r="C120">
        <v>31</v>
      </c>
      <c r="D120">
        <v>1.1186678010135134</v>
      </c>
      <c r="I120">
        <v>2</v>
      </c>
      <c r="L120">
        <v>0.32763780170106016</v>
      </c>
      <c r="M120">
        <v>0.34197012684268036</v>
      </c>
      <c r="N120" s="73">
        <f t="shared" si="1"/>
        <v>0.95808895568175279</v>
      </c>
      <c r="O120">
        <v>0.99455998951003011</v>
      </c>
      <c r="P120">
        <v>0.96332947814817604</v>
      </c>
      <c r="Q120">
        <v>1.67</v>
      </c>
      <c r="R120">
        <v>0.60172287236842936</v>
      </c>
      <c r="T120" s="15" t="s">
        <v>344</v>
      </c>
    </row>
    <row r="121" spans="1:20">
      <c r="A121">
        <v>2</v>
      </c>
      <c r="B121">
        <v>0.88539732001610139</v>
      </c>
      <c r="C121">
        <v>32</v>
      </c>
      <c r="D121">
        <v>1.1155727406746716</v>
      </c>
      <c r="I121">
        <v>2.5</v>
      </c>
      <c r="L121">
        <v>0.2300858306163486</v>
      </c>
      <c r="M121">
        <v>0.24323349627591812</v>
      </c>
      <c r="N121" s="73">
        <f t="shared" si="1"/>
        <v>0.94594631964400522</v>
      </c>
      <c r="O121">
        <v>0.99455998951003011</v>
      </c>
      <c r="P121">
        <v>0.95112042473177072</v>
      </c>
      <c r="Q121">
        <v>2</v>
      </c>
      <c r="R121">
        <v>0.60172287236842936</v>
      </c>
      <c r="T121" s="15" t="s">
        <v>345</v>
      </c>
    </row>
    <row r="122" spans="1:20">
      <c r="A122">
        <v>2</v>
      </c>
      <c r="B122">
        <v>0.8869245612332064</v>
      </c>
      <c r="C122">
        <v>225</v>
      </c>
      <c r="D122">
        <v>0.93847947525215347</v>
      </c>
      <c r="I122">
        <v>0.3</v>
      </c>
      <c r="L122">
        <v>0.14787525131466975</v>
      </c>
      <c r="M122">
        <v>0.15644847563221206</v>
      </c>
      <c r="N122" s="73">
        <f t="shared" si="1"/>
        <v>0.94520097250613844</v>
      </c>
      <c r="O122">
        <v>0.99455998951003011</v>
      </c>
      <c r="P122">
        <v>0.95037100071941527</v>
      </c>
      <c r="Q122">
        <v>2.5</v>
      </c>
      <c r="R122">
        <v>0.60172287236842936</v>
      </c>
      <c r="T122" s="15" t="s">
        <v>346</v>
      </c>
    </row>
    <row r="123" spans="1:20">
      <c r="A123">
        <v>2</v>
      </c>
      <c r="B123">
        <v>0.8869245612332064</v>
      </c>
      <c r="C123">
        <v>226</v>
      </c>
      <c r="D123">
        <v>0.98862744420548465</v>
      </c>
      <c r="I123">
        <v>0.5</v>
      </c>
      <c r="L123">
        <v>0.88552235033485527</v>
      </c>
      <c r="M123">
        <v>1.1351319492612326</v>
      </c>
      <c r="N123" s="73">
        <f t="shared" si="1"/>
        <v>0.78010521235982433</v>
      </c>
      <c r="O123">
        <v>0.8964760272778769</v>
      </c>
      <c r="P123">
        <v>0.87019082342736032</v>
      </c>
      <c r="Q123">
        <v>0.3</v>
      </c>
      <c r="R123">
        <v>0.80762280341764636</v>
      </c>
      <c r="T123" s="15" t="s">
        <v>347</v>
      </c>
    </row>
    <row r="124" spans="1:20">
      <c r="A124">
        <v>2</v>
      </c>
      <c r="B124">
        <v>0.8869245612332064</v>
      </c>
      <c r="C124">
        <v>227</v>
      </c>
      <c r="D124">
        <v>1.0653015435735493</v>
      </c>
      <c r="I124">
        <v>0.75</v>
      </c>
      <c r="L124">
        <v>0.83816189593102275</v>
      </c>
      <c r="M124">
        <v>1.0328422444596184</v>
      </c>
      <c r="N124" s="73">
        <f t="shared" si="1"/>
        <v>0.81151008339085495</v>
      </c>
      <c r="O124">
        <v>0.8964760272778769</v>
      </c>
      <c r="P124">
        <v>0.90522229116932607</v>
      </c>
      <c r="Q124">
        <v>0.5</v>
      </c>
      <c r="R124">
        <v>0.80762280341764636</v>
      </c>
      <c r="T124" s="15" t="s">
        <v>348</v>
      </c>
    </row>
    <row r="125" spans="1:20">
      <c r="A125">
        <v>2</v>
      </c>
      <c r="B125">
        <v>0.8869245612332064</v>
      </c>
      <c r="C125">
        <v>228</v>
      </c>
      <c r="D125">
        <v>1.0964597040050403</v>
      </c>
      <c r="I125">
        <v>1</v>
      </c>
      <c r="L125">
        <v>0.7555759240148221</v>
      </c>
      <c r="M125">
        <v>0.87611250578399513</v>
      </c>
      <c r="N125" s="73">
        <f t="shared" si="1"/>
        <v>0.86241883208674197</v>
      </c>
      <c r="O125">
        <v>0.8964760272778769</v>
      </c>
      <c r="P125">
        <v>0.96200992089599024</v>
      </c>
      <c r="Q125">
        <v>0.75</v>
      </c>
      <c r="R125">
        <v>0.80762280341764636</v>
      </c>
      <c r="T125" s="15" t="s">
        <v>349</v>
      </c>
    </row>
    <row r="126" spans="1:20">
      <c r="A126">
        <v>2</v>
      </c>
      <c r="B126">
        <v>0.8869245612332064</v>
      </c>
      <c r="C126">
        <v>229</v>
      </c>
      <c r="D126">
        <v>1.1167466385637022</v>
      </c>
      <c r="I126">
        <v>1.33</v>
      </c>
      <c r="L126">
        <v>0.66076658273599165</v>
      </c>
      <c r="M126">
        <v>0.74309802829001781</v>
      </c>
      <c r="N126" s="73">
        <f t="shared" si="1"/>
        <v>0.8892051352316418</v>
      </c>
      <c r="O126">
        <v>0.8964760272778769</v>
      </c>
      <c r="P126">
        <v>0.99188947409077644</v>
      </c>
      <c r="Q126">
        <v>1</v>
      </c>
      <c r="R126">
        <v>0.80762280341764636</v>
      </c>
      <c r="T126" s="15" t="s">
        <v>350</v>
      </c>
    </row>
    <row r="127" spans="1:20">
      <c r="A127">
        <v>2</v>
      </c>
      <c r="B127">
        <v>0.8869245612332064</v>
      </c>
      <c r="C127">
        <v>230</v>
      </c>
      <c r="D127">
        <v>1.1240117618866656</v>
      </c>
      <c r="I127">
        <v>1.67</v>
      </c>
      <c r="L127">
        <v>0.48290878104832713</v>
      </c>
      <c r="M127">
        <v>0.50923154511026247</v>
      </c>
      <c r="N127" s="73">
        <f t="shared" si="1"/>
        <v>0.94830885023779166</v>
      </c>
      <c r="O127">
        <v>0.8964760272778769</v>
      </c>
      <c r="P127">
        <v>1.0578184149745795</v>
      </c>
      <c r="Q127">
        <v>1.33</v>
      </c>
      <c r="R127">
        <v>0.80762280341764636</v>
      </c>
      <c r="T127" s="15" t="s">
        <v>351</v>
      </c>
    </row>
    <row r="128" spans="1:20">
      <c r="A128">
        <v>2</v>
      </c>
      <c r="B128">
        <v>0.8869245612332064</v>
      </c>
      <c r="C128">
        <v>231</v>
      </c>
      <c r="D128">
        <v>1.1391435181259117</v>
      </c>
      <c r="I128">
        <v>2</v>
      </c>
      <c r="L128">
        <v>0.32527283161211068</v>
      </c>
      <c r="M128">
        <v>0.3407406455977201</v>
      </c>
      <c r="N128" s="73">
        <f t="shared" si="1"/>
        <v>0.95460531584520503</v>
      </c>
      <c r="O128">
        <v>0.8964760272778769</v>
      </c>
      <c r="P128">
        <v>1.0648419888525475</v>
      </c>
      <c r="Q128">
        <v>1.67</v>
      </c>
      <c r="R128">
        <v>0.80762280341764636</v>
      </c>
      <c r="T128" s="15" t="s">
        <v>352</v>
      </c>
    </row>
    <row r="129" spans="1:20">
      <c r="A129">
        <v>2</v>
      </c>
      <c r="B129">
        <v>0.8869245612332064</v>
      </c>
      <c r="C129">
        <v>232</v>
      </c>
      <c r="D129">
        <v>1.1492786070576391</v>
      </c>
      <c r="I129">
        <v>2.5</v>
      </c>
      <c r="L129">
        <v>0.22769855622838367</v>
      </c>
      <c r="M129">
        <v>0.24216681791003478</v>
      </c>
      <c r="N129" s="73">
        <f t="shared" si="1"/>
        <v>0.94025497875177066</v>
      </c>
      <c r="O129">
        <v>0.8964760272778769</v>
      </c>
      <c r="P129">
        <v>1.0488344921021784</v>
      </c>
      <c r="Q129">
        <v>2</v>
      </c>
      <c r="R129">
        <v>0.80762280341764636</v>
      </c>
      <c r="T129" s="15" t="s">
        <v>353</v>
      </c>
    </row>
    <row r="130" spans="1:20">
      <c r="A130">
        <v>2</v>
      </c>
      <c r="B130">
        <v>0.8964760272778769</v>
      </c>
      <c r="C130">
        <v>121</v>
      </c>
      <c r="D130">
        <v>0.87019082342736032</v>
      </c>
      <c r="I130">
        <v>0.3</v>
      </c>
      <c r="L130">
        <v>0.14598590221555394</v>
      </c>
      <c r="M130">
        <v>0.1557479177030327</v>
      </c>
      <c r="N130" s="73">
        <f t="shared" si="1"/>
        <v>0.93732169500916107</v>
      </c>
      <c r="O130">
        <v>0.8964760272778769</v>
      </c>
      <c r="P130">
        <v>1.0455624762831761</v>
      </c>
      <c r="Q130">
        <v>2.5</v>
      </c>
      <c r="R130">
        <v>0.80762280341764636</v>
      </c>
      <c r="T130" s="15" t="s">
        <v>354</v>
      </c>
    </row>
    <row r="131" spans="1:20">
      <c r="A131">
        <v>2</v>
      </c>
      <c r="B131">
        <v>0.8964760272778769</v>
      </c>
      <c r="C131">
        <v>122</v>
      </c>
      <c r="D131">
        <v>0.90522229116932607</v>
      </c>
      <c r="I131">
        <v>0.5</v>
      </c>
      <c r="L131">
        <v>0.8526004811096346</v>
      </c>
      <c r="M131">
        <v>1.132620775381286</v>
      </c>
      <c r="N131" s="73">
        <f t="shared" si="1"/>
        <v>0.75276782806903286</v>
      </c>
      <c r="O131">
        <v>0.87128800210660096</v>
      </c>
      <c r="P131">
        <v>0.86397130024629065</v>
      </c>
      <c r="Q131">
        <v>0.3</v>
      </c>
      <c r="R131">
        <v>1.1133153135475653</v>
      </c>
      <c r="T131" s="15" t="s">
        <v>355</v>
      </c>
    </row>
    <row r="132" spans="1:20">
      <c r="A132">
        <v>2</v>
      </c>
      <c r="B132">
        <v>0.8964760272778769</v>
      </c>
      <c r="C132">
        <v>123</v>
      </c>
      <c r="D132">
        <v>0.96200992089599024</v>
      </c>
      <c r="I132">
        <v>0.75</v>
      </c>
      <c r="L132">
        <v>0.78084573151064163</v>
      </c>
      <c r="M132">
        <v>1.0245809323630557</v>
      </c>
      <c r="N132" s="73">
        <f t="shared" ref="N132:N195" si="2">L132/M132</f>
        <v>0.76211230059662327</v>
      </c>
      <c r="O132">
        <v>0.87128800210660096</v>
      </c>
      <c r="P132">
        <v>0.87469619546463095</v>
      </c>
      <c r="Q132">
        <v>0.5</v>
      </c>
      <c r="R132">
        <v>1.1133153135475653</v>
      </c>
      <c r="T132" s="15" t="s">
        <v>356</v>
      </c>
    </row>
    <row r="133" spans="1:20">
      <c r="A133">
        <v>2</v>
      </c>
      <c r="B133">
        <v>0.8964760272778769</v>
      </c>
      <c r="C133">
        <v>124</v>
      </c>
      <c r="D133">
        <v>0.99188947409077644</v>
      </c>
      <c r="I133">
        <v>1</v>
      </c>
      <c r="L133">
        <v>0.69538491287195825</v>
      </c>
      <c r="M133">
        <v>0.87122406673706843</v>
      </c>
      <c r="N133" s="73">
        <f t="shared" si="2"/>
        <v>0.79816999945413847</v>
      </c>
      <c r="O133">
        <v>0.87128800210660096</v>
      </c>
      <c r="P133">
        <v>0.91608055835076618</v>
      </c>
      <c r="Q133">
        <v>0.75</v>
      </c>
      <c r="R133">
        <v>1.1133153135475653</v>
      </c>
      <c r="T133" s="15" t="s">
        <v>357</v>
      </c>
    </row>
    <row r="134" spans="1:20">
      <c r="A134">
        <v>2</v>
      </c>
      <c r="B134">
        <v>0.8964760272778769</v>
      </c>
      <c r="C134">
        <v>125</v>
      </c>
      <c r="D134">
        <v>1.0578184149745795</v>
      </c>
      <c r="I134">
        <v>1.33</v>
      </c>
      <c r="L134">
        <v>0.62768683256238933</v>
      </c>
      <c r="M134">
        <v>0.74221252828537065</v>
      </c>
      <c r="N134" s="73">
        <f t="shared" si="2"/>
        <v>0.84569689764257427</v>
      </c>
      <c r="O134">
        <v>0.87128800210660096</v>
      </c>
      <c r="P134">
        <v>0.97062842091001766</v>
      </c>
      <c r="Q134">
        <v>1</v>
      </c>
      <c r="R134">
        <v>1.1133153135475653</v>
      </c>
      <c r="T134" s="15" t="s">
        <v>358</v>
      </c>
    </row>
    <row r="135" spans="1:20">
      <c r="A135">
        <v>2</v>
      </c>
      <c r="B135">
        <v>0.8964760272778769</v>
      </c>
      <c r="C135">
        <v>126</v>
      </c>
      <c r="D135">
        <v>1.0648419888525475</v>
      </c>
      <c r="I135">
        <v>1.67</v>
      </c>
      <c r="L135">
        <v>0.47574226147040766</v>
      </c>
      <c r="M135">
        <v>0.50822066149633049</v>
      </c>
      <c r="N135" s="73">
        <f t="shared" si="2"/>
        <v>0.93609390076684762</v>
      </c>
      <c r="O135">
        <v>0.87128800210660096</v>
      </c>
      <c r="P135">
        <v>1.0743794227667074</v>
      </c>
      <c r="Q135">
        <v>1.33</v>
      </c>
      <c r="R135">
        <v>1.1133153135475653</v>
      </c>
      <c r="T135" s="15" t="s">
        <v>359</v>
      </c>
    </row>
    <row r="136" spans="1:20">
      <c r="A136">
        <v>2</v>
      </c>
      <c r="B136">
        <v>0.8964760272778769</v>
      </c>
      <c r="C136">
        <v>127</v>
      </c>
      <c r="D136">
        <v>1.0488344921021784</v>
      </c>
      <c r="I136">
        <v>2</v>
      </c>
      <c r="L136">
        <v>0.32337327550861483</v>
      </c>
      <c r="M136">
        <v>0.33969081111913207</v>
      </c>
      <c r="N136" s="73">
        <f t="shared" si="2"/>
        <v>0.95196356487607625</v>
      </c>
      <c r="O136">
        <v>0.87128800210660096</v>
      </c>
      <c r="P136">
        <v>1.0925934508158242</v>
      </c>
      <c r="Q136">
        <v>1.67</v>
      </c>
      <c r="R136">
        <v>1.1133153135475653</v>
      </c>
      <c r="T136" s="15" t="s">
        <v>360</v>
      </c>
    </row>
    <row r="137" spans="1:20">
      <c r="A137">
        <v>2</v>
      </c>
      <c r="B137">
        <v>0.8964760272778769</v>
      </c>
      <c r="C137">
        <v>128</v>
      </c>
      <c r="D137">
        <v>1.0455624762831761</v>
      </c>
      <c r="I137">
        <v>2.5</v>
      </c>
      <c r="L137">
        <v>0.22590655899468468</v>
      </c>
      <c r="M137">
        <v>0.24132378887047165</v>
      </c>
      <c r="N137" s="73">
        <f t="shared" si="2"/>
        <v>0.93611392416823846</v>
      </c>
      <c r="O137">
        <v>0.87128800210660096</v>
      </c>
      <c r="P137">
        <v>1.0744024041475393</v>
      </c>
      <c r="Q137">
        <v>2</v>
      </c>
      <c r="R137">
        <v>1.1133153135475653</v>
      </c>
      <c r="T137" s="15" t="s">
        <v>361</v>
      </c>
    </row>
    <row r="138" spans="1:20">
      <c r="A138">
        <v>2</v>
      </c>
      <c r="B138">
        <v>0.90992969508953903</v>
      </c>
      <c r="C138">
        <v>217</v>
      </c>
      <c r="D138">
        <v>0.94351114235224676</v>
      </c>
      <c r="I138">
        <v>0.3</v>
      </c>
      <c r="L138">
        <v>0.14458440788181481</v>
      </c>
      <c r="M138">
        <v>0.15521615979352593</v>
      </c>
      <c r="N138" s="73">
        <f t="shared" si="2"/>
        <v>0.93150357587860788</v>
      </c>
      <c r="O138">
        <v>0.87128800210660096</v>
      </c>
      <c r="P138">
        <v>1.0691109869829696</v>
      </c>
      <c r="Q138">
        <v>2.5</v>
      </c>
      <c r="R138">
        <v>1.1133153135475653</v>
      </c>
      <c r="T138" s="15" t="s">
        <v>362</v>
      </c>
    </row>
    <row r="139" spans="1:20">
      <c r="A139">
        <v>2</v>
      </c>
      <c r="B139">
        <v>0.90992969508953903</v>
      </c>
      <c r="C139">
        <v>218</v>
      </c>
      <c r="D139">
        <v>1.012714394352777</v>
      </c>
      <c r="I139">
        <v>0.5</v>
      </c>
      <c r="L139">
        <v>0.84254222633563602</v>
      </c>
      <c r="M139">
        <v>1.1289082515782114</v>
      </c>
      <c r="N139" s="73">
        <f t="shared" si="2"/>
        <v>0.7463336592302906</v>
      </c>
      <c r="O139">
        <v>0.86587161690105752</v>
      </c>
      <c r="P139">
        <v>0.86194494040745717</v>
      </c>
      <c r="Q139">
        <v>0.3</v>
      </c>
      <c r="R139">
        <v>1.5137471488237149</v>
      </c>
      <c r="T139" s="15" t="s">
        <v>363</v>
      </c>
    </row>
    <row r="140" spans="1:20">
      <c r="A140">
        <v>2</v>
      </c>
      <c r="B140">
        <v>0.90992969508953903</v>
      </c>
      <c r="C140">
        <v>219</v>
      </c>
      <c r="D140">
        <v>1.1020313006750613</v>
      </c>
      <c r="I140">
        <v>0.75</v>
      </c>
      <c r="L140">
        <v>0.75777908837688568</v>
      </c>
      <c r="M140">
        <v>1.0160594973200121</v>
      </c>
      <c r="N140" s="73">
        <f t="shared" si="2"/>
        <v>0.74580188500341338</v>
      </c>
      <c r="O140">
        <v>0.86587161690105752</v>
      </c>
      <c r="P140">
        <v>0.86133079136215129</v>
      </c>
      <c r="Q140">
        <v>0.5</v>
      </c>
      <c r="R140">
        <v>1.5137471488237149</v>
      </c>
      <c r="T140" s="15" t="s">
        <v>364</v>
      </c>
    </row>
    <row r="141" spans="1:20">
      <c r="A141">
        <v>2</v>
      </c>
      <c r="B141">
        <v>0.90992969508953903</v>
      </c>
      <c r="C141">
        <v>220</v>
      </c>
      <c r="D141">
        <v>1.118016388816679</v>
      </c>
      <c r="I141">
        <v>1</v>
      </c>
      <c r="L141">
        <v>0.6597371550875194</v>
      </c>
      <c r="M141">
        <v>0.86766127249046365</v>
      </c>
      <c r="N141" s="73">
        <f t="shared" si="2"/>
        <v>0.76036257005439933</v>
      </c>
      <c r="O141">
        <v>0.86587161690105752</v>
      </c>
      <c r="P141">
        <v>0.87814700841647442</v>
      </c>
      <c r="Q141">
        <v>0.75</v>
      </c>
      <c r="R141">
        <v>1.5137471488237149</v>
      </c>
      <c r="T141" s="15" t="s">
        <v>365</v>
      </c>
    </row>
    <row r="142" spans="1:20">
      <c r="A142">
        <v>2</v>
      </c>
      <c r="B142">
        <v>0.90992969508953903</v>
      </c>
      <c r="C142">
        <v>221</v>
      </c>
      <c r="D142">
        <v>1.1044012593785235</v>
      </c>
      <c r="I142">
        <v>1.33</v>
      </c>
      <c r="L142">
        <v>0.59830180801793298</v>
      </c>
      <c r="M142">
        <v>0.74140107706160008</v>
      </c>
      <c r="N142" s="73">
        <f t="shared" si="2"/>
        <v>0.8069880480740419</v>
      </c>
      <c r="O142">
        <v>0.86587161690105752</v>
      </c>
      <c r="P142">
        <v>0.93199503520191707</v>
      </c>
      <c r="Q142">
        <v>1</v>
      </c>
      <c r="R142">
        <v>1.5137471488237149</v>
      </c>
      <c r="T142" s="15" t="s">
        <v>366</v>
      </c>
    </row>
    <row r="143" spans="1:20">
      <c r="A143">
        <v>2</v>
      </c>
      <c r="B143">
        <v>0.90992969508953903</v>
      </c>
      <c r="C143">
        <v>222</v>
      </c>
      <c r="D143">
        <v>1.1004039066269315</v>
      </c>
      <c r="I143">
        <v>1.67</v>
      </c>
      <c r="L143">
        <v>0.4629524329379649</v>
      </c>
      <c r="M143">
        <v>0.50719794839329879</v>
      </c>
      <c r="N143" s="73">
        <f t="shared" si="2"/>
        <v>0.91276479805272326</v>
      </c>
      <c r="O143">
        <v>0.86587161690105752</v>
      </c>
      <c r="P143">
        <v>1.0541571986381719</v>
      </c>
      <c r="Q143">
        <v>1.33</v>
      </c>
      <c r="R143">
        <v>1.5137471488237149</v>
      </c>
      <c r="T143" s="15" t="s">
        <v>367</v>
      </c>
    </row>
    <row r="144" spans="1:20">
      <c r="A144">
        <v>2</v>
      </c>
      <c r="B144">
        <v>0.90992969508953903</v>
      </c>
      <c r="C144">
        <v>223</v>
      </c>
      <c r="D144">
        <v>1.1195897775821431</v>
      </c>
      <c r="I144">
        <v>2</v>
      </c>
      <c r="L144">
        <v>0.32112503791764563</v>
      </c>
      <c r="M144">
        <v>0.33876528917086041</v>
      </c>
      <c r="N144" s="73">
        <f t="shared" si="2"/>
        <v>0.94792780778576846</v>
      </c>
      <c r="O144">
        <v>0.86587161690105752</v>
      </c>
      <c r="P144">
        <v>1.0947671563347796</v>
      </c>
      <c r="Q144">
        <v>1.67</v>
      </c>
      <c r="R144">
        <v>1.5137471488237149</v>
      </c>
      <c r="T144" s="15" t="s">
        <v>368</v>
      </c>
    </row>
    <row r="145" spans="1:20">
      <c r="A145">
        <v>2</v>
      </c>
      <c r="B145">
        <v>0.90992969508953903</v>
      </c>
      <c r="C145">
        <v>224</v>
      </c>
      <c r="D145">
        <v>1.1331585102993571</v>
      </c>
      <c r="I145">
        <v>2.5</v>
      </c>
      <c r="L145">
        <v>0.22445367916054396</v>
      </c>
      <c r="M145">
        <v>0.2406197699384961</v>
      </c>
      <c r="N145" s="73">
        <f t="shared" si="2"/>
        <v>0.9328147858254362</v>
      </c>
      <c r="O145">
        <v>0.86587161690105752</v>
      </c>
      <c r="P145">
        <v>1.077313042277523</v>
      </c>
      <c r="Q145">
        <v>2</v>
      </c>
      <c r="R145">
        <v>1.5137471488237149</v>
      </c>
      <c r="T145" s="15" t="s">
        <v>369</v>
      </c>
    </row>
    <row r="146" spans="1:20">
      <c r="A146">
        <v>2</v>
      </c>
      <c r="B146">
        <v>0.93814976278525242</v>
      </c>
      <c r="C146">
        <v>257</v>
      </c>
      <c r="D146">
        <v>0.91777932371063076</v>
      </c>
      <c r="I146">
        <v>0.3</v>
      </c>
      <c r="L146">
        <v>0.14351370103057309</v>
      </c>
      <c r="M146">
        <v>0.15479832297352913</v>
      </c>
      <c r="N146" s="73">
        <f t="shared" si="2"/>
        <v>0.92710113568293795</v>
      </c>
      <c r="O146">
        <v>0.86587161690105752</v>
      </c>
      <c r="P146">
        <v>1.070714315594522</v>
      </c>
      <c r="Q146">
        <v>2.5</v>
      </c>
      <c r="R146">
        <v>1.5137471488237149</v>
      </c>
      <c r="T146" s="15" t="s">
        <v>370</v>
      </c>
    </row>
    <row r="147" spans="1:20">
      <c r="A147">
        <v>2</v>
      </c>
      <c r="B147">
        <v>0.93814976278525242</v>
      </c>
      <c r="C147">
        <v>258</v>
      </c>
      <c r="D147">
        <v>0.96056536692138594</v>
      </c>
      <c r="I147">
        <v>0.5</v>
      </c>
      <c r="L147">
        <v>0.98863776676152715</v>
      </c>
      <c r="M147">
        <v>1.1288594382630501</v>
      </c>
      <c r="N147" s="73">
        <f t="shared" si="2"/>
        <v>0.87578464886888063</v>
      </c>
      <c r="O147">
        <v>1.0341744345176882</v>
      </c>
      <c r="P147">
        <v>0.84684422631016165</v>
      </c>
      <c r="Q147">
        <v>0.3</v>
      </c>
      <c r="R147">
        <v>0.35499999999999998</v>
      </c>
      <c r="T147" s="15" t="s">
        <v>371</v>
      </c>
    </row>
    <row r="148" spans="1:20">
      <c r="A148">
        <v>2</v>
      </c>
      <c r="B148">
        <v>0.93814976278525242</v>
      </c>
      <c r="C148">
        <v>259</v>
      </c>
      <c r="D148">
        <v>1.0467202973612959</v>
      </c>
      <c r="I148">
        <v>0.75</v>
      </c>
      <c r="L148">
        <v>0.86436205715155112</v>
      </c>
      <c r="M148">
        <v>1.013708756618483</v>
      </c>
      <c r="N148" s="73">
        <f t="shared" si="2"/>
        <v>0.85267297091807637</v>
      </c>
      <c r="O148">
        <v>1.0341744345176882</v>
      </c>
      <c r="P148">
        <v>0.82449627689330829</v>
      </c>
      <c r="Q148">
        <v>0.5</v>
      </c>
      <c r="R148">
        <v>0.35499999999999998</v>
      </c>
      <c r="T148" s="15" t="s">
        <v>372</v>
      </c>
    </row>
    <row r="149" spans="1:20">
      <c r="A149">
        <v>2</v>
      </c>
      <c r="B149">
        <v>0.93814976278525242</v>
      </c>
      <c r="C149">
        <v>260</v>
      </c>
      <c r="D149">
        <v>1.0300213026055376</v>
      </c>
      <c r="I149">
        <v>1</v>
      </c>
      <c r="L149">
        <v>0.73845548892546398</v>
      </c>
      <c r="M149">
        <v>0.87829813540246293</v>
      </c>
      <c r="N149" s="73">
        <f t="shared" si="2"/>
        <v>0.84077998023653</v>
      </c>
      <c r="O149">
        <v>1.0341744345176882</v>
      </c>
      <c r="P149">
        <v>0.81299629170261567</v>
      </c>
      <c r="Q149">
        <v>0.75</v>
      </c>
      <c r="R149">
        <v>0.35499999999999998</v>
      </c>
      <c r="T149" s="15" t="s">
        <v>373</v>
      </c>
    </row>
    <row r="150" spans="1:20">
      <c r="A150">
        <v>2</v>
      </c>
      <c r="B150">
        <v>0.93814976278525242</v>
      </c>
      <c r="C150">
        <v>261</v>
      </c>
      <c r="D150">
        <v>1.029700439437472</v>
      </c>
      <c r="I150">
        <v>1.33</v>
      </c>
      <c r="L150">
        <v>0.65219389366661218</v>
      </c>
      <c r="M150">
        <v>0.7476396868504378</v>
      </c>
      <c r="N150" s="73">
        <f t="shared" si="2"/>
        <v>0.8723371767677186</v>
      </c>
      <c r="O150">
        <v>1.0341744345176882</v>
      </c>
      <c r="P150">
        <v>0.84351067639237653</v>
      </c>
      <c r="Q150">
        <v>1</v>
      </c>
      <c r="R150">
        <v>0.35499999999999998</v>
      </c>
      <c r="T150" s="15" t="s">
        <v>374</v>
      </c>
    </row>
    <row r="151" spans="1:20">
      <c r="A151">
        <v>2</v>
      </c>
      <c r="B151">
        <v>0.93814976278525242</v>
      </c>
      <c r="C151">
        <v>262</v>
      </c>
      <c r="D151">
        <v>1.0414833685872376</v>
      </c>
      <c r="I151">
        <v>1.67</v>
      </c>
      <c r="L151">
        <v>0.48031274589510142</v>
      </c>
      <c r="M151">
        <v>0.51010477648740427</v>
      </c>
      <c r="N151" s="73">
        <f t="shared" si="2"/>
        <v>0.94159625244552381</v>
      </c>
      <c r="O151">
        <v>1.0341744345176882</v>
      </c>
      <c r="P151">
        <v>0.91048107651651589</v>
      </c>
      <c r="Q151">
        <v>1.33</v>
      </c>
      <c r="R151">
        <v>0.35499999999999998</v>
      </c>
      <c r="T151" s="15" t="s">
        <v>375</v>
      </c>
    </row>
    <row r="152" spans="1:20">
      <c r="A152">
        <v>2</v>
      </c>
      <c r="B152">
        <v>0.93814976278525242</v>
      </c>
      <c r="C152">
        <v>263</v>
      </c>
      <c r="D152">
        <v>1.0532056816853614</v>
      </c>
      <c r="I152">
        <v>2</v>
      </c>
      <c r="L152">
        <v>0.32458001665656599</v>
      </c>
      <c r="M152">
        <v>0.34092105036732595</v>
      </c>
      <c r="N152" s="73">
        <f t="shared" si="2"/>
        <v>0.95206798262192005</v>
      </c>
      <c r="O152">
        <v>1.0341744345176882</v>
      </c>
      <c r="P152">
        <v>0.92060676694830446</v>
      </c>
      <c r="Q152">
        <v>1.67</v>
      </c>
      <c r="R152">
        <v>0.35499999999999998</v>
      </c>
      <c r="T152" s="15" t="s">
        <v>376</v>
      </c>
    </row>
    <row r="153" spans="1:20">
      <c r="A153">
        <v>2</v>
      </c>
      <c r="B153">
        <v>0.93814976278525242</v>
      </c>
      <c r="C153">
        <v>264</v>
      </c>
      <c r="D153">
        <v>1.0602730202836754</v>
      </c>
      <c r="I153">
        <v>2.5</v>
      </c>
      <c r="L153">
        <v>0.22608592687544291</v>
      </c>
      <c r="M153">
        <v>0.24252106947453211</v>
      </c>
      <c r="N153" s="73">
        <f t="shared" si="2"/>
        <v>0.93223210406131285</v>
      </c>
      <c r="O153">
        <v>1.0341744345176882</v>
      </c>
      <c r="P153">
        <v>0.90142636768629991</v>
      </c>
      <c r="Q153">
        <v>2</v>
      </c>
      <c r="R153">
        <v>0.35499999999999998</v>
      </c>
      <c r="T153" s="15" t="s">
        <v>377</v>
      </c>
    </row>
    <row r="154" spans="1:20">
      <c r="A154">
        <v>2</v>
      </c>
      <c r="B154">
        <v>0.9426544378140097</v>
      </c>
      <c r="C154">
        <v>161</v>
      </c>
      <c r="D154">
        <v>0.84706245057966556</v>
      </c>
      <c r="I154">
        <v>0.3</v>
      </c>
      <c r="L154">
        <v>0.14445042759714194</v>
      </c>
      <c r="M154">
        <v>0.15625734556509394</v>
      </c>
      <c r="N154" s="73">
        <f t="shared" si="2"/>
        <v>0.92443927723683583</v>
      </c>
      <c r="O154">
        <v>1.0341744345176882</v>
      </c>
      <c r="P154">
        <v>0.89389105588166096</v>
      </c>
      <c r="Q154">
        <v>2.5</v>
      </c>
      <c r="R154">
        <v>0.35499999999999998</v>
      </c>
      <c r="T154" s="15" t="s">
        <v>378</v>
      </c>
    </row>
    <row r="155" spans="1:20">
      <c r="A155">
        <v>2</v>
      </c>
      <c r="B155">
        <v>0.9426544378140097</v>
      </c>
      <c r="C155">
        <v>162</v>
      </c>
      <c r="D155">
        <v>0.85567071240966586</v>
      </c>
      <c r="I155">
        <v>0.5</v>
      </c>
      <c r="L155">
        <v>0.95975655529129633</v>
      </c>
      <c r="M155">
        <v>1.1348065271601597</v>
      </c>
      <c r="N155" s="73">
        <f t="shared" si="2"/>
        <v>0.84574465542868882</v>
      </c>
      <c r="O155">
        <v>0.99750509680050548</v>
      </c>
      <c r="P155">
        <v>0.84785998401553264</v>
      </c>
      <c r="Q155">
        <v>0.3</v>
      </c>
      <c r="R155">
        <v>0.50316512905442312</v>
      </c>
      <c r="T155" s="15" t="s">
        <v>379</v>
      </c>
    </row>
    <row r="156" spans="1:20">
      <c r="A156">
        <v>2</v>
      </c>
      <c r="B156">
        <v>0.9426544378140097</v>
      </c>
      <c r="C156">
        <v>163</v>
      </c>
      <c r="D156">
        <v>0.86520348219316823</v>
      </c>
      <c r="I156">
        <v>0.75</v>
      </c>
      <c r="L156">
        <v>0.85019739929735672</v>
      </c>
      <c r="M156">
        <v>1.0182271885406846</v>
      </c>
      <c r="N156" s="73">
        <f t="shared" si="2"/>
        <v>0.83497809611217821</v>
      </c>
      <c r="O156">
        <v>0.99750509680050548</v>
      </c>
      <c r="P156">
        <v>0.8370664959912163</v>
      </c>
      <c r="Q156">
        <v>0.5</v>
      </c>
      <c r="R156">
        <v>0.50316512905442312</v>
      </c>
      <c r="T156" s="15" t="s">
        <v>380</v>
      </c>
    </row>
    <row r="157" spans="1:20">
      <c r="A157">
        <v>2</v>
      </c>
      <c r="B157">
        <v>0.9426544378140097</v>
      </c>
      <c r="C157">
        <v>164</v>
      </c>
      <c r="D157">
        <v>0.89383974865964633</v>
      </c>
      <c r="I157">
        <v>1</v>
      </c>
      <c r="L157">
        <v>0.72851018062529138</v>
      </c>
      <c r="M157">
        <v>0.87849827011820647</v>
      </c>
      <c r="N157" s="73">
        <f t="shared" si="2"/>
        <v>0.82926763251026847</v>
      </c>
      <c r="O157">
        <v>0.99750509680050548</v>
      </c>
      <c r="P157">
        <v>0.83134174970147201</v>
      </c>
      <c r="Q157">
        <v>0.75</v>
      </c>
      <c r="R157">
        <v>0.50316512905442312</v>
      </c>
      <c r="T157" s="15" t="s">
        <v>381</v>
      </c>
    </row>
    <row r="158" spans="1:20">
      <c r="A158">
        <v>2</v>
      </c>
      <c r="B158">
        <v>0.9426544378140097</v>
      </c>
      <c r="C158">
        <v>165</v>
      </c>
      <c r="D158">
        <v>0.97367220460602155</v>
      </c>
      <c r="I158">
        <v>1.33</v>
      </c>
      <c r="L158">
        <v>0.6397228448206761</v>
      </c>
      <c r="M158">
        <v>0.74608311976909802</v>
      </c>
      <c r="N158" s="73">
        <f t="shared" si="2"/>
        <v>0.85744178881658806</v>
      </c>
      <c r="O158">
        <v>0.99750509680050548</v>
      </c>
      <c r="P158">
        <v>0.8595863736103504</v>
      </c>
      <c r="Q158">
        <v>1</v>
      </c>
      <c r="R158">
        <v>0.50316512905442312</v>
      </c>
      <c r="T158" s="15" t="s">
        <v>382</v>
      </c>
    </row>
    <row r="159" spans="1:20">
      <c r="A159">
        <v>2</v>
      </c>
      <c r="B159">
        <v>0.9426544378140097</v>
      </c>
      <c r="C159">
        <v>166</v>
      </c>
      <c r="D159">
        <v>0.99576978757300949</v>
      </c>
      <c r="I159">
        <v>1.67</v>
      </c>
      <c r="L159">
        <v>0.47313117060378251</v>
      </c>
      <c r="M159">
        <v>0.50925412868036102</v>
      </c>
      <c r="N159" s="73">
        <f t="shared" si="2"/>
        <v>0.92906693133704277</v>
      </c>
      <c r="O159">
        <v>0.99750509680050548</v>
      </c>
      <c r="P159">
        <v>0.93139066087684375</v>
      </c>
      <c r="Q159">
        <v>1.33</v>
      </c>
      <c r="R159">
        <v>0.50316512905442312</v>
      </c>
      <c r="T159" s="15" t="s">
        <v>383</v>
      </c>
    </row>
    <row r="160" spans="1:20">
      <c r="A160">
        <v>2</v>
      </c>
      <c r="B160">
        <v>0.9426544378140097</v>
      </c>
      <c r="C160">
        <v>167</v>
      </c>
      <c r="D160">
        <v>0.97814217998978514</v>
      </c>
      <c r="I160">
        <v>2</v>
      </c>
      <c r="L160">
        <v>0.32138351702031603</v>
      </c>
      <c r="M160">
        <v>0.34020170529860377</v>
      </c>
      <c r="N160" s="73">
        <f t="shared" si="2"/>
        <v>0.94468520296871961</v>
      </c>
      <c r="O160">
        <v>0.99750509680050548</v>
      </c>
      <c r="P160">
        <v>0.94704799604412504</v>
      </c>
      <c r="Q160">
        <v>1.67</v>
      </c>
      <c r="R160">
        <v>0.50316512905442312</v>
      </c>
      <c r="T160" s="15" t="s">
        <v>384</v>
      </c>
    </row>
    <row r="161" spans="1:20">
      <c r="A161">
        <v>2</v>
      </c>
      <c r="B161">
        <v>0.9426544378140097</v>
      </c>
      <c r="C161">
        <v>168</v>
      </c>
      <c r="D161">
        <v>0.97139913814416157</v>
      </c>
      <c r="I161">
        <v>2.5</v>
      </c>
      <c r="L161">
        <v>0.22407868818483392</v>
      </c>
      <c r="M161">
        <v>0.24186077146349108</v>
      </c>
      <c r="N161" s="73">
        <f t="shared" si="2"/>
        <v>0.92647801803054541</v>
      </c>
      <c r="O161">
        <v>0.99750509680050548</v>
      </c>
      <c r="P161">
        <v>0.92879527232714976</v>
      </c>
      <c r="Q161">
        <v>2</v>
      </c>
      <c r="R161">
        <v>0.50316512905442312</v>
      </c>
      <c r="T161" s="15" t="s">
        <v>385</v>
      </c>
    </row>
    <row r="162" spans="1:20">
      <c r="A162">
        <v>2</v>
      </c>
      <c r="B162">
        <v>0.97094580084000337</v>
      </c>
      <c r="C162">
        <v>65</v>
      </c>
      <c r="D162">
        <v>0.95057753033403525</v>
      </c>
      <c r="I162">
        <v>0.3</v>
      </c>
      <c r="L162">
        <v>0.14320789292318417</v>
      </c>
      <c r="M162">
        <v>0.15573429258933713</v>
      </c>
      <c r="N162" s="73">
        <f t="shared" si="2"/>
        <v>0.91956556608129725</v>
      </c>
      <c r="O162">
        <v>0.99750509680050548</v>
      </c>
      <c r="P162">
        <v>0.92186553134495353</v>
      </c>
      <c r="Q162">
        <v>2.5</v>
      </c>
      <c r="R162">
        <v>0.50316512905442312</v>
      </c>
      <c r="T162" s="15" t="s">
        <v>386</v>
      </c>
    </row>
    <row r="163" spans="1:20">
      <c r="A163">
        <v>2</v>
      </c>
      <c r="B163">
        <v>0.97094580084000337</v>
      </c>
      <c r="C163">
        <v>66</v>
      </c>
      <c r="D163">
        <v>0.99167728679837241</v>
      </c>
      <c r="I163">
        <v>0.5</v>
      </c>
      <c r="L163">
        <v>0.90976629686479527</v>
      </c>
      <c r="M163">
        <v>1.1393624365751818</v>
      </c>
      <c r="N163" s="73">
        <f t="shared" si="2"/>
        <v>0.79848717814453207</v>
      </c>
      <c r="O163">
        <v>0.9426544378140097</v>
      </c>
      <c r="P163">
        <v>0.84706245057966556</v>
      </c>
      <c r="Q163">
        <v>0.3</v>
      </c>
      <c r="R163">
        <v>0.60092698120307431</v>
      </c>
      <c r="T163" s="15" t="s">
        <v>387</v>
      </c>
    </row>
    <row r="164" spans="1:20">
      <c r="A164">
        <v>2</v>
      </c>
      <c r="B164">
        <v>0.97094580084000337</v>
      </c>
      <c r="C164">
        <v>67</v>
      </c>
      <c r="D164">
        <v>0.99186163640006553</v>
      </c>
      <c r="I164">
        <v>0.75</v>
      </c>
      <c r="L164">
        <v>0.82414415937067409</v>
      </c>
      <c r="M164">
        <v>1.021748482501377</v>
      </c>
      <c r="N164" s="73">
        <f t="shared" si="2"/>
        <v>0.80660179436044666</v>
      </c>
      <c r="O164">
        <v>0.9426544378140097</v>
      </c>
      <c r="P164">
        <v>0.85567071240966586</v>
      </c>
      <c r="Q164">
        <v>0.5</v>
      </c>
      <c r="R164">
        <v>0.60092698120307431</v>
      </c>
      <c r="T164" s="15" t="s">
        <v>388</v>
      </c>
    </row>
    <row r="165" spans="1:20">
      <c r="A165">
        <v>2</v>
      </c>
      <c r="B165">
        <v>0.97094580084000337</v>
      </c>
      <c r="C165">
        <v>68</v>
      </c>
      <c r="D165">
        <v>0.98482505718835411</v>
      </c>
      <c r="I165">
        <v>1</v>
      </c>
      <c r="L165">
        <v>0.7175721248737571</v>
      </c>
      <c r="M165">
        <v>0.87982193338668913</v>
      </c>
      <c r="N165" s="73">
        <f t="shared" si="2"/>
        <v>0.81558790210152454</v>
      </c>
      <c r="O165">
        <v>0.9426544378140097</v>
      </c>
      <c r="P165">
        <v>0.86520348219316823</v>
      </c>
      <c r="Q165">
        <v>0.75</v>
      </c>
      <c r="R165">
        <v>0.60092698120307431</v>
      </c>
      <c r="T165" s="15" t="s">
        <v>389</v>
      </c>
    </row>
    <row r="166" spans="1:20">
      <c r="A166">
        <v>2</v>
      </c>
      <c r="B166">
        <v>0.97094580084000337</v>
      </c>
      <c r="C166">
        <v>69</v>
      </c>
      <c r="D166">
        <v>1.0041620709536518</v>
      </c>
      <c r="I166">
        <v>1.33</v>
      </c>
      <c r="L166">
        <v>0.62867260695780613</v>
      </c>
      <c r="M166">
        <v>0.74612631489127557</v>
      </c>
      <c r="N166" s="73">
        <f t="shared" si="2"/>
        <v>0.84258200576857467</v>
      </c>
      <c r="O166">
        <v>0.9426544378140097</v>
      </c>
      <c r="P166">
        <v>0.89383974865964633</v>
      </c>
      <c r="Q166">
        <v>1</v>
      </c>
      <c r="R166">
        <v>0.60092698120307431</v>
      </c>
      <c r="T166" s="15" t="s">
        <v>390</v>
      </c>
    </row>
    <row r="167" spans="1:20">
      <c r="A167">
        <v>2</v>
      </c>
      <c r="B167">
        <v>0.97094580084000337</v>
      </c>
      <c r="C167">
        <v>70</v>
      </c>
      <c r="D167">
        <v>1.0091222702907683</v>
      </c>
      <c r="I167">
        <v>1.67</v>
      </c>
      <c r="L167">
        <v>0.46739817002306661</v>
      </c>
      <c r="M167">
        <v>0.50923907296696169</v>
      </c>
      <c r="N167" s="73">
        <f t="shared" si="2"/>
        <v>0.91783642464801674</v>
      </c>
      <c r="O167">
        <v>0.9426544378140097</v>
      </c>
      <c r="P167">
        <v>0.97367220460602155</v>
      </c>
      <c r="Q167">
        <v>1.33</v>
      </c>
      <c r="R167">
        <v>0.60092698120307431</v>
      </c>
      <c r="T167" s="15" t="s">
        <v>391</v>
      </c>
    </row>
    <row r="168" spans="1:20">
      <c r="A168">
        <v>2</v>
      </c>
      <c r="B168">
        <v>0.97094580084000337</v>
      </c>
      <c r="C168">
        <v>71</v>
      </c>
      <c r="D168">
        <v>1.0107589885719299</v>
      </c>
      <c r="I168">
        <v>2</v>
      </c>
      <c r="L168">
        <v>0.31926489798229868</v>
      </c>
      <c r="M168">
        <v>0.34012590497523976</v>
      </c>
      <c r="N168" s="73">
        <f t="shared" si="2"/>
        <v>0.93866680929681112</v>
      </c>
      <c r="O168">
        <v>0.9426544378140097</v>
      </c>
      <c r="P168">
        <v>0.99576978757300949</v>
      </c>
      <c r="Q168">
        <v>1.67</v>
      </c>
      <c r="R168">
        <v>0.60092698120307431</v>
      </c>
      <c r="T168" s="15" t="s">
        <v>392</v>
      </c>
    </row>
    <row r="169" spans="1:20">
      <c r="A169">
        <v>2</v>
      </c>
      <c r="B169">
        <v>0.97094580084000337</v>
      </c>
      <c r="C169">
        <v>72</v>
      </c>
      <c r="D169">
        <v>1.0144089241179186</v>
      </c>
      <c r="I169">
        <v>2.5</v>
      </c>
      <c r="L169">
        <v>0.22289093649943881</v>
      </c>
      <c r="M169">
        <v>0.2417340928977057</v>
      </c>
      <c r="N169" s="73">
        <f t="shared" si="2"/>
        <v>0.92205006678044077</v>
      </c>
      <c r="O169">
        <v>0.9426544378140097</v>
      </c>
      <c r="P169">
        <v>0.97814217998978514</v>
      </c>
      <c r="Q169">
        <v>2</v>
      </c>
      <c r="R169">
        <v>0.60092698120307431</v>
      </c>
      <c r="T169" s="15" t="s">
        <v>393</v>
      </c>
    </row>
    <row r="170" spans="1:20">
      <c r="A170">
        <v>2</v>
      </c>
      <c r="B170">
        <v>0.98460415584026495</v>
      </c>
      <c r="C170">
        <v>209</v>
      </c>
      <c r="D170">
        <v>0.93833769965854519</v>
      </c>
      <c r="I170">
        <v>0.3</v>
      </c>
      <c r="L170">
        <v>0.14250960584628727</v>
      </c>
      <c r="M170">
        <v>0.15563021185971823</v>
      </c>
      <c r="N170" s="73">
        <f t="shared" si="2"/>
        <v>0.91569370846029818</v>
      </c>
      <c r="O170">
        <v>0.9426544378140097</v>
      </c>
      <c r="P170">
        <v>0.97139913814416157</v>
      </c>
      <c r="Q170">
        <v>2.5</v>
      </c>
      <c r="R170">
        <v>0.60092698120307431</v>
      </c>
      <c r="T170" s="15" t="s">
        <v>394</v>
      </c>
    </row>
    <row r="171" spans="1:20">
      <c r="A171">
        <v>2</v>
      </c>
      <c r="B171">
        <v>0.98460415584026495</v>
      </c>
      <c r="C171">
        <v>210</v>
      </c>
      <c r="D171">
        <v>0.96378207424253404</v>
      </c>
      <c r="I171">
        <v>0.5</v>
      </c>
      <c r="L171">
        <v>0.77594938448660944</v>
      </c>
      <c r="M171">
        <v>1.1472152963185571</v>
      </c>
      <c r="N171" s="73">
        <f t="shared" si="2"/>
        <v>0.67637642818802246</v>
      </c>
      <c r="O171">
        <v>0.79953283252729768</v>
      </c>
      <c r="P171">
        <v>0.84596454413262578</v>
      </c>
      <c r="Q171">
        <v>0.3</v>
      </c>
      <c r="R171">
        <v>0.80062012685654171</v>
      </c>
      <c r="T171" s="15" t="s">
        <v>395</v>
      </c>
    </row>
    <row r="172" spans="1:20">
      <c r="A172">
        <v>2</v>
      </c>
      <c r="B172">
        <v>0.98460415584026495</v>
      </c>
      <c r="C172">
        <v>211</v>
      </c>
      <c r="D172">
        <v>1.04311164590338</v>
      </c>
      <c r="I172">
        <v>0.75</v>
      </c>
      <c r="L172">
        <v>0.72596727132918815</v>
      </c>
      <c r="M172">
        <v>1.0287905475805508</v>
      </c>
      <c r="N172" s="73">
        <f t="shared" si="2"/>
        <v>0.70565118724746778</v>
      </c>
      <c r="O172">
        <v>0.79953283252729768</v>
      </c>
      <c r="P172">
        <v>0.88257937452915725</v>
      </c>
      <c r="Q172">
        <v>0.5</v>
      </c>
      <c r="R172">
        <v>0.80062012685654171</v>
      </c>
      <c r="T172" s="15" t="s">
        <v>396</v>
      </c>
    </row>
    <row r="173" spans="1:20">
      <c r="A173">
        <v>2</v>
      </c>
      <c r="B173">
        <v>0.98460415584026495</v>
      </c>
      <c r="C173">
        <v>212</v>
      </c>
      <c r="D173">
        <v>1.0503976865290658</v>
      </c>
      <c r="I173">
        <v>1</v>
      </c>
      <c r="L173">
        <v>0.66086386119846385</v>
      </c>
      <c r="M173">
        <v>0.88330492091573898</v>
      </c>
      <c r="N173" s="73">
        <f t="shared" si="2"/>
        <v>0.74817183234226037</v>
      </c>
      <c r="O173">
        <v>0.79953283252729768</v>
      </c>
      <c r="P173">
        <v>0.93576123694296987</v>
      </c>
      <c r="Q173">
        <v>0.75</v>
      </c>
      <c r="R173">
        <v>0.80062012685654171</v>
      </c>
      <c r="T173" s="15" t="s">
        <v>397</v>
      </c>
    </row>
    <row r="174" spans="1:20">
      <c r="A174">
        <v>2</v>
      </c>
      <c r="B174">
        <v>0.98460415584026495</v>
      </c>
      <c r="C174">
        <v>213</v>
      </c>
      <c r="D174">
        <v>1.0284211916956814</v>
      </c>
      <c r="I174">
        <v>1.33</v>
      </c>
      <c r="L174">
        <v>0.5868153346435282</v>
      </c>
      <c r="M174">
        <v>0.7471066233190895</v>
      </c>
      <c r="N174" s="73">
        <f t="shared" si="2"/>
        <v>0.78545058540178292</v>
      </c>
      <c r="O174">
        <v>0.79953283252729768</v>
      </c>
      <c r="P174">
        <v>0.98238690576220455</v>
      </c>
      <c r="Q174">
        <v>1</v>
      </c>
      <c r="R174">
        <v>0.80062012685654171</v>
      </c>
      <c r="T174" s="15" t="s">
        <v>398</v>
      </c>
    </row>
    <row r="175" spans="1:20">
      <c r="A175">
        <v>2</v>
      </c>
      <c r="B175">
        <v>0.98460415584026495</v>
      </c>
      <c r="C175">
        <v>214</v>
      </c>
      <c r="D175">
        <v>1.02254722835955</v>
      </c>
      <c r="I175">
        <v>1.67</v>
      </c>
      <c r="L175">
        <v>0.44725594227117693</v>
      </c>
      <c r="M175">
        <v>0.50972482009077624</v>
      </c>
      <c r="N175" s="73">
        <f t="shared" si="2"/>
        <v>0.87744587793767959</v>
      </c>
      <c r="O175">
        <v>0.79953283252729768</v>
      </c>
      <c r="P175">
        <v>1.0974482125569518</v>
      </c>
      <c r="Q175">
        <v>1.33</v>
      </c>
      <c r="R175">
        <v>0.80062012685654171</v>
      </c>
      <c r="T175" s="15" t="s">
        <v>399</v>
      </c>
    </row>
    <row r="176" spans="1:20">
      <c r="A176">
        <v>2</v>
      </c>
      <c r="B176">
        <v>0.98460415584026495</v>
      </c>
      <c r="C176">
        <v>215</v>
      </c>
      <c r="D176">
        <v>1.0458773686793514</v>
      </c>
      <c r="I176">
        <v>2</v>
      </c>
      <c r="L176">
        <v>0.31240354570851969</v>
      </c>
      <c r="M176">
        <v>0.34035318903088446</v>
      </c>
      <c r="N176" s="73">
        <f t="shared" si="2"/>
        <v>0.917880471747751</v>
      </c>
      <c r="O176">
        <v>0.79953283252729768</v>
      </c>
      <c r="P176">
        <v>1.1480209872637253</v>
      </c>
      <c r="Q176">
        <v>1.67</v>
      </c>
      <c r="R176">
        <v>0.80062012685654171</v>
      </c>
      <c r="T176" s="15" t="s">
        <v>400</v>
      </c>
    </row>
    <row r="177" spans="1:20">
      <c r="A177">
        <v>2</v>
      </c>
      <c r="B177">
        <v>0.98460415584026495</v>
      </c>
      <c r="C177">
        <v>216</v>
      </c>
      <c r="D177">
        <v>1.0628278106967588</v>
      </c>
      <c r="I177">
        <v>2.5</v>
      </c>
      <c r="L177">
        <v>0.2195595692214031</v>
      </c>
      <c r="M177">
        <v>0.24178946291098924</v>
      </c>
      <c r="N177" s="73">
        <f t="shared" si="2"/>
        <v>0.90806094929881331</v>
      </c>
      <c r="O177">
        <v>0.79953283252729768</v>
      </c>
      <c r="P177">
        <v>1.1357394122621103</v>
      </c>
      <c r="Q177">
        <v>2</v>
      </c>
      <c r="R177">
        <v>0.80062012685654171</v>
      </c>
      <c r="T177" s="15" t="s">
        <v>401</v>
      </c>
    </row>
    <row r="178" spans="1:20">
      <c r="A178">
        <v>2</v>
      </c>
      <c r="B178">
        <v>0.99229698518122766</v>
      </c>
      <c r="C178">
        <v>249</v>
      </c>
      <c r="D178">
        <v>0.92166768178591219</v>
      </c>
      <c r="I178">
        <v>0.3</v>
      </c>
      <c r="L178">
        <v>0.14068000772650124</v>
      </c>
      <c r="M178">
        <v>0.15564472947856078</v>
      </c>
      <c r="N178" s="73">
        <f t="shared" si="2"/>
        <v>0.90385333443545324</v>
      </c>
      <c r="O178">
        <v>0.79953283252729768</v>
      </c>
      <c r="P178">
        <v>1.1304768205433189</v>
      </c>
      <c r="Q178">
        <v>2.5</v>
      </c>
      <c r="R178">
        <v>0.80062012685654171</v>
      </c>
      <c r="T178" s="15" t="s">
        <v>402</v>
      </c>
    </row>
    <row r="179" spans="1:20">
      <c r="A179">
        <v>2</v>
      </c>
      <c r="B179">
        <v>0.99229698518122766</v>
      </c>
      <c r="C179">
        <v>250</v>
      </c>
      <c r="D179">
        <v>0.94242058924416172</v>
      </c>
      <c r="I179">
        <v>0.5</v>
      </c>
      <c r="L179">
        <v>0.64012924799119097</v>
      </c>
      <c r="M179">
        <v>1.1604893665115708</v>
      </c>
      <c r="N179" s="73">
        <f t="shared" si="2"/>
        <v>0.55160285519497565</v>
      </c>
      <c r="O179">
        <v>0.66206942736160623</v>
      </c>
      <c r="P179">
        <v>0.83314956468108226</v>
      </c>
      <c r="Q179">
        <v>0.3</v>
      </c>
      <c r="R179">
        <v>1.1026699208821982</v>
      </c>
      <c r="T179" s="15" t="s">
        <v>403</v>
      </c>
    </row>
    <row r="180" spans="1:20">
      <c r="A180">
        <v>2</v>
      </c>
      <c r="B180">
        <v>0.99229698518122766</v>
      </c>
      <c r="C180">
        <v>251</v>
      </c>
      <c r="D180">
        <v>1.006973222345221</v>
      </c>
      <c r="I180">
        <v>0.75</v>
      </c>
      <c r="L180">
        <v>0.58704305741581353</v>
      </c>
      <c r="M180">
        <v>1.0388483998377638</v>
      </c>
      <c r="N180" s="73">
        <f t="shared" si="2"/>
        <v>0.56509020710576408</v>
      </c>
      <c r="O180">
        <v>0.66206942736160623</v>
      </c>
      <c r="P180">
        <v>0.85352107158563217</v>
      </c>
      <c r="Q180">
        <v>0.5</v>
      </c>
      <c r="R180">
        <v>1.1026699208821982</v>
      </c>
      <c r="T180" s="15" t="s">
        <v>404</v>
      </c>
    </row>
    <row r="181" spans="1:20">
      <c r="A181">
        <v>2</v>
      </c>
      <c r="B181">
        <v>0.99229698518122766</v>
      </c>
      <c r="C181">
        <v>252</v>
      </c>
      <c r="D181">
        <v>0.99278992592970972</v>
      </c>
      <c r="I181">
        <v>1</v>
      </c>
      <c r="L181">
        <v>0.51658621284952344</v>
      </c>
      <c r="M181">
        <v>0.88932312692639359</v>
      </c>
      <c r="N181" s="73">
        <f t="shared" si="2"/>
        <v>0.58087572133079091</v>
      </c>
      <c r="O181">
        <v>0.66206942736160623</v>
      </c>
      <c r="P181">
        <v>0.87736375873089634</v>
      </c>
      <c r="Q181">
        <v>0.75</v>
      </c>
      <c r="R181">
        <v>1.1026699208821982</v>
      </c>
      <c r="T181" s="15" t="s">
        <v>405</v>
      </c>
    </row>
    <row r="182" spans="1:20">
      <c r="A182">
        <v>2</v>
      </c>
      <c r="B182">
        <v>0.99229698518122766</v>
      </c>
      <c r="C182">
        <v>253</v>
      </c>
      <c r="D182">
        <v>0.98697263397425183</v>
      </c>
      <c r="I182">
        <v>1.33</v>
      </c>
      <c r="L182">
        <v>0.45924471279968981</v>
      </c>
      <c r="M182">
        <v>0.74968425806393879</v>
      </c>
      <c r="N182" s="73">
        <f t="shared" si="2"/>
        <v>0.61258417508417518</v>
      </c>
      <c r="O182">
        <v>0.66206942736160623</v>
      </c>
      <c r="P182">
        <v>0.92525670234520063</v>
      </c>
      <c r="Q182">
        <v>1</v>
      </c>
      <c r="R182">
        <v>1.1026699208821982</v>
      </c>
      <c r="T182" s="15" t="s">
        <v>406</v>
      </c>
    </row>
    <row r="183" spans="1:20">
      <c r="A183">
        <v>2</v>
      </c>
      <c r="B183">
        <v>0.99229698518122766</v>
      </c>
      <c r="C183">
        <v>254</v>
      </c>
      <c r="D183">
        <v>0.99202000335418505</v>
      </c>
      <c r="I183">
        <v>1.67</v>
      </c>
      <c r="L183">
        <v>0.36931586521031101</v>
      </c>
      <c r="M183">
        <v>0.51095172964281299</v>
      </c>
      <c r="N183" s="73">
        <f t="shared" si="2"/>
        <v>0.72279991197698024</v>
      </c>
      <c r="O183">
        <v>0.66206942736160623</v>
      </c>
      <c r="P183">
        <v>1.0917282721502326</v>
      </c>
      <c r="Q183">
        <v>1.33</v>
      </c>
      <c r="R183">
        <v>1.1026699208821982</v>
      </c>
      <c r="T183" s="15" t="s">
        <v>407</v>
      </c>
    </row>
    <row r="184" spans="1:20">
      <c r="A184">
        <v>2</v>
      </c>
      <c r="B184">
        <v>0.99229698518122766</v>
      </c>
      <c r="C184">
        <v>255</v>
      </c>
      <c r="D184">
        <v>1.0017132469377052</v>
      </c>
      <c r="I184">
        <v>2</v>
      </c>
      <c r="L184">
        <v>0.27609102810626718</v>
      </c>
      <c r="M184">
        <v>0.34115683835467658</v>
      </c>
      <c r="N184" s="73">
        <f t="shared" si="2"/>
        <v>0.80927889189556534</v>
      </c>
      <c r="O184">
        <v>0.66206942736160623</v>
      </c>
      <c r="P184">
        <v>1.2223474736185891</v>
      </c>
      <c r="Q184">
        <v>1.67</v>
      </c>
      <c r="R184">
        <v>1.1026699208821982</v>
      </c>
      <c r="T184" s="15" t="s">
        <v>408</v>
      </c>
    </row>
    <row r="185" spans="1:20">
      <c r="A185">
        <v>2</v>
      </c>
      <c r="B185">
        <v>0.99229698518122766</v>
      </c>
      <c r="C185">
        <v>256</v>
      </c>
      <c r="D185">
        <v>1.0079239117261005</v>
      </c>
      <c r="I185">
        <v>2.5</v>
      </c>
      <c r="L185">
        <v>0.20357250905384758</v>
      </c>
      <c r="M185">
        <v>0.24225476482573904</v>
      </c>
      <c r="N185" s="73">
        <f t="shared" si="2"/>
        <v>0.84032406627908129</v>
      </c>
      <c r="O185">
        <v>0.66206942736160623</v>
      </c>
      <c r="P185">
        <v>1.2692385897168403</v>
      </c>
      <c r="Q185">
        <v>2</v>
      </c>
      <c r="R185">
        <v>1.1026699208821982</v>
      </c>
      <c r="T185" s="15" t="s">
        <v>409</v>
      </c>
    </row>
    <row r="186" spans="1:20">
      <c r="A186">
        <v>2</v>
      </c>
      <c r="B186">
        <v>0.99455998951003011</v>
      </c>
      <c r="C186">
        <v>113</v>
      </c>
      <c r="D186">
        <v>0.86165880477826873</v>
      </c>
      <c r="I186">
        <v>0.3</v>
      </c>
      <c r="L186">
        <v>0.13323622499439741</v>
      </c>
      <c r="M186">
        <v>0.15592593543012154</v>
      </c>
      <c r="N186" s="73">
        <f t="shared" si="2"/>
        <v>0.85448405120588455</v>
      </c>
      <c r="O186">
        <v>0.66206942736160623</v>
      </c>
      <c r="P186">
        <v>1.2906260520306219</v>
      </c>
      <c r="Q186">
        <v>2.5</v>
      </c>
      <c r="R186">
        <v>1.1026699208821982</v>
      </c>
      <c r="T186" s="15" t="s">
        <v>410</v>
      </c>
    </row>
    <row r="187" spans="1:20">
      <c r="A187">
        <v>2</v>
      </c>
      <c r="B187">
        <v>0.99455998951003011</v>
      </c>
      <c r="C187">
        <v>114</v>
      </c>
      <c r="D187">
        <v>0.86221131904132309</v>
      </c>
      <c r="I187">
        <v>0.5</v>
      </c>
      <c r="L187">
        <v>0.55827783451373203</v>
      </c>
      <c r="M187">
        <v>1.171181802391589</v>
      </c>
      <c r="N187" s="73">
        <f t="shared" si="2"/>
        <v>0.47667905475794764</v>
      </c>
      <c r="O187">
        <v>0.58036876948907201</v>
      </c>
      <c r="P187">
        <v>0.82133822462154926</v>
      </c>
      <c r="Q187">
        <v>0.3</v>
      </c>
      <c r="R187">
        <v>1.5093980321271014</v>
      </c>
      <c r="T187" s="15" t="s">
        <v>411</v>
      </c>
    </row>
    <row r="188" spans="1:20">
      <c r="A188">
        <v>2</v>
      </c>
      <c r="B188">
        <v>0.99455998951003011</v>
      </c>
      <c r="C188">
        <v>115</v>
      </c>
      <c r="D188">
        <v>0.8989387394905255</v>
      </c>
      <c r="I188">
        <v>0.75</v>
      </c>
      <c r="L188">
        <v>0.51408639686053481</v>
      </c>
      <c r="M188">
        <v>1.0485559542163709</v>
      </c>
      <c r="N188" s="73">
        <f t="shared" si="2"/>
        <v>0.49028036586252832</v>
      </c>
      <c r="O188">
        <v>0.58036876948907201</v>
      </c>
      <c r="P188">
        <v>0.84477386040973035</v>
      </c>
      <c r="Q188">
        <v>0.5</v>
      </c>
      <c r="R188">
        <v>1.5093980321271014</v>
      </c>
      <c r="T188" s="15" t="s">
        <v>412</v>
      </c>
    </row>
    <row r="189" spans="1:20">
      <c r="A189">
        <v>2</v>
      </c>
      <c r="B189">
        <v>0.99455998951003011</v>
      </c>
      <c r="C189">
        <v>116</v>
      </c>
      <c r="D189">
        <v>0.91169290174034723</v>
      </c>
      <c r="I189">
        <v>1</v>
      </c>
      <c r="L189">
        <v>0.43092763660477462</v>
      </c>
      <c r="M189">
        <v>0.89607657884985892</v>
      </c>
      <c r="N189" s="73">
        <f t="shared" si="2"/>
        <v>0.48090492127121898</v>
      </c>
      <c r="O189">
        <v>0.58036876948907201</v>
      </c>
      <c r="P189">
        <v>0.8286195718191105</v>
      </c>
      <c r="Q189">
        <v>0.75</v>
      </c>
      <c r="R189">
        <v>1.5093980321271014</v>
      </c>
      <c r="T189" s="15" t="s">
        <v>413</v>
      </c>
    </row>
    <row r="190" spans="1:20">
      <c r="A190">
        <v>2</v>
      </c>
      <c r="B190">
        <v>0.99455998951003011</v>
      </c>
      <c r="C190">
        <v>117</v>
      </c>
      <c r="D190">
        <v>0.96037152408315418</v>
      </c>
      <c r="I190">
        <v>1.33</v>
      </c>
      <c r="L190">
        <v>0.35958246514949044</v>
      </c>
      <c r="M190">
        <v>0.75338774772404538</v>
      </c>
      <c r="N190" s="73">
        <f t="shared" si="2"/>
        <v>0.47728738121342545</v>
      </c>
      <c r="O190">
        <v>0.58036876948907201</v>
      </c>
      <c r="P190">
        <v>0.8223863969000359</v>
      </c>
      <c r="Q190">
        <v>1</v>
      </c>
      <c r="R190">
        <v>1.5093980321271014</v>
      </c>
      <c r="T190" s="15" t="s">
        <v>414</v>
      </c>
    </row>
    <row r="191" spans="1:20">
      <c r="A191">
        <v>2</v>
      </c>
      <c r="B191">
        <v>0.99455998951003011</v>
      </c>
      <c r="C191">
        <v>118</v>
      </c>
      <c r="D191">
        <v>0.96332947814817604</v>
      </c>
      <c r="I191">
        <v>1.67</v>
      </c>
      <c r="L191">
        <v>0.27766836041023263</v>
      </c>
      <c r="M191">
        <v>0.5128394270725648</v>
      </c>
      <c r="N191" s="73">
        <f t="shared" si="2"/>
        <v>0.54143333322721232</v>
      </c>
      <c r="O191">
        <v>0.58036876948907201</v>
      </c>
      <c r="P191">
        <v>0.93291259228828505</v>
      </c>
      <c r="Q191">
        <v>1.33</v>
      </c>
      <c r="R191">
        <v>1.5093980321271014</v>
      </c>
      <c r="T191" s="15" t="s">
        <v>415</v>
      </c>
    </row>
    <row r="192" spans="1:20">
      <c r="A192">
        <v>2</v>
      </c>
      <c r="B192">
        <v>0.99455998951003011</v>
      </c>
      <c r="C192">
        <v>119</v>
      </c>
      <c r="D192">
        <v>0.95112042473177072</v>
      </c>
      <c r="I192">
        <v>2</v>
      </c>
      <c r="L192">
        <v>0.21004550363729052</v>
      </c>
      <c r="M192">
        <v>0.34231417657122359</v>
      </c>
      <c r="N192" s="73">
        <f t="shared" si="2"/>
        <v>0.61360445465976021</v>
      </c>
      <c r="O192">
        <v>0.58036876948907201</v>
      </c>
      <c r="P192">
        <v>1.0572664948872892</v>
      </c>
      <c r="Q192">
        <v>1.67</v>
      </c>
      <c r="R192">
        <v>1.5093980321271014</v>
      </c>
      <c r="T192" s="15" t="s">
        <v>416</v>
      </c>
    </row>
    <row r="193" spans="1:20">
      <c r="A193">
        <v>2</v>
      </c>
      <c r="B193">
        <v>0.99455998951003011</v>
      </c>
      <c r="C193">
        <v>120</v>
      </c>
      <c r="D193">
        <v>0.95037100071941527</v>
      </c>
      <c r="I193">
        <v>2.5</v>
      </c>
      <c r="L193">
        <v>0.16055226270390693</v>
      </c>
      <c r="M193">
        <v>0.24303021306316197</v>
      </c>
      <c r="N193" s="73">
        <f t="shared" si="2"/>
        <v>0.66062676191696568</v>
      </c>
      <c r="O193">
        <v>0.58036876948907201</v>
      </c>
      <c r="P193">
        <v>1.1382879242426307</v>
      </c>
      <c r="Q193">
        <v>2</v>
      </c>
      <c r="R193">
        <v>1.5093980321271014</v>
      </c>
      <c r="T193" s="15" t="s">
        <v>417</v>
      </c>
    </row>
    <row r="194" spans="1:20" ht="15.75" thickBot="1">
      <c r="A194">
        <v>2</v>
      </c>
      <c r="B194">
        <v>0.99750509680050548</v>
      </c>
      <c r="C194">
        <v>153</v>
      </c>
      <c r="D194">
        <v>0.84785998401553264</v>
      </c>
      <c r="I194">
        <v>0.3</v>
      </c>
      <c r="L194">
        <v>0.1104096889307592</v>
      </c>
      <c r="M194">
        <v>0.15642704316798575</v>
      </c>
      <c r="N194" s="73">
        <f t="shared" si="2"/>
        <v>0.70582225870108095</v>
      </c>
      <c r="O194">
        <v>0.58036876948907201</v>
      </c>
      <c r="P194">
        <v>1.2161616816880965</v>
      </c>
      <c r="Q194">
        <v>2.5</v>
      </c>
      <c r="R194">
        <v>1.5093980321271014</v>
      </c>
      <c r="T194" s="42" t="s">
        <v>418</v>
      </c>
    </row>
    <row r="195" spans="1:20">
      <c r="A195">
        <v>2</v>
      </c>
      <c r="B195">
        <v>0.99750509680050548</v>
      </c>
      <c r="C195">
        <v>154</v>
      </c>
      <c r="D195">
        <v>0.8370664959912163</v>
      </c>
      <c r="I195">
        <v>0.5</v>
      </c>
      <c r="L195">
        <v>1.248458817730898</v>
      </c>
      <c r="M195">
        <v>1.3148498664416377</v>
      </c>
      <c r="N195" s="73">
        <f t="shared" si="2"/>
        <v>0.9495067456709616</v>
      </c>
      <c r="O195">
        <v>1.0598341778761915</v>
      </c>
      <c r="P195">
        <v>0.89590123199620175</v>
      </c>
      <c r="Q195">
        <v>0.3</v>
      </c>
      <c r="R195">
        <v>0.3550200773318104</v>
      </c>
      <c r="T195" s="49" t="s">
        <v>528</v>
      </c>
    </row>
    <row r="196" spans="1:20">
      <c r="A196">
        <v>2</v>
      </c>
      <c r="B196">
        <v>0.99750509680050548</v>
      </c>
      <c r="C196">
        <v>155</v>
      </c>
      <c r="D196">
        <v>0.83134174970147201</v>
      </c>
      <c r="I196">
        <v>0.75</v>
      </c>
      <c r="L196">
        <v>1.1247936383034884</v>
      </c>
      <c r="M196">
        <v>1.1907709098630608</v>
      </c>
      <c r="N196" s="73">
        <f t="shared" ref="N196:N259" si="3">L196/M196</f>
        <v>0.94459280873164786</v>
      </c>
      <c r="O196">
        <v>1.0598341778761915</v>
      </c>
      <c r="P196">
        <v>0.89126471711312749</v>
      </c>
      <c r="Q196">
        <v>0.5</v>
      </c>
      <c r="R196">
        <v>0.3550200773318104</v>
      </c>
      <c r="T196" s="25" t="s">
        <v>529</v>
      </c>
    </row>
    <row r="197" spans="1:20">
      <c r="A197">
        <v>2</v>
      </c>
      <c r="B197">
        <v>0.99750509680050548</v>
      </c>
      <c r="C197">
        <v>156</v>
      </c>
      <c r="D197">
        <v>0.8595863736103504</v>
      </c>
      <c r="I197">
        <v>1</v>
      </c>
      <c r="L197">
        <v>0.95048892547438779</v>
      </c>
      <c r="M197">
        <v>0.91367427911590271</v>
      </c>
      <c r="N197" s="73">
        <f t="shared" si="3"/>
        <v>1.0402929656661759</v>
      </c>
      <c r="O197">
        <v>1.0598341778761915</v>
      </c>
      <c r="P197">
        <v>0.98156200977668562</v>
      </c>
      <c r="Q197">
        <v>0.75</v>
      </c>
      <c r="R197">
        <v>0.3550200773318104</v>
      </c>
      <c r="T197" s="25" t="s">
        <v>530</v>
      </c>
    </row>
    <row r="198" spans="1:20">
      <c r="A198">
        <v>2</v>
      </c>
      <c r="B198">
        <v>0.99750509680050548</v>
      </c>
      <c r="C198">
        <v>157</v>
      </c>
      <c r="D198">
        <v>0.93139066087684375</v>
      </c>
      <c r="I198">
        <v>1.33</v>
      </c>
      <c r="L198">
        <v>0.75626417611546948</v>
      </c>
      <c r="M198">
        <v>0.71773088513582917</v>
      </c>
      <c r="N198" s="73">
        <f t="shared" si="3"/>
        <v>1.0536876589508168</v>
      </c>
      <c r="O198">
        <v>1.0598341778761915</v>
      </c>
      <c r="P198">
        <v>0.99420048998826238</v>
      </c>
      <c r="Q198">
        <v>1</v>
      </c>
      <c r="R198">
        <v>0.3550200773318104</v>
      </c>
      <c r="T198" s="25" t="s">
        <v>531</v>
      </c>
    </row>
    <row r="199" spans="1:20">
      <c r="A199">
        <v>2</v>
      </c>
      <c r="B199">
        <v>0.99750509680050548</v>
      </c>
      <c r="C199">
        <v>158</v>
      </c>
      <c r="D199">
        <v>0.94704799604412504</v>
      </c>
      <c r="I199">
        <v>1.67</v>
      </c>
      <c r="L199">
        <v>0.51632850774826788</v>
      </c>
      <c r="M199">
        <v>0.50498978623897639</v>
      </c>
      <c r="N199" s="73">
        <f t="shared" si="3"/>
        <v>1.022453368005201</v>
      </c>
      <c r="O199">
        <v>1.0598341778761915</v>
      </c>
      <c r="P199">
        <v>0.96472956746318728</v>
      </c>
      <c r="Q199">
        <v>1.33</v>
      </c>
      <c r="R199">
        <v>0.3550200773318104</v>
      </c>
      <c r="T199" s="25" t="s">
        <v>532</v>
      </c>
    </row>
    <row r="200" spans="1:20">
      <c r="A200">
        <v>2</v>
      </c>
      <c r="B200">
        <v>0.99750509680050548</v>
      </c>
      <c r="C200">
        <v>159</v>
      </c>
      <c r="D200">
        <v>0.92879527232714976</v>
      </c>
      <c r="I200">
        <v>2</v>
      </c>
      <c r="L200">
        <v>0.34164620697835818</v>
      </c>
      <c r="M200">
        <v>0.33482652616784464</v>
      </c>
      <c r="N200" s="73">
        <f t="shared" si="3"/>
        <v>1.0203678032579022</v>
      </c>
      <c r="O200">
        <v>1.0598341778761915</v>
      </c>
      <c r="P200">
        <v>0.96276174571254525</v>
      </c>
      <c r="Q200">
        <v>1.67</v>
      </c>
      <c r="R200">
        <v>0.3550200773318104</v>
      </c>
      <c r="T200" s="25" t="s">
        <v>533</v>
      </c>
    </row>
    <row r="201" spans="1:20">
      <c r="A201">
        <v>2</v>
      </c>
      <c r="B201">
        <v>0.99750509680050548</v>
      </c>
      <c r="C201">
        <v>160</v>
      </c>
      <c r="D201">
        <v>0.92186553134495353</v>
      </c>
      <c r="I201">
        <v>2.5</v>
      </c>
      <c r="L201">
        <v>0.23932349472800521</v>
      </c>
      <c r="M201">
        <v>0.22626730517865326</v>
      </c>
      <c r="N201" s="73">
        <f t="shared" si="3"/>
        <v>1.0577025016453137</v>
      </c>
      <c r="O201">
        <v>1.0598341778761915</v>
      </c>
      <c r="P201">
        <v>0.99798867004350678</v>
      </c>
      <c r="Q201">
        <v>2</v>
      </c>
      <c r="R201">
        <v>0.3550200773318104</v>
      </c>
      <c r="T201" s="25" t="s">
        <v>534</v>
      </c>
    </row>
    <row r="202" spans="1:20">
      <c r="A202">
        <v>2</v>
      </c>
      <c r="B202">
        <v>1.011753934997377</v>
      </c>
      <c r="C202">
        <v>17</v>
      </c>
      <c r="D202">
        <v>0.93708444925492129</v>
      </c>
      <c r="I202">
        <v>0.3</v>
      </c>
      <c r="L202">
        <v>0.15339093260525</v>
      </c>
      <c r="M202">
        <v>0.14124932258927755</v>
      </c>
      <c r="N202" s="73">
        <f t="shared" si="3"/>
        <v>1.0859587132412494</v>
      </c>
      <c r="O202">
        <v>1.0598341778761915</v>
      </c>
      <c r="P202">
        <v>1.0246496441711372</v>
      </c>
      <c r="Q202">
        <v>2.5</v>
      </c>
      <c r="R202">
        <v>0.3550200773318104</v>
      </c>
      <c r="T202" s="25" t="s">
        <v>535</v>
      </c>
    </row>
    <row r="203" spans="1:20">
      <c r="A203">
        <v>2</v>
      </c>
      <c r="B203">
        <v>1.011753934997377</v>
      </c>
      <c r="C203">
        <v>18</v>
      </c>
      <c r="D203">
        <v>0.94923693703329826</v>
      </c>
      <c r="I203">
        <v>0.5</v>
      </c>
      <c r="L203">
        <v>1.3144054715385562</v>
      </c>
      <c r="M203">
        <v>1.3971152603646075</v>
      </c>
      <c r="N203" s="73">
        <f t="shared" si="3"/>
        <v>0.94079959530005675</v>
      </c>
      <c r="O203">
        <v>1.0163686273422265</v>
      </c>
      <c r="P203">
        <v>0.92564800800691716</v>
      </c>
      <c r="Q203">
        <v>0.3</v>
      </c>
      <c r="R203">
        <v>0.50420742049940981</v>
      </c>
      <c r="T203" s="15" t="s">
        <v>536</v>
      </c>
    </row>
    <row r="204" spans="1:20">
      <c r="A204">
        <v>2</v>
      </c>
      <c r="B204">
        <v>1.011753934997377</v>
      </c>
      <c r="C204">
        <v>19</v>
      </c>
      <c r="D204">
        <v>0.99532950715100099</v>
      </c>
      <c r="I204">
        <v>0.75</v>
      </c>
      <c r="L204">
        <v>1.2443882082988389</v>
      </c>
      <c r="M204">
        <v>1.3131505063155675</v>
      </c>
      <c r="N204" s="73">
        <f t="shared" si="3"/>
        <v>0.94763563073233581</v>
      </c>
      <c r="O204">
        <v>1.0163686273422265</v>
      </c>
      <c r="P204">
        <v>0.93237394901727189</v>
      </c>
      <c r="Q204">
        <v>0.5</v>
      </c>
      <c r="R204">
        <v>0.50420742049940981</v>
      </c>
      <c r="T204" s="15" t="s">
        <v>537</v>
      </c>
    </row>
    <row r="205" spans="1:20">
      <c r="A205">
        <v>2</v>
      </c>
      <c r="B205">
        <v>1.011753934997377</v>
      </c>
      <c r="C205">
        <v>20</v>
      </c>
      <c r="D205">
        <v>0.9934021246471596</v>
      </c>
      <c r="I205">
        <v>1</v>
      </c>
      <c r="L205">
        <v>1.1746140852200879</v>
      </c>
      <c r="M205">
        <v>1.1354779126169818</v>
      </c>
      <c r="N205" s="73">
        <f t="shared" si="3"/>
        <v>1.0344666965057094</v>
      </c>
      <c r="O205">
        <v>1.0163686273422265</v>
      </c>
      <c r="P205">
        <v>1.0178065995708752</v>
      </c>
      <c r="Q205">
        <v>0.75</v>
      </c>
      <c r="R205">
        <v>0.50420742049940981</v>
      </c>
      <c r="T205" s="15" t="s">
        <v>538</v>
      </c>
    </row>
    <row r="206" spans="1:20">
      <c r="A206">
        <v>2</v>
      </c>
      <c r="B206">
        <v>1.011753934997377</v>
      </c>
      <c r="C206">
        <v>21</v>
      </c>
      <c r="D206">
        <v>0.98558080078586285</v>
      </c>
      <c r="I206">
        <v>1.33</v>
      </c>
      <c r="L206">
        <v>1.0885191368412361</v>
      </c>
      <c r="M206">
        <v>1.0437820238006652</v>
      </c>
      <c r="N206" s="73">
        <f t="shared" si="3"/>
        <v>1.042860589682961</v>
      </c>
      <c r="O206">
        <v>1.0163686273422265</v>
      </c>
      <c r="P206">
        <v>1.0260653090109739</v>
      </c>
      <c r="Q206">
        <v>1</v>
      </c>
      <c r="R206">
        <v>0.50420742049940981</v>
      </c>
      <c r="T206" s="15" t="s">
        <v>539</v>
      </c>
    </row>
    <row r="207" spans="1:20">
      <c r="A207">
        <v>2</v>
      </c>
      <c r="B207">
        <v>1.011753934997377</v>
      </c>
      <c r="C207">
        <v>22</v>
      </c>
      <c r="D207">
        <v>0.98234046934903363</v>
      </c>
      <c r="I207">
        <v>1.67</v>
      </c>
      <c r="L207">
        <v>0.86822852565566166</v>
      </c>
      <c r="M207">
        <v>0.8530861917965018</v>
      </c>
      <c r="N207" s="73">
        <f t="shared" si="3"/>
        <v>1.0177500632465657</v>
      </c>
      <c r="O207">
        <v>1.0163686273422265</v>
      </c>
      <c r="P207">
        <v>1.0013591878646941</v>
      </c>
      <c r="Q207">
        <v>1.33</v>
      </c>
      <c r="R207">
        <v>0.50420742049940981</v>
      </c>
      <c r="T207" s="15" t="s">
        <v>540</v>
      </c>
    </row>
    <row r="208" spans="1:20">
      <c r="A208">
        <v>2</v>
      </c>
      <c r="B208">
        <v>1.011753934997377</v>
      </c>
      <c r="C208">
        <v>23</v>
      </c>
      <c r="D208">
        <v>0.98115749414995379</v>
      </c>
      <c r="I208">
        <v>2</v>
      </c>
      <c r="L208">
        <v>0.6236384740487646</v>
      </c>
      <c r="M208">
        <v>0.61636176324074243</v>
      </c>
      <c r="N208" s="73">
        <f t="shared" si="3"/>
        <v>1.0118059088704048</v>
      </c>
      <c r="O208">
        <v>1.0163686273422265</v>
      </c>
      <c r="P208">
        <v>0.99551076415674766</v>
      </c>
      <c r="Q208">
        <v>1.67</v>
      </c>
      <c r="R208">
        <v>0.50420742049940981</v>
      </c>
      <c r="T208" s="15" t="s">
        <v>541</v>
      </c>
    </row>
    <row r="209" spans="1:20">
      <c r="A209">
        <v>2</v>
      </c>
      <c r="B209">
        <v>1.011753934997377</v>
      </c>
      <c r="C209">
        <v>24</v>
      </c>
      <c r="D209">
        <v>0.977164138280044</v>
      </c>
      <c r="I209">
        <v>2.5</v>
      </c>
      <c r="L209">
        <v>0.45471452178148297</v>
      </c>
      <c r="M209">
        <v>0.43715701217510522</v>
      </c>
      <c r="N209" s="73">
        <f t="shared" si="3"/>
        <v>1.0401629371539052</v>
      </c>
      <c r="O209">
        <v>1.0163686273422265</v>
      </c>
      <c r="P209">
        <v>1.0234111022040302</v>
      </c>
      <c r="Q209">
        <v>2</v>
      </c>
      <c r="R209">
        <v>0.50420742049940981</v>
      </c>
      <c r="T209" s="15" t="s">
        <v>542</v>
      </c>
    </row>
    <row r="210" spans="1:20">
      <c r="A210">
        <v>2</v>
      </c>
      <c r="B210">
        <v>1.0163686273422265</v>
      </c>
      <c r="C210">
        <v>201</v>
      </c>
      <c r="D210">
        <v>0.92564800800691716</v>
      </c>
      <c r="I210">
        <v>0.3</v>
      </c>
      <c r="L210">
        <v>0.30108677490476193</v>
      </c>
      <c r="M210">
        <v>0.28379761260902769</v>
      </c>
      <c r="N210" s="73">
        <f t="shared" si="3"/>
        <v>1.06092074607954</v>
      </c>
      <c r="O210">
        <v>1.0163686273422265</v>
      </c>
      <c r="P210">
        <v>1.0438346064004513</v>
      </c>
      <c r="Q210">
        <v>2.5</v>
      </c>
      <c r="R210">
        <v>0.50420742049940981</v>
      </c>
      <c r="T210" s="15" t="s">
        <v>543</v>
      </c>
    </row>
    <row r="211" spans="1:20">
      <c r="A211">
        <v>2</v>
      </c>
      <c r="B211">
        <v>1.0163686273422265</v>
      </c>
      <c r="C211">
        <v>202</v>
      </c>
      <c r="D211">
        <v>0.93237394901727189</v>
      </c>
      <c r="I211">
        <v>0.5</v>
      </c>
      <c r="L211">
        <v>1.2924046021421458</v>
      </c>
      <c r="M211">
        <v>1.3988709969410704</v>
      </c>
      <c r="N211" s="73">
        <f t="shared" si="3"/>
        <v>0.92389119866539793</v>
      </c>
      <c r="O211">
        <v>0.98460415584026495</v>
      </c>
      <c r="P211">
        <v>0.93833769965854519</v>
      </c>
      <c r="Q211">
        <v>0.3</v>
      </c>
      <c r="R211">
        <v>0.60172287236842936</v>
      </c>
      <c r="T211" s="25" t="s">
        <v>544</v>
      </c>
    </row>
    <row r="212" spans="1:20">
      <c r="A212">
        <v>2</v>
      </c>
      <c r="B212">
        <v>1.0163686273422265</v>
      </c>
      <c r="C212">
        <v>203</v>
      </c>
      <c r="D212">
        <v>1.0178065995708752</v>
      </c>
      <c r="I212">
        <v>0.75</v>
      </c>
      <c r="L212">
        <v>1.226834771645362</v>
      </c>
      <c r="M212">
        <v>1.2928423428128499</v>
      </c>
      <c r="N212" s="73">
        <f t="shared" si="3"/>
        <v>0.94894383562354978</v>
      </c>
      <c r="O212">
        <v>0.98460415584026495</v>
      </c>
      <c r="P212">
        <v>0.96378207424253404</v>
      </c>
      <c r="Q212">
        <v>0.5</v>
      </c>
      <c r="R212">
        <v>0.60172287236842936</v>
      </c>
      <c r="T212" s="25" t="s">
        <v>545</v>
      </c>
    </row>
    <row r="213" spans="1:20">
      <c r="A213">
        <v>2</v>
      </c>
      <c r="B213">
        <v>1.0163686273422265</v>
      </c>
      <c r="C213">
        <v>204</v>
      </c>
      <c r="D213">
        <v>1.0260653090109739</v>
      </c>
      <c r="I213">
        <v>1</v>
      </c>
      <c r="L213">
        <v>1.1535926863828176</v>
      </c>
      <c r="M213">
        <v>1.123207605102841</v>
      </c>
      <c r="N213" s="73">
        <f t="shared" si="3"/>
        <v>1.0270520615618468</v>
      </c>
      <c r="O213">
        <v>0.98460415584026495</v>
      </c>
      <c r="P213">
        <v>1.04311164590338</v>
      </c>
      <c r="Q213">
        <v>0.75</v>
      </c>
      <c r="R213">
        <v>0.60172287236842936</v>
      </c>
      <c r="T213" s="25" t="s">
        <v>546</v>
      </c>
    </row>
    <row r="214" spans="1:20">
      <c r="A214">
        <v>2</v>
      </c>
      <c r="B214">
        <v>1.0163686273422265</v>
      </c>
      <c r="C214">
        <v>205</v>
      </c>
      <c r="D214">
        <v>1.0013591878646941</v>
      </c>
      <c r="I214">
        <v>1.33</v>
      </c>
      <c r="L214">
        <v>1.0813746660681081</v>
      </c>
      <c r="M214">
        <v>1.0455884322521551</v>
      </c>
      <c r="N214" s="73">
        <f t="shared" si="3"/>
        <v>1.0342259274415182</v>
      </c>
      <c r="O214">
        <v>0.98460415584026495</v>
      </c>
      <c r="P214">
        <v>1.0503976865290658</v>
      </c>
      <c r="Q214">
        <v>1</v>
      </c>
      <c r="R214">
        <v>0.60172287236842936</v>
      </c>
      <c r="T214" s="25" t="s">
        <v>547</v>
      </c>
    </row>
    <row r="215" spans="1:20">
      <c r="A215">
        <v>2</v>
      </c>
      <c r="B215">
        <v>1.0163686273422265</v>
      </c>
      <c r="C215">
        <v>206</v>
      </c>
      <c r="D215">
        <v>0.99551076415674766</v>
      </c>
      <c r="I215">
        <v>1.67</v>
      </c>
      <c r="L215">
        <v>0.87067186544950603</v>
      </c>
      <c r="M215">
        <v>0.85984828500825983</v>
      </c>
      <c r="N215" s="73">
        <f t="shared" si="3"/>
        <v>1.0125877792977656</v>
      </c>
      <c r="O215">
        <v>0.98460415584026495</v>
      </c>
      <c r="P215">
        <v>1.0284211916956814</v>
      </c>
      <c r="Q215">
        <v>1.33</v>
      </c>
      <c r="R215">
        <v>0.60172287236842936</v>
      </c>
      <c r="T215" s="25" t="s">
        <v>548</v>
      </c>
    </row>
    <row r="216" spans="1:20">
      <c r="A216">
        <v>2</v>
      </c>
      <c r="B216">
        <v>1.0163686273422265</v>
      </c>
      <c r="C216">
        <v>207</v>
      </c>
      <c r="D216">
        <v>1.0234111022040302</v>
      </c>
      <c r="I216">
        <v>2</v>
      </c>
      <c r="L216">
        <v>0.62698430912848602</v>
      </c>
      <c r="M216">
        <v>0.62274698260730166</v>
      </c>
      <c r="N216" s="73">
        <f t="shared" si="3"/>
        <v>1.0068042505857573</v>
      </c>
      <c r="O216">
        <v>0.98460415584026495</v>
      </c>
      <c r="P216">
        <v>1.02254722835955</v>
      </c>
      <c r="Q216">
        <v>1.67</v>
      </c>
      <c r="R216">
        <v>0.60172287236842936</v>
      </c>
      <c r="T216" s="25" t="s">
        <v>549</v>
      </c>
    </row>
    <row r="217" spans="1:20">
      <c r="A217">
        <v>2</v>
      </c>
      <c r="B217">
        <v>1.0163686273422265</v>
      </c>
      <c r="C217">
        <v>208</v>
      </c>
      <c r="D217">
        <v>1.0438346064004513</v>
      </c>
      <c r="I217">
        <v>2.5</v>
      </c>
      <c r="L217">
        <v>0.45653859436339439</v>
      </c>
      <c r="M217">
        <v>0.44333811177683552</v>
      </c>
      <c r="N217" s="73">
        <f t="shared" si="3"/>
        <v>1.0297752037009704</v>
      </c>
      <c r="O217">
        <v>0.98460415584026495</v>
      </c>
      <c r="P217">
        <v>1.0458773686793514</v>
      </c>
      <c r="Q217">
        <v>2</v>
      </c>
      <c r="R217">
        <v>0.60172287236842936</v>
      </c>
      <c r="T217" s="25" t="s">
        <v>550</v>
      </c>
    </row>
    <row r="218" spans="1:20">
      <c r="A218">
        <v>2</v>
      </c>
      <c r="B218">
        <v>1.0166220561537915</v>
      </c>
      <c r="C218">
        <v>57</v>
      </c>
      <c r="D218">
        <v>0.92211665552241473</v>
      </c>
      <c r="I218">
        <v>0.3</v>
      </c>
      <c r="L218">
        <v>0.30205192324731106</v>
      </c>
      <c r="M218">
        <v>0.28864034229381563</v>
      </c>
      <c r="N218" s="73">
        <f t="shared" si="3"/>
        <v>1.046464679354639</v>
      </c>
      <c r="O218">
        <v>0.98460415584026495</v>
      </c>
      <c r="P218">
        <v>1.0628278106967588</v>
      </c>
      <c r="Q218">
        <v>2.5</v>
      </c>
      <c r="R218">
        <v>0.60172287236842936</v>
      </c>
      <c r="T218" s="25" t="s">
        <v>551</v>
      </c>
    </row>
    <row r="219" spans="1:20">
      <c r="A219">
        <v>2</v>
      </c>
      <c r="B219">
        <v>1.0166220561537915</v>
      </c>
      <c r="C219">
        <v>58</v>
      </c>
      <c r="D219">
        <v>0.96938172784610721</v>
      </c>
      <c r="I219">
        <v>0.5</v>
      </c>
      <c r="L219">
        <v>1.1980150139942596</v>
      </c>
      <c r="M219">
        <v>1.3954278592846319</v>
      </c>
      <c r="N219" s="73">
        <f t="shared" si="3"/>
        <v>0.8585288060741626</v>
      </c>
      <c r="O219">
        <v>0.90992969508953903</v>
      </c>
      <c r="P219">
        <v>0.94351114235224676</v>
      </c>
      <c r="Q219">
        <v>0.3</v>
      </c>
      <c r="R219">
        <v>0.80762280341764636</v>
      </c>
      <c r="T219" s="15" t="s">
        <v>552</v>
      </c>
    </row>
    <row r="220" spans="1:20">
      <c r="A220">
        <v>2</v>
      </c>
      <c r="B220">
        <v>1.0166220561537915</v>
      </c>
      <c r="C220">
        <v>59</v>
      </c>
      <c r="D220">
        <v>0.95914295669548744</v>
      </c>
      <c r="I220">
        <v>0.75</v>
      </c>
      <c r="L220">
        <v>1.155792334622368</v>
      </c>
      <c r="M220">
        <v>1.2542525384884609</v>
      </c>
      <c r="N220" s="73">
        <f t="shared" si="3"/>
        <v>0.9214989000662096</v>
      </c>
      <c r="O220">
        <v>0.90992969508953903</v>
      </c>
      <c r="P220">
        <v>1.012714394352777</v>
      </c>
      <c r="Q220">
        <v>0.5</v>
      </c>
      <c r="R220">
        <v>0.80762280341764636</v>
      </c>
      <c r="T220" s="15" t="s">
        <v>553</v>
      </c>
    </row>
    <row r="221" spans="1:20">
      <c r="A221">
        <v>2</v>
      </c>
      <c r="B221">
        <v>1.0166220561537915</v>
      </c>
      <c r="C221">
        <v>60</v>
      </c>
      <c r="D221">
        <v>0.95320802681564964</v>
      </c>
      <c r="I221">
        <v>1</v>
      </c>
      <c r="L221">
        <v>1.1024694604315832</v>
      </c>
      <c r="M221">
        <v>1.0994229534879603</v>
      </c>
      <c r="N221" s="73">
        <f t="shared" si="3"/>
        <v>1.0027710054023866</v>
      </c>
      <c r="O221">
        <v>0.90992969508953903</v>
      </c>
      <c r="P221">
        <v>1.1020313006750613</v>
      </c>
      <c r="Q221">
        <v>0.75</v>
      </c>
      <c r="R221">
        <v>0.80762280341764636</v>
      </c>
      <c r="T221" s="15" t="s">
        <v>554</v>
      </c>
    </row>
    <row r="222" spans="1:20">
      <c r="A222">
        <v>2</v>
      </c>
      <c r="B222">
        <v>1.0166220561537915</v>
      </c>
      <c r="C222">
        <v>61</v>
      </c>
      <c r="D222">
        <v>0.96611952818699298</v>
      </c>
      <c r="I222">
        <v>1.33</v>
      </c>
      <c r="L222">
        <v>1.0529755735472448</v>
      </c>
      <c r="M222">
        <v>1.0350522854624695</v>
      </c>
      <c r="N222" s="73">
        <f t="shared" si="3"/>
        <v>1.0173163117810682</v>
      </c>
      <c r="O222">
        <v>0.90992969508953903</v>
      </c>
      <c r="P222">
        <v>1.118016388816679</v>
      </c>
      <c r="Q222">
        <v>1</v>
      </c>
      <c r="R222">
        <v>0.80762280341764636</v>
      </c>
      <c r="T222" s="15" t="s">
        <v>555</v>
      </c>
    </row>
    <row r="223" spans="1:20">
      <c r="A223">
        <v>2</v>
      </c>
      <c r="B223">
        <v>1.0166220561537915</v>
      </c>
      <c r="C223">
        <v>62</v>
      </c>
      <c r="D223">
        <v>0.96857363590908974</v>
      </c>
      <c r="I223">
        <v>1.67</v>
      </c>
      <c r="L223">
        <v>0.85481659520849174</v>
      </c>
      <c r="M223">
        <v>0.85062513881385216</v>
      </c>
      <c r="N223" s="73">
        <f t="shared" si="3"/>
        <v>1.0049275012028027</v>
      </c>
      <c r="O223">
        <v>0.90992969508953903</v>
      </c>
      <c r="P223">
        <v>1.1044012593785235</v>
      </c>
      <c r="Q223">
        <v>1.33</v>
      </c>
      <c r="R223">
        <v>0.80762280341764636</v>
      </c>
      <c r="T223" s="15" t="s">
        <v>556</v>
      </c>
    </row>
    <row r="224" spans="1:20">
      <c r="A224">
        <v>2</v>
      </c>
      <c r="B224">
        <v>1.0166220561537915</v>
      </c>
      <c r="C224">
        <v>63</v>
      </c>
      <c r="D224">
        <v>0.96931342947052057</v>
      </c>
      <c r="I224">
        <v>2</v>
      </c>
      <c r="L224">
        <v>0.61502360915937859</v>
      </c>
      <c r="M224">
        <v>0.61423113353623449</v>
      </c>
      <c r="N224" s="73">
        <f t="shared" si="3"/>
        <v>1.0012901912323813</v>
      </c>
      <c r="O224">
        <v>0.90992969508953903</v>
      </c>
      <c r="P224">
        <v>1.1004039066269315</v>
      </c>
      <c r="Q224">
        <v>1.67</v>
      </c>
      <c r="R224">
        <v>0.80762280341764636</v>
      </c>
      <c r="T224" s="15" t="s">
        <v>557</v>
      </c>
    </row>
    <row r="225" spans="1:20">
      <c r="A225">
        <v>2</v>
      </c>
      <c r="B225">
        <v>1.0166220561537915</v>
      </c>
      <c r="C225">
        <v>64</v>
      </c>
      <c r="D225">
        <v>0.97149634309696564</v>
      </c>
      <c r="I225">
        <v>2.5</v>
      </c>
      <c r="L225">
        <v>0.44592929358019801</v>
      </c>
      <c r="M225">
        <v>0.43772287177202301</v>
      </c>
      <c r="N225" s="73">
        <f t="shared" si="3"/>
        <v>1.0187479849406844</v>
      </c>
      <c r="O225">
        <v>0.90992969508953903</v>
      </c>
      <c r="P225">
        <v>1.1195897775821431</v>
      </c>
      <c r="Q225">
        <v>2</v>
      </c>
      <c r="R225">
        <v>0.80762280341764636</v>
      </c>
      <c r="T225" s="15" t="s">
        <v>558</v>
      </c>
    </row>
    <row r="226" spans="1:20">
      <c r="A226">
        <v>2</v>
      </c>
      <c r="B226">
        <v>1.0215187844376274</v>
      </c>
      <c r="C226">
        <v>105</v>
      </c>
      <c r="D226">
        <v>0.85009150352089891</v>
      </c>
      <c r="I226">
        <v>0.3</v>
      </c>
      <c r="L226">
        <v>0.29405780565553497</v>
      </c>
      <c r="M226">
        <v>0.28518994474104264</v>
      </c>
      <c r="N226" s="73">
        <f t="shared" si="3"/>
        <v>1.0310945777648104</v>
      </c>
      <c r="O226">
        <v>0.90992969508953903</v>
      </c>
      <c r="P226">
        <v>1.1331585102993571</v>
      </c>
      <c r="Q226">
        <v>2.5</v>
      </c>
      <c r="R226">
        <v>0.80762280341764636</v>
      </c>
      <c r="T226" s="15" t="s">
        <v>559</v>
      </c>
    </row>
    <row r="227" spans="1:20">
      <c r="A227">
        <v>2</v>
      </c>
      <c r="B227">
        <v>1.0215187844376274</v>
      </c>
      <c r="C227">
        <v>106</v>
      </c>
      <c r="D227">
        <v>0.84561901306650444</v>
      </c>
      <c r="I227">
        <v>0.5</v>
      </c>
      <c r="L227">
        <v>1.1555380949241003</v>
      </c>
      <c r="M227">
        <v>1.3882663813895315</v>
      </c>
      <c r="N227" s="73">
        <f t="shared" si="3"/>
        <v>0.83236049681438595</v>
      </c>
      <c r="O227">
        <v>0.8869245612332064</v>
      </c>
      <c r="P227">
        <v>0.93847947525215347</v>
      </c>
      <c r="Q227">
        <v>0.3</v>
      </c>
      <c r="R227">
        <v>1.1133153135475653</v>
      </c>
      <c r="T227" s="25" t="s">
        <v>560</v>
      </c>
    </row>
    <row r="228" spans="1:20">
      <c r="A228">
        <v>2</v>
      </c>
      <c r="B228">
        <v>1.0215187844376274</v>
      </c>
      <c r="C228">
        <v>107</v>
      </c>
      <c r="D228">
        <v>0.88484482325131208</v>
      </c>
      <c r="I228">
        <v>0.75</v>
      </c>
      <c r="L228">
        <v>1.083103581531458</v>
      </c>
      <c r="M228">
        <v>1.2352380123286935</v>
      </c>
      <c r="N228" s="73">
        <f t="shared" si="3"/>
        <v>0.87683796217505583</v>
      </c>
      <c r="O228">
        <v>0.8869245612332064</v>
      </c>
      <c r="P228">
        <v>0.98862744420548465</v>
      </c>
      <c r="Q228">
        <v>0.5</v>
      </c>
      <c r="R228">
        <v>1.1133153135475653</v>
      </c>
      <c r="T228" s="25" t="s">
        <v>561</v>
      </c>
    </row>
    <row r="229" spans="1:20">
      <c r="A229">
        <v>2</v>
      </c>
      <c r="B229">
        <v>1.0215187844376274</v>
      </c>
      <c r="C229">
        <v>108</v>
      </c>
      <c r="D229">
        <v>0.89462727368440642</v>
      </c>
      <c r="I229">
        <v>1</v>
      </c>
      <c r="L229">
        <v>1.0161151788983829</v>
      </c>
      <c r="M229">
        <v>1.0754338470660258</v>
      </c>
      <c r="N229" s="73">
        <f t="shared" si="3"/>
        <v>0.94484210411502778</v>
      </c>
      <c r="O229">
        <v>0.8869245612332064</v>
      </c>
      <c r="P229">
        <v>1.0653015435735493</v>
      </c>
      <c r="Q229">
        <v>0.75</v>
      </c>
      <c r="R229">
        <v>1.1133153135475653</v>
      </c>
      <c r="T229" s="25" t="s">
        <v>562</v>
      </c>
    </row>
    <row r="230" spans="1:20">
      <c r="A230">
        <v>2</v>
      </c>
      <c r="B230">
        <v>1.0215187844376274</v>
      </c>
      <c r="C230">
        <v>109</v>
      </c>
      <c r="D230">
        <v>0.93801851460489671</v>
      </c>
      <c r="I230">
        <v>1.33</v>
      </c>
      <c r="L230">
        <v>0.99327428528482609</v>
      </c>
      <c r="M230">
        <v>1.0213858451197586</v>
      </c>
      <c r="N230" s="73">
        <f t="shared" si="3"/>
        <v>0.97247704188456185</v>
      </c>
      <c r="O230">
        <v>0.8869245612332064</v>
      </c>
      <c r="P230">
        <v>1.0964597040050403</v>
      </c>
      <c r="Q230">
        <v>1</v>
      </c>
      <c r="R230">
        <v>1.1133153135475653</v>
      </c>
      <c r="T230" s="25" t="s">
        <v>563</v>
      </c>
    </row>
    <row r="231" spans="1:20">
      <c r="A231">
        <v>2</v>
      </c>
      <c r="B231">
        <v>1.0215187844376274</v>
      </c>
      <c r="C231">
        <v>110</v>
      </c>
      <c r="D231">
        <v>0.94010754749194447</v>
      </c>
      <c r="I231">
        <v>1.67</v>
      </c>
      <c r="L231">
        <v>0.8279794280113667</v>
      </c>
      <c r="M231">
        <v>0.83594597440826923</v>
      </c>
      <c r="N231" s="73">
        <f t="shared" si="3"/>
        <v>0.99047002241676951</v>
      </c>
      <c r="O231">
        <v>0.8869245612332064</v>
      </c>
      <c r="P231">
        <v>1.1167466385637022</v>
      </c>
      <c r="Q231">
        <v>1.33</v>
      </c>
      <c r="R231">
        <v>1.1133153135475653</v>
      </c>
      <c r="T231" s="25" t="s">
        <v>564</v>
      </c>
    </row>
    <row r="232" spans="1:20">
      <c r="A232">
        <v>2</v>
      </c>
      <c r="B232">
        <v>1.0215187844376274</v>
      </c>
      <c r="C232">
        <v>111</v>
      </c>
      <c r="D232">
        <v>0.92985620685936698</v>
      </c>
      <c r="I232">
        <v>2</v>
      </c>
      <c r="L232">
        <v>0.59884619606267209</v>
      </c>
      <c r="M232">
        <v>0.60070017381263152</v>
      </c>
      <c r="N232" s="73">
        <f t="shared" si="3"/>
        <v>0.99691363873229422</v>
      </c>
      <c r="O232">
        <v>0.8869245612332064</v>
      </c>
      <c r="P232">
        <v>1.1240117618866656</v>
      </c>
      <c r="Q232">
        <v>1.67</v>
      </c>
      <c r="R232">
        <v>1.1133153135475653</v>
      </c>
      <c r="T232" s="25" t="s">
        <v>565</v>
      </c>
    </row>
    <row r="233" spans="1:20">
      <c r="A233">
        <v>2</v>
      </c>
      <c r="B233">
        <v>1.0215187844376274</v>
      </c>
      <c r="C233">
        <v>112</v>
      </c>
      <c r="D233">
        <v>0.93035504322121132</v>
      </c>
      <c r="I233">
        <v>2.5</v>
      </c>
      <c r="L233">
        <v>0.43232490126713485</v>
      </c>
      <c r="M233">
        <v>0.42790279757441579</v>
      </c>
      <c r="N233" s="73">
        <f t="shared" si="3"/>
        <v>1.0103343649954755</v>
      </c>
      <c r="O233">
        <v>0.8869245612332064</v>
      </c>
      <c r="P233">
        <v>1.1391435181259117</v>
      </c>
      <c r="Q233">
        <v>2</v>
      </c>
      <c r="R233">
        <v>1.1133153135475653</v>
      </c>
      <c r="T233" s="25" t="s">
        <v>566</v>
      </c>
    </row>
    <row r="234" spans="1:20">
      <c r="A234">
        <v>2</v>
      </c>
      <c r="B234">
        <v>1.0238961113393781</v>
      </c>
      <c r="C234">
        <v>241</v>
      </c>
      <c r="D234">
        <v>0.92049283031901918</v>
      </c>
      <c r="I234">
        <v>0.3</v>
      </c>
      <c r="L234">
        <v>0.28405239701189455</v>
      </c>
      <c r="M234">
        <v>0.27866758502793648</v>
      </c>
      <c r="N234" s="73">
        <f t="shared" si="3"/>
        <v>1.0193234242993072</v>
      </c>
      <c r="O234">
        <v>0.8869245612332064</v>
      </c>
      <c r="P234">
        <v>1.1492786070576391</v>
      </c>
      <c r="Q234">
        <v>2.5</v>
      </c>
      <c r="R234">
        <v>1.1133153135475653</v>
      </c>
      <c r="T234" s="25" t="s">
        <v>567</v>
      </c>
    </row>
    <row r="235" spans="1:20">
      <c r="A235">
        <v>2</v>
      </c>
      <c r="B235">
        <v>1.0238961113393781</v>
      </c>
      <c r="C235">
        <v>242</v>
      </c>
      <c r="D235">
        <v>0.93483771478174127</v>
      </c>
      <c r="I235">
        <v>0.5</v>
      </c>
      <c r="L235">
        <v>1.140506259495597</v>
      </c>
      <c r="M235">
        <v>1.3807076414865438</v>
      </c>
      <c r="N235" s="73">
        <f t="shared" si="3"/>
        <v>0.82603023639940665</v>
      </c>
      <c r="O235">
        <v>0.88162604206864925</v>
      </c>
      <c r="P235">
        <v>0.93693946977928155</v>
      </c>
      <c r="Q235">
        <v>0.3</v>
      </c>
      <c r="R235">
        <v>1.5137471488237149</v>
      </c>
      <c r="T235" s="15" t="s">
        <v>568</v>
      </c>
    </row>
    <row r="236" spans="1:20">
      <c r="A236">
        <v>2</v>
      </c>
      <c r="B236">
        <v>1.0238961113393781</v>
      </c>
      <c r="C236">
        <v>243</v>
      </c>
      <c r="D236">
        <v>0.98958977592293884</v>
      </c>
      <c r="I236">
        <v>0.75</v>
      </c>
      <c r="L236">
        <v>1.0549288019908429</v>
      </c>
      <c r="M236">
        <v>1.2216125345023321</v>
      </c>
      <c r="N236" s="73">
        <f t="shared" si="3"/>
        <v>0.8635543367444295</v>
      </c>
      <c r="O236">
        <v>0.88162604206864925</v>
      </c>
      <c r="P236">
        <v>0.97950184719836975</v>
      </c>
      <c r="Q236">
        <v>0.5</v>
      </c>
      <c r="R236">
        <v>1.5137471488237149</v>
      </c>
      <c r="T236" s="15" t="s">
        <v>569</v>
      </c>
    </row>
    <row r="237" spans="1:20">
      <c r="A237">
        <v>2</v>
      </c>
      <c r="B237">
        <v>1.0238961113393781</v>
      </c>
      <c r="C237">
        <v>244</v>
      </c>
      <c r="D237">
        <v>0.97895187433665853</v>
      </c>
      <c r="I237">
        <v>1</v>
      </c>
      <c r="L237">
        <v>0.96966589561054273</v>
      </c>
      <c r="M237">
        <v>1.0590314608428009</v>
      </c>
      <c r="N237" s="73">
        <f t="shared" si="3"/>
        <v>0.91561575974226583</v>
      </c>
      <c r="O237">
        <v>0.88162604206864925</v>
      </c>
      <c r="P237">
        <v>1.0385534410869524</v>
      </c>
      <c r="Q237">
        <v>0.75</v>
      </c>
      <c r="R237">
        <v>1.5137471488237149</v>
      </c>
      <c r="T237" s="15" t="s">
        <v>570</v>
      </c>
    </row>
    <row r="238" spans="1:20">
      <c r="A238">
        <v>2</v>
      </c>
      <c r="B238">
        <v>1.0238961113393781</v>
      </c>
      <c r="C238">
        <v>245</v>
      </c>
      <c r="D238">
        <v>0.9696908010021813</v>
      </c>
      <c r="I238">
        <v>1.33</v>
      </c>
      <c r="L238">
        <v>0.94982359172462183</v>
      </c>
      <c r="M238">
        <v>1.0132900990500453</v>
      </c>
      <c r="N238" s="73">
        <f t="shared" si="3"/>
        <v>0.93736590598790714</v>
      </c>
      <c r="O238">
        <v>0.88162604206864925</v>
      </c>
      <c r="P238">
        <v>1.0632239308499436</v>
      </c>
      <c r="Q238">
        <v>1</v>
      </c>
      <c r="R238">
        <v>1.5137471488237149</v>
      </c>
      <c r="T238" s="15" t="s">
        <v>571</v>
      </c>
    </row>
    <row r="239" spans="1:20">
      <c r="A239">
        <v>2</v>
      </c>
      <c r="B239">
        <v>1.0238961113393781</v>
      </c>
      <c r="C239">
        <v>246</v>
      </c>
      <c r="D239">
        <v>0.96881287773722113</v>
      </c>
      <c r="I239">
        <v>1.67</v>
      </c>
      <c r="L239">
        <v>0.8017506715419227</v>
      </c>
      <c r="M239">
        <v>0.82703939508125546</v>
      </c>
      <c r="N239" s="73">
        <f t="shared" si="3"/>
        <v>0.96942258894831945</v>
      </c>
      <c r="O239">
        <v>0.88162604206864925</v>
      </c>
      <c r="P239">
        <v>1.0995847929737468</v>
      </c>
      <c r="Q239">
        <v>1.33</v>
      </c>
      <c r="R239">
        <v>1.5137471488237149</v>
      </c>
      <c r="T239" s="15" t="s">
        <v>572</v>
      </c>
    </row>
    <row r="240" spans="1:20">
      <c r="A240">
        <v>2</v>
      </c>
      <c r="B240">
        <v>1.0238961113393781</v>
      </c>
      <c r="C240">
        <v>247</v>
      </c>
      <c r="D240">
        <v>0.97698480468864513</v>
      </c>
      <c r="I240">
        <v>2</v>
      </c>
      <c r="L240">
        <v>0.5878448201373665</v>
      </c>
      <c r="M240">
        <v>0.59269796724544643</v>
      </c>
      <c r="N240" s="73">
        <f t="shared" si="3"/>
        <v>0.99181177028388534</v>
      </c>
      <c r="O240">
        <v>0.88162604206864925</v>
      </c>
      <c r="P240">
        <v>1.1249801196397238</v>
      </c>
      <c r="Q240">
        <v>1.67</v>
      </c>
      <c r="R240">
        <v>1.5137471488237149</v>
      </c>
      <c r="T240" s="15" t="s">
        <v>573</v>
      </c>
    </row>
    <row r="241" spans="1:20">
      <c r="A241">
        <v>2</v>
      </c>
      <c r="B241">
        <v>1.0238961113393781</v>
      </c>
      <c r="C241">
        <v>248</v>
      </c>
      <c r="D241">
        <v>0.98284201874430033</v>
      </c>
      <c r="I241">
        <v>2.5</v>
      </c>
      <c r="L241">
        <v>0.42403192637166243</v>
      </c>
      <c r="M241">
        <v>0.42222002524343727</v>
      </c>
      <c r="N241" s="73">
        <f t="shared" si="3"/>
        <v>1.0042913671069498</v>
      </c>
      <c r="O241">
        <v>0.88162604206864925</v>
      </c>
      <c r="P241">
        <v>1.1391353240320332</v>
      </c>
      <c r="Q241">
        <v>2</v>
      </c>
      <c r="R241">
        <v>1.5137471488237149</v>
      </c>
      <c r="T241" s="15" t="s">
        <v>574</v>
      </c>
    </row>
    <row r="242" spans="1:20">
      <c r="A242">
        <v>3</v>
      </c>
      <c r="B242">
        <v>1.0326179569210958</v>
      </c>
      <c r="C242">
        <v>9</v>
      </c>
      <c r="D242">
        <v>0.92481179998245888</v>
      </c>
      <c r="I242">
        <v>0.3</v>
      </c>
      <c r="L242">
        <v>0.27807018189581972</v>
      </c>
      <c r="M242">
        <v>0.27497199543359457</v>
      </c>
      <c r="N242" s="73">
        <f t="shared" si="3"/>
        <v>1.0112672799909668</v>
      </c>
      <c r="O242">
        <v>0.88162604206864925</v>
      </c>
      <c r="P242">
        <v>1.1470478771454244</v>
      </c>
      <c r="Q242">
        <v>2.5</v>
      </c>
      <c r="R242">
        <v>1.5137471488237149</v>
      </c>
      <c r="T242" s="15" t="s">
        <v>575</v>
      </c>
    </row>
    <row r="243" spans="1:20">
      <c r="A243">
        <v>3</v>
      </c>
      <c r="B243">
        <v>1.0326179569210958</v>
      </c>
      <c r="C243">
        <v>10</v>
      </c>
      <c r="D243">
        <v>0.93476949670524334</v>
      </c>
      <c r="I243">
        <v>0.5</v>
      </c>
      <c r="L243">
        <v>1.2343266309250833</v>
      </c>
      <c r="M243">
        <v>1.3096456216650674</v>
      </c>
      <c r="N243" s="73">
        <f t="shared" si="3"/>
        <v>0.94248902947942181</v>
      </c>
      <c r="O243">
        <v>1.0238961113393781</v>
      </c>
      <c r="P243">
        <v>0.92049283031901918</v>
      </c>
      <c r="Q243">
        <v>0.3</v>
      </c>
      <c r="R243">
        <v>0.35499999999999998</v>
      </c>
      <c r="T243" s="25" t="s">
        <v>576</v>
      </c>
    </row>
    <row r="244" spans="1:20">
      <c r="A244">
        <v>3</v>
      </c>
      <c r="B244">
        <v>1.0326179569210958</v>
      </c>
      <c r="C244">
        <v>11</v>
      </c>
      <c r="D244">
        <v>0.97016048641206398</v>
      </c>
      <c r="I244">
        <v>0.75</v>
      </c>
      <c r="L244">
        <v>1.058872887243471</v>
      </c>
      <c r="M244">
        <v>1.1062459901600221</v>
      </c>
      <c r="N244" s="73">
        <f t="shared" si="3"/>
        <v>0.95717670089841544</v>
      </c>
      <c r="O244">
        <v>1.0238961113393781</v>
      </c>
      <c r="P244">
        <v>0.93483771478174127</v>
      </c>
      <c r="Q244">
        <v>0.5</v>
      </c>
      <c r="R244">
        <v>0.35499999999999998</v>
      </c>
      <c r="T244" s="25" t="s">
        <v>577</v>
      </c>
    </row>
    <row r="245" spans="1:20">
      <c r="A245">
        <v>3</v>
      </c>
      <c r="B245">
        <v>1.0326179569210958</v>
      </c>
      <c r="C245">
        <v>12</v>
      </c>
      <c r="D245">
        <v>0.9755301771143805</v>
      </c>
      <c r="I245">
        <v>1</v>
      </c>
      <c r="L245">
        <v>0.85668626757425059</v>
      </c>
      <c r="M245">
        <v>0.84549435447955246</v>
      </c>
      <c r="N245" s="73">
        <f t="shared" si="3"/>
        <v>1.0132371233887036</v>
      </c>
      <c r="O245">
        <v>1.0238961113393781</v>
      </c>
      <c r="P245">
        <v>0.98958977592293884</v>
      </c>
      <c r="Q245">
        <v>0.75</v>
      </c>
      <c r="R245">
        <v>0.35499999999999998</v>
      </c>
      <c r="T245" s="25" t="s">
        <v>578</v>
      </c>
    </row>
    <row r="246" spans="1:20">
      <c r="A246">
        <v>3</v>
      </c>
      <c r="B246">
        <v>1.0326179569210958</v>
      </c>
      <c r="C246">
        <v>13</v>
      </c>
      <c r="D246">
        <v>0.96780304473474543</v>
      </c>
      <c r="I246">
        <v>1.33</v>
      </c>
      <c r="L246">
        <v>0.71262783232711557</v>
      </c>
      <c r="M246">
        <v>0.71096061736434946</v>
      </c>
      <c r="N246" s="73">
        <f t="shared" si="3"/>
        <v>1.0023450173217003</v>
      </c>
      <c r="O246">
        <v>1.0238961113393781</v>
      </c>
      <c r="P246">
        <v>0.97895187433665853</v>
      </c>
      <c r="Q246">
        <v>1</v>
      </c>
      <c r="R246">
        <v>0.35499999999999998</v>
      </c>
      <c r="T246" s="25" t="s">
        <v>579</v>
      </c>
    </row>
    <row r="247" spans="1:20">
      <c r="A247">
        <v>3</v>
      </c>
      <c r="B247">
        <v>1.0326179569210958</v>
      </c>
      <c r="C247">
        <v>14</v>
      </c>
      <c r="D247">
        <v>0.96376475504348258</v>
      </c>
      <c r="I247">
        <v>1.67</v>
      </c>
      <c r="L247">
        <v>0.50346655446707644</v>
      </c>
      <c r="M247">
        <v>0.5070858082551708</v>
      </c>
      <c r="N247" s="73">
        <f t="shared" si="3"/>
        <v>0.99286264034770011</v>
      </c>
      <c r="O247">
        <v>1.0238961113393781</v>
      </c>
      <c r="P247">
        <v>0.9696908010021813</v>
      </c>
      <c r="Q247">
        <v>1.33</v>
      </c>
      <c r="R247">
        <v>0.35499999999999998</v>
      </c>
      <c r="T247" s="25" t="s">
        <v>580</v>
      </c>
    </row>
    <row r="248" spans="1:20">
      <c r="A248">
        <v>3</v>
      </c>
      <c r="B248">
        <v>1.0326179569210958</v>
      </c>
      <c r="C248">
        <v>15</v>
      </c>
      <c r="D248">
        <v>0.9624009103237704</v>
      </c>
      <c r="I248">
        <v>2</v>
      </c>
      <c r="L248">
        <v>0.33437108871534227</v>
      </c>
      <c r="M248">
        <v>0.3370799514763127</v>
      </c>
      <c r="N248" s="73">
        <f t="shared" si="3"/>
        <v>0.99196373813065297</v>
      </c>
      <c r="O248">
        <v>1.0238961113393781</v>
      </c>
      <c r="P248">
        <v>0.96881287773722113</v>
      </c>
      <c r="Q248">
        <v>1.67</v>
      </c>
      <c r="R248">
        <v>0.35499999999999998</v>
      </c>
      <c r="T248" s="25" t="s">
        <v>581</v>
      </c>
    </row>
    <row r="249" spans="1:20">
      <c r="A249">
        <v>3</v>
      </c>
      <c r="B249">
        <v>1.0326179569210958</v>
      </c>
      <c r="C249">
        <v>16</v>
      </c>
      <c r="D249">
        <v>0.95836628325951279</v>
      </c>
      <c r="I249">
        <v>2.5</v>
      </c>
      <c r="L249">
        <v>0.23118662569851298</v>
      </c>
      <c r="M249">
        <v>0.23111014156322185</v>
      </c>
      <c r="N249" s="73">
        <f t="shared" si="3"/>
        <v>1.0003309423583655</v>
      </c>
      <c r="O249">
        <v>1.0238961113393781</v>
      </c>
      <c r="P249">
        <v>0.97698480468864513</v>
      </c>
      <c r="Q249">
        <v>2</v>
      </c>
      <c r="R249">
        <v>0.35499999999999998</v>
      </c>
      <c r="T249" s="25" t="s">
        <v>582</v>
      </c>
    </row>
    <row r="250" spans="1:20">
      <c r="A250">
        <v>3</v>
      </c>
      <c r="B250">
        <v>1.0341744345176882</v>
      </c>
      <c r="C250">
        <v>145</v>
      </c>
      <c r="D250">
        <v>0.84684422631016165</v>
      </c>
      <c r="I250">
        <v>0.3</v>
      </c>
      <c r="L250">
        <v>0.14677391220528396</v>
      </c>
      <c r="M250">
        <v>0.14585094973960272</v>
      </c>
      <c r="N250" s="73">
        <f t="shared" si="3"/>
        <v>1.0063281210532333</v>
      </c>
      <c r="O250">
        <v>1.0238961113393781</v>
      </c>
      <c r="P250">
        <v>0.98284201874430033</v>
      </c>
      <c r="Q250">
        <v>2.5</v>
      </c>
      <c r="R250">
        <v>0.35499999999999998</v>
      </c>
      <c r="T250" s="25" t="s">
        <v>583</v>
      </c>
    </row>
    <row r="251" spans="1:20">
      <c r="A251">
        <v>3</v>
      </c>
      <c r="B251">
        <v>1.0341744345176882</v>
      </c>
      <c r="C251">
        <v>146</v>
      </c>
      <c r="D251">
        <v>0.82449627689330829</v>
      </c>
      <c r="I251">
        <v>0.5</v>
      </c>
      <c r="L251">
        <v>1.2064813450116334</v>
      </c>
      <c r="M251">
        <v>1.3191815843711794</v>
      </c>
      <c r="N251" s="73">
        <f t="shared" si="3"/>
        <v>0.91456806197513185</v>
      </c>
      <c r="O251">
        <v>0.99229698518122766</v>
      </c>
      <c r="P251">
        <v>0.92166768178591219</v>
      </c>
      <c r="Q251">
        <v>0.3</v>
      </c>
      <c r="R251">
        <v>0.50316512905442312</v>
      </c>
      <c r="T251" s="15" t="s">
        <v>584</v>
      </c>
    </row>
    <row r="252" spans="1:20">
      <c r="A252">
        <v>3</v>
      </c>
      <c r="B252">
        <v>1.0341744345176882</v>
      </c>
      <c r="C252">
        <v>147</v>
      </c>
      <c r="D252">
        <v>0.81299629170261567</v>
      </c>
      <c r="I252">
        <v>0.75</v>
      </c>
      <c r="L252">
        <v>1.042065475533674</v>
      </c>
      <c r="M252">
        <v>1.1143165225438592</v>
      </c>
      <c r="N252" s="73">
        <f t="shared" si="3"/>
        <v>0.93516110947969777</v>
      </c>
      <c r="O252">
        <v>0.99229698518122766</v>
      </c>
      <c r="P252">
        <v>0.94242058924416172</v>
      </c>
      <c r="Q252">
        <v>0.5</v>
      </c>
      <c r="R252">
        <v>0.50316512905442312</v>
      </c>
      <c r="T252" s="15" t="s">
        <v>585</v>
      </c>
    </row>
    <row r="253" spans="1:20">
      <c r="A253">
        <v>3</v>
      </c>
      <c r="B253">
        <v>1.0341744345176882</v>
      </c>
      <c r="C253">
        <v>148</v>
      </c>
      <c r="D253">
        <v>0.84351067639237653</v>
      </c>
      <c r="I253">
        <v>1</v>
      </c>
      <c r="L253">
        <v>0.84570842017699788</v>
      </c>
      <c r="M253">
        <v>0.84637155847886669</v>
      </c>
      <c r="N253" s="73">
        <f t="shared" si="3"/>
        <v>0.99921649269138879</v>
      </c>
      <c r="O253">
        <v>0.99229698518122766</v>
      </c>
      <c r="P253">
        <v>1.006973222345221</v>
      </c>
      <c r="Q253">
        <v>0.75</v>
      </c>
      <c r="R253">
        <v>0.50316512905442312</v>
      </c>
      <c r="T253" s="15" t="s">
        <v>586</v>
      </c>
    </row>
    <row r="254" spans="1:20">
      <c r="A254">
        <v>3</v>
      </c>
      <c r="B254">
        <v>1.0341744345176882</v>
      </c>
      <c r="C254">
        <v>149</v>
      </c>
      <c r="D254">
        <v>0.91048107651651589</v>
      </c>
      <c r="I254">
        <v>1.33</v>
      </c>
      <c r="L254">
        <v>0.69940355199358828</v>
      </c>
      <c r="M254">
        <v>0.70995169449512951</v>
      </c>
      <c r="N254" s="73">
        <f t="shared" si="3"/>
        <v>0.98514245041834514</v>
      </c>
      <c r="O254">
        <v>0.99229698518122766</v>
      </c>
      <c r="P254">
        <v>0.99278992592970972</v>
      </c>
      <c r="Q254">
        <v>1</v>
      </c>
      <c r="R254">
        <v>0.50316512905442312</v>
      </c>
      <c r="T254" s="15" t="s">
        <v>587</v>
      </c>
    </row>
    <row r="255" spans="1:20">
      <c r="A255">
        <v>3</v>
      </c>
      <c r="B255">
        <v>1.0341744345176882</v>
      </c>
      <c r="C255">
        <v>150</v>
      </c>
      <c r="D255">
        <v>0.92060676694830446</v>
      </c>
      <c r="I255">
        <v>1.67</v>
      </c>
      <c r="L255">
        <v>0.49594222570686147</v>
      </c>
      <c r="M255">
        <v>0.50638904737684132</v>
      </c>
      <c r="N255" s="73">
        <f t="shared" si="3"/>
        <v>0.97936996914902541</v>
      </c>
      <c r="O255">
        <v>0.99229698518122766</v>
      </c>
      <c r="P255">
        <v>0.98697263397425183</v>
      </c>
      <c r="Q255">
        <v>1.33</v>
      </c>
      <c r="R255">
        <v>0.50316512905442312</v>
      </c>
      <c r="T255" s="15" t="s">
        <v>588</v>
      </c>
    </row>
    <row r="256" spans="1:20">
      <c r="A256">
        <v>3</v>
      </c>
      <c r="B256">
        <v>1.0341744345176882</v>
      </c>
      <c r="C256">
        <v>151</v>
      </c>
      <c r="D256">
        <v>0.90142636768629991</v>
      </c>
      <c r="I256">
        <v>2</v>
      </c>
      <c r="L256">
        <v>0.33111174068569504</v>
      </c>
      <c r="M256">
        <v>0.33636630078987001</v>
      </c>
      <c r="N256" s="73">
        <f t="shared" si="3"/>
        <v>0.98437845856782924</v>
      </c>
      <c r="O256">
        <v>0.99229698518122766</v>
      </c>
      <c r="P256">
        <v>0.99202000335418505</v>
      </c>
      <c r="Q256">
        <v>1.67</v>
      </c>
      <c r="R256">
        <v>0.50316512905442312</v>
      </c>
      <c r="T256" s="15" t="s">
        <v>589</v>
      </c>
    </row>
    <row r="257" spans="1:20">
      <c r="A257">
        <v>3</v>
      </c>
      <c r="B257">
        <v>1.0341744345176882</v>
      </c>
      <c r="C257">
        <v>152</v>
      </c>
      <c r="D257">
        <v>0.89389105588166096</v>
      </c>
      <c r="I257">
        <v>2.5</v>
      </c>
      <c r="L257">
        <v>0.22920962668629141</v>
      </c>
      <c r="M257">
        <v>0.23059387365000691</v>
      </c>
      <c r="N257" s="73">
        <f t="shared" si="3"/>
        <v>0.99399703495238345</v>
      </c>
      <c r="O257">
        <v>0.99229698518122766</v>
      </c>
      <c r="P257">
        <v>1.0017132469377052</v>
      </c>
      <c r="Q257">
        <v>2</v>
      </c>
      <c r="R257">
        <v>0.50316512905442312</v>
      </c>
      <c r="T257" s="15" t="s">
        <v>590</v>
      </c>
    </row>
    <row r="258" spans="1:20">
      <c r="A258">
        <v>3</v>
      </c>
      <c r="B258">
        <v>1.0598341778761915</v>
      </c>
      <c r="C258">
        <v>193</v>
      </c>
      <c r="D258">
        <v>0.89590123199620175</v>
      </c>
      <c r="I258">
        <v>0.3</v>
      </c>
      <c r="L258">
        <v>0.14557638779603033</v>
      </c>
      <c r="M258">
        <v>0.14555311983471064</v>
      </c>
      <c r="N258" s="73">
        <f t="shared" si="3"/>
        <v>1.0001598588978793</v>
      </c>
      <c r="O258">
        <v>0.99229698518122766</v>
      </c>
      <c r="P258">
        <v>1.0079239117261005</v>
      </c>
      <c r="Q258">
        <v>2.5</v>
      </c>
      <c r="R258">
        <v>0.50316512905442312</v>
      </c>
      <c r="T258" s="15" t="s">
        <v>591</v>
      </c>
    </row>
    <row r="259" spans="1:20">
      <c r="A259">
        <v>3</v>
      </c>
      <c r="B259">
        <v>1.0598341778761915</v>
      </c>
      <c r="C259">
        <v>194</v>
      </c>
      <c r="D259">
        <v>0.89126471711312749</v>
      </c>
      <c r="I259">
        <v>0.5</v>
      </c>
      <c r="L259">
        <v>1.1494171411768115</v>
      </c>
      <c r="M259">
        <v>1.3349568462308492</v>
      </c>
      <c r="N259" s="73">
        <f t="shared" si="3"/>
        <v>0.86101445482833761</v>
      </c>
      <c r="O259">
        <v>0.93814976278525242</v>
      </c>
      <c r="P259">
        <v>0.91777932371063076</v>
      </c>
      <c r="Q259">
        <v>0.3</v>
      </c>
      <c r="R259">
        <v>0.60092698120307431</v>
      </c>
      <c r="T259" s="15" t="s">
        <v>592</v>
      </c>
    </row>
    <row r="260" spans="1:20">
      <c r="A260">
        <v>3</v>
      </c>
      <c r="B260">
        <v>1.0598341778761915</v>
      </c>
      <c r="C260">
        <v>195</v>
      </c>
      <c r="D260">
        <v>0.98156200977668562</v>
      </c>
      <c r="I260">
        <v>0.75</v>
      </c>
      <c r="L260">
        <v>1.0239805362256664</v>
      </c>
      <c r="M260">
        <v>1.1362989475556549</v>
      </c>
      <c r="N260" s="73">
        <f t="shared" ref="N260:N290" si="4">L260/M260</f>
        <v>0.90115417111702711</v>
      </c>
      <c r="O260">
        <v>0.93814976278525242</v>
      </c>
      <c r="P260">
        <v>0.96056536692138594</v>
      </c>
      <c r="Q260">
        <v>0.5</v>
      </c>
      <c r="R260">
        <v>0.60092698120307431</v>
      </c>
      <c r="T260" s="15" t="s">
        <v>593</v>
      </c>
    </row>
    <row r="261" spans="1:20">
      <c r="A261">
        <v>3</v>
      </c>
      <c r="B261">
        <v>1.0598341778761915</v>
      </c>
      <c r="C261">
        <v>196</v>
      </c>
      <c r="D261">
        <v>0.99420048998826238</v>
      </c>
      <c r="I261">
        <v>1</v>
      </c>
      <c r="L261">
        <v>0.85772710376413863</v>
      </c>
      <c r="M261">
        <v>0.87346662410379561</v>
      </c>
      <c r="N261" s="73">
        <f t="shared" si="4"/>
        <v>0.98198039867200848</v>
      </c>
      <c r="O261">
        <v>0.93814976278525242</v>
      </c>
      <c r="P261">
        <v>1.0467202973612959</v>
      </c>
      <c r="Q261">
        <v>0.75</v>
      </c>
      <c r="R261">
        <v>0.60092698120307431</v>
      </c>
      <c r="T261" s="15" t="s">
        <v>594</v>
      </c>
    </row>
    <row r="262" spans="1:20">
      <c r="A262">
        <v>3</v>
      </c>
      <c r="B262">
        <v>1.0598341778761915</v>
      </c>
      <c r="C262">
        <v>197</v>
      </c>
      <c r="D262">
        <v>0.96472956746318728</v>
      </c>
      <c r="I262">
        <v>1.33</v>
      </c>
      <c r="L262">
        <v>0.71824785341973374</v>
      </c>
      <c r="M262">
        <v>0.74328600693817604</v>
      </c>
      <c r="N262" s="73">
        <f t="shared" si="4"/>
        <v>0.96631424070314176</v>
      </c>
      <c r="O262">
        <v>0.93814976278525242</v>
      </c>
      <c r="P262">
        <v>1.0300213026055376</v>
      </c>
      <c r="Q262">
        <v>1</v>
      </c>
      <c r="R262">
        <v>0.60092698120307431</v>
      </c>
      <c r="T262" s="15" t="s">
        <v>595</v>
      </c>
    </row>
    <row r="263" spans="1:20">
      <c r="A263">
        <v>3</v>
      </c>
      <c r="B263">
        <v>1.0598341778761915</v>
      </c>
      <c r="C263">
        <v>198</v>
      </c>
      <c r="D263">
        <v>0.96276174571254525</v>
      </c>
      <c r="I263">
        <v>1.67</v>
      </c>
      <c r="L263">
        <v>0.51786088640596606</v>
      </c>
      <c r="M263">
        <v>0.53608053603937689</v>
      </c>
      <c r="N263" s="73">
        <f t="shared" si="4"/>
        <v>0.96601322299813452</v>
      </c>
      <c r="O263">
        <v>0.93814976278525242</v>
      </c>
      <c r="P263">
        <v>1.029700439437472</v>
      </c>
      <c r="Q263">
        <v>1.33</v>
      </c>
      <c r="R263">
        <v>0.60092698120307431</v>
      </c>
      <c r="T263" s="15" t="s">
        <v>596</v>
      </c>
    </row>
    <row r="264" spans="1:20">
      <c r="A264">
        <v>3</v>
      </c>
      <c r="B264">
        <v>1.0598341778761915</v>
      </c>
      <c r="C264">
        <v>199</v>
      </c>
      <c r="D264">
        <v>0.99798867004350678</v>
      </c>
      <c r="I264">
        <v>2</v>
      </c>
      <c r="L264">
        <v>0.34969627577897922</v>
      </c>
      <c r="M264">
        <v>0.35790395284951754</v>
      </c>
      <c r="N264" s="73">
        <f t="shared" si="4"/>
        <v>0.9770673751849025</v>
      </c>
      <c r="O264">
        <v>0.93814976278525242</v>
      </c>
      <c r="P264">
        <v>1.0414833685872376</v>
      </c>
      <c r="Q264">
        <v>1.67</v>
      </c>
      <c r="R264">
        <v>0.60092698120307431</v>
      </c>
      <c r="T264" s="15" t="s">
        <v>597</v>
      </c>
    </row>
    <row r="265" spans="1:20">
      <c r="A265">
        <v>3</v>
      </c>
      <c r="B265">
        <v>1.0598341778761915</v>
      </c>
      <c r="C265">
        <v>200</v>
      </c>
      <c r="D265">
        <v>1.0246496441711372</v>
      </c>
      <c r="I265">
        <v>2.5</v>
      </c>
      <c r="L265">
        <v>0.24312909748171599</v>
      </c>
      <c r="M265">
        <v>0.24606597848984446</v>
      </c>
      <c r="N265" s="73">
        <f t="shared" si="4"/>
        <v>0.98806466043720187</v>
      </c>
      <c r="O265">
        <v>0.93814976278525242</v>
      </c>
      <c r="P265">
        <v>1.0532056816853614</v>
      </c>
      <c r="Q265">
        <v>2</v>
      </c>
      <c r="R265">
        <v>0.60092698120307431</v>
      </c>
      <c r="T265" s="15" t="s">
        <v>598</v>
      </c>
    </row>
    <row r="266" spans="1:20">
      <c r="A266">
        <v>3</v>
      </c>
      <c r="B266">
        <v>1.093434418979423</v>
      </c>
      <c r="C266">
        <v>49</v>
      </c>
      <c r="D266">
        <v>0.87289151915531404</v>
      </c>
      <c r="I266">
        <v>0.3</v>
      </c>
      <c r="L266">
        <v>0.15486620509105928</v>
      </c>
      <c r="M266">
        <v>0.15569217035379557</v>
      </c>
      <c r="N266" s="73">
        <f t="shared" si="4"/>
        <v>0.99469488246673321</v>
      </c>
      <c r="O266">
        <v>0.93814976278525242</v>
      </c>
      <c r="P266">
        <v>1.0602730202836754</v>
      </c>
      <c r="Q266">
        <v>2.5</v>
      </c>
      <c r="R266">
        <v>0.60092698120307431</v>
      </c>
      <c r="T266" s="15" t="s">
        <v>599</v>
      </c>
    </row>
    <row r="267" spans="1:20">
      <c r="A267">
        <v>3</v>
      </c>
      <c r="B267">
        <v>1.093434418979423</v>
      </c>
      <c r="C267">
        <v>50</v>
      </c>
      <c r="D267">
        <v>0.8853523129028783</v>
      </c>
      <c r="I267">
        <v>0.5</v>
      </c>
      <c r="L267">
        <v>0.98779015522127955</v>
      </c>
      <c r="M267">
        <v>1.3504913593183843</v>
      </c>
      <c r="N267" s="73">
        <f t="shared" si="4"/>
        <v>0.73143019272617482</v>
      </c>
      <c r="O267">
        <v>0.79819398974097666</v>
      </c>
      <c r="P267">
        <v>0.91635642729348599</v>
      </c>
      <c r="Q267">
        <v>0.3</v>
      </c>
      <c r="R267">
        <v>0.80062012685654171</v>
      </c>
      <c r="T267" s="15" t="s">
        <v>600</v>
      </c>
    </row>
    <row r="268" spans="1:20">
      <c r="A268">
        <v>3</v>
      </c>
      <c r="B268">
        <v>1.093434418979423</v>
      </c>
      <c r="C268">
        <v>51</v>
      </c>
      <c r="D268">
        <v>0.90266712960277251</v>
      </c>
      <c r="I268">
        <v>0.75</v>
      </c>
      <c r="L268">
        <v>0.90880398701161613</v>
      </c>
      <c r="M268">
        <v>1.1543982374257142</v>
      </c>
      <c r="N268" s="73">
        <f t="shared" si="4"/>
        <v>0.78725344300441025</v>
      </c>
      <c r="O268">
        <v>0.79819398974097666</v>
      </c>
      <c r="P268">
        <v>0.98629337369463688</v>
      </c>
      <c r="Q268">
        <v>0.5</v>
      </c>
      <c r="R268">
        <v>0.80062012685654171</v>
      </c>
      <c r="T268" s="15" t="s">
        <v>601</v>
      </c>
    </row>
    <row r="269" spans="1:20">
      <c r="A269">
        <v>3</v>
      </c>
      <c r="B269">
        <v>1.093434418979423</v>
      </c>
      <c r="C269">
        <v>52</v>
      </c>
      <c r="D269">
        <v>0.8991421724817229</v>
      </c>
      <c r="I269">
        <v>1</v>
      </c>
      <c r="L269">
        <v>0.80030874054213574</v>
      </c>
      <c r="M269">
        <v>0.8927362357060229</v>
      </c>
      <c r="N269" s="73">
        <f t="shared" si="4"/>
        <v>0.89646718541586856</v>
      </c>
      <c r="O269">
        <v>0.79819398974097666</v>
      </c>
      <c r="P269">
        <v>1.1231194383044436</v>
      </c>
      <c r="Q269">
        <v>0.75</v>
      </c>
      <c r="R269">
        <v>0.80062012685654171</v>
      </c>
      <c r="T269" s="15" t="s">
        <v>602</v>
      </c>
    </row>
    <row r="270" spans="1:20">
      <c r="A270">
        <v>3</v>
      </c>
      <c r="B270">
        <v>1.093434418979423</v>
      </c>
      <c r="C270">
        <v>53</v>
      </c>
      <c r="D270">
        <v>0.90554635554863661</v>
      </c>
      <c r="I270">
        <v>1.33</v>
      </c>
      <c r="L270">
        <v>0.6821364121941248</v>
      </c>
      <c r="M270">
        <v>0.76018052515644674</v>
      </c>
      <c r="N270" s="73">
        <f t="shared" si="4"/>
        <v>0.89733476407296764</v>
      </c>
      <c r="O270">
        <v>0.79819398974097666</v>
      </c>
      <c r="P270">
        <v>1.1242063653776238</v>
      </c>
      <c r="Q270">
        <v>1</v>
      </c>
      <c r="R270">
        <v>0.80062012685654171</v>
      </c>
      <c r="T270" s="15" t="s">
        <v>603</v>
      </c>
    </row>
    <row r="271" spans="1:20">
      <c r="A271">
        <v>3</v>
      </c>
      <c r="B271">
        <v>1.093434418979423</v>
      </c>
      <c r="C271">
        <v>54</v>
      </c>
      <c r="D271">
        <v>0.9057240408295345</v>
      </c>
      <c r="I271">
        <v>1.67</v>
      </c>
      <c r="L271">
        <v>0.50362933177416269</v>
      </c>
      <c r="M271">
        <v>0.54770334831396117</v>
      </c>
      <c r="N271" s="73">
        <f t="shared" si="4"/>
        <v>0.91952940095130875</v>
      </c>
      <c r="O271">
        <v>0.79819398974097666</v>
      </c>
      <c r="P271">
        <v>1.1520124340321165</v>
      </c>
      <c r="Q271">
        <v>1.33</v>
      </c>
      <c r="R271">
        <v>0.80062012685654171</v>
      </c>
      <c r="T271" s="15" t="s">
        <v>604</v>
      </c>
    </row>
    <row r="272" spans="1:20">
      <c r="A272">
        <v>3</v>
      </c>
      <c r="B272">
        <v>1.093434418979423</v>
      </c>
      <c r="C272">
        <v>55</v>
      </c>
      <c r="D272">
        <v>0.90575310680391585</v>
      </c>
      <c r="I272">
        <v>2</v>
      </c>
      <c r="L272">
        <v>0.34744650027911339</v>
      </c>
      <c r="M272">
        <v>0.36499316781415453</v>
      </c>
      <c r="N272" s="73">
        <f t="shared" si="4"/>
        <v>0.95192603839649004</v>
      </c>
      <c r="O272">
        <v>0.79819398974097666</v>
      </c>
      <c r="P272">
        <v>1.1925998574674825</v>
      </c>
      <c r="Q272">
        <v>1.67</v>
      </c>
      <c r="R272">
        <v>0.80062012685654171</v>
      </c>
      <c r="T272" s="15" t="s">
        <v>605</v>
      </c>
    </row>
    <row r="273" spans="1:20">
      <c r="A273">
        <v>3</v>
      </c>
      <c r="B273">
        <v>1.093434418979423</v>
      </c>
      <c r="C273">
        <v>56</v>
      </c>
      <c r="D273">
        <v>0.90653448624848376</v>
      </c>
      <c r="I273">
        <v>2.5</v>
      </c>
      <c r="L273">
        <v>0.24312364294492098</v>
      </c>
      <c r="M273">
        <v>0.25074626040908576</v>
      </c>
      <c r="N273" s="73">
        <f t="shared" si="4"/>
        <v>0.96960027458942477</v>
      </c>
      <c r="O273">
        <v>0.79819398974097666</v>
      </c>
      <c r="P273">
        <v>1.214742640324906</v>
      </c>
      <c r="Q273">
        <v>2</v>
      </c>
      <c r="R273">
        <v>0.80062012685654171</v>
      </c>
      <c r="T273" s="15" t="s">
        <v>606</v>
      </c>
    </row>
    <row r="274" spans="1:20">
      <c r="A274">
        <v>3</v>
      </c>
      <c r="B274">
        <v>1.1097256933415107</v>
      </c>
      <c r="C274">
        <v>97</v>
      </c>
      <c r="D274">
        <v>0.78822948602151488</v>
      </c>
      <c r="I274">
        <v>0.3</v>
      </c>
      <c r="L274">
        <v>0.15520906433630594</v>
      </c>
      <c r="M274">
        <v>0.15860043593484185</v>
      </c>
      <c r="N274" s="73">
        <f t="shared" si="4"/>
        <v>0.97861688350006049</v>
      </c>
      <c r="O274">
        <v>0.79819398974097666</v>
      </c>
      <c r="P274">
        <v>1.2260389029208716</v>
      </c>
      <c r="Q274">
        <v>2.5</v>
      </c>
      <c r="R274">
        <v>0.80062012685654171</v>
      </c>
      <c r="T274" s="15" t="s">
        <v>607</v>
      </c>
    </row>
    <row r="275" spans="1:20">
      <c r="A275">
        <v>3</v>
      </c>
      <c r="B275">
        <v>1.1097256933415107</v>
      </c>
      <c r="C275">
        <v>98</v>
      </c>
      <c r="D275">
        <v>0.78432670634655777</v>
      </c>
      <c r="I275">
        <v>0.5</v>
      </c>
      <c r="L275">
        <v>0.82213836336324397</v>
      </c>
      <c r="M275">
        <v>1.3682896167859666</v>
      </c>
      <c r="N275" s="73">
        <f t="shared" si="4"/>
        <v>0.60085113069439167</v>
      </c>
      <c r="O275">
        <v>0.66500225422673287</v>
      </c>
      <c r="P275">
        <v>0.9035324720711867</v>
      </c>
      <c r="Q275">
        <v>0.3</v>
      </c>
      <c r="R275">
        <v>1.1026699208821982</v>
      </c>
      <c r="T275" s="15" t="s">
        <v>608</v>
      </c>
    </row>
    <row r="276" spans="1:20">
      <c r="A276">
        <v>3</v>
      </c>
      <c r="B276">
        <v>1.1097256933415107</v>
      </c>
      <c r="C276">
        <v>99</v>
      </c>
      <c r="D276">
        <v>0.8228673022855062</v>
      </c>
      <c r="I276">
        <v>0.75</v>
      </c>
      <c r="L276">
        <v>0.74565785516948369</v>
      </c>
      <c r="M276">
        <v>1.1744782285347304</v>
      </c>
      <c r="N276" s="73">
        <f t="shared" si="4"/>
        <v>0.63488435720069536</v>
      </c>
      <c r="O276">
        <v>0.66500225422673287</v>
      </c>
      <c r="P276">
        <v>0.95471008280857828</v>
      </c>
      <c r="Q276">
        <v>0.5</v>
      </c>
      <c r="R276">
        <v>1.1026699208821982</v>
      </c>
      <c r="T276" s="15" t="s">
        <v>609</v>
      </c>
    </row>
    <row r="277" spans="1:20">
      <c r="A277">
        <v>3</v>
      </c>
      <c r="B277">
        <v>1.1097256933415107</v>
      </c>
      <c r="C277">
        <v>100</v>
      </c>
      <c r="D277">
        <v>0.83279933205598267</v>
      </c>
      <c r="I277">
        <v>1</v>
      </c>
      <c r="L277">
        <v>0.64264788445884524</v>
      </c>
      <c r="M277">
        <v>0.90657731756877846</v>
      </c>
      <c r="N277" s="73">
        <f t="shared" si="4"/>
        <v>0.7088726708740869</v>
      </c>
      <c r="O277">
        <v>0.66500225422673287</v>
      </c>
      <c r="P277">
        <v>1.0659703277222221</v>
      </c>
      <c r="Q277">
        <v>0.75</v>
      </c>
      <c r="R277">
        <v>1.1026699208821982</v>
      </c>
      <c r="T277" s="15" t="s">
        <v>610</v>
      </c>
    </row>
    <row r="278" spans="1:20">
      <c r="A278">
        <v>3</v>
      </c>
      <c r="B278">
        <v>1.1097256933415107</v>
      </c>
      <c r="C278">
        <v>101</v>
      </c>
      <c r="D278">
        <v>0.8672061156014953</v>
      </c>
      <c r="I278">
        <v>1.33</v>
      </c>
      <c r="L278">
        <v>0.5519117964396022</v>
      </c>
      <c r="M278">
        <v>0.7793192032624775</v>
      </c>
      <c r="N278" s="73">
        <f t="shared" si="4"/>
        <v>0.70819735241878334</v>
      </c>
      <c r="O278">
        <v>0.66500225422673287</v>
      </c>
      <c r="P278">
        <v>1.0649548146904824</v>
      </c>
      <c r="Q278">
        <v>1</v>
      </c>
      <c r="R278">
        <v>1.1026699208821982</v>
      </c>
      <c r="T278" s="15" t="s">
        <v>611</v>
      </c>
    </row>
    <row r="279" spans="1:20">
      <c r="A279">
        <v>3</v>
      </c>
      <c r="B279">
        <v>1.1097256933415107</v>
      </c>
      <c r="C279">
        <v>102</v>
      </c>
      <c r="D279">
        <v>0.8692370672908275</v>
      </c>
      <c r="I279">
        <v>1.67</v>
      </c>
      <c r="L279">
        <v>0.42724620302290911</v>
      </c>
      <c r="M279">
        <v>0.5610189748893768</v>
      </c>
      <c r="N279" s="73">
        <f t="shared" si="4"/>
        <v>0.7615539262413622</v>
      </c>
      <c r="O279">
        <v>0.66500225422673287</v>
      </c>
      <c r="P279">
        <v>1.1451899920653652</v>
      </c>
      <c r="Q279">
        <v>1.33</v>
      </c>
      <c r="R279">
        <v>1.1026699208821982</v>
      </c>
      <c r="T279" s="15" t="s">
        <v>612</v>
      </c>
    </row>
    <row r="280" spans="1:20">
      <c r="A280">
        <v>3</v>
      </c>
      <c r="B280">
        <v>1.1097256933415107</v>
      </c>
      <c r="C280">
        <v>103</v>
      </c>
      <c r="D280">
        <v>0.86223480703988808</v>
      </c>
      <c r="I280">
        <v>2</v>
      </c>
      <c r="L280">
        <v>0.31283203500065121</v>
      </c>
      <c r="M280">
        <v>0.3726170257927971</v>
      </c>
      <c r="N280" s="73">
        <f t="shared" si="4"/>
        <v>0.83955378671990477</v>
      </c>
      <c r="O280">
        <v>0.66500225422673287</v>
      </c>
      <c r="P280">
        <v>1.2624826177411099</v>
      </c>
      <c r="Q280">
        <v>1.67</v>
      </c>
      <c r="R280">
        <v>1.1026699208821982</v>
      </c>
      <c r="T280" s="15" t="s">
        <v>613</v>
      </c>
    </row>
    <row r="281" spans="1:20">
      <c r="A281">
        <v>3</v>
      </c>
      <c r="B281">
        <v>1.1097256933415107</v>
      </c>
      <c r="C281">
        <v>104</v>
      </c>
      <c r="D281">
        <v>0.86500724296577236</v>
      </c>
      <c r="I281">
        <v>2.5</v>
      </c>
      <c r="L281">
        <v>0.22783690664049708</v>
      </c>
      <c r="M281">
        <v>0.25562985077620393</v>
      </c>
      <c r="N281" s="73">
        <f t="shared" si="4"/>
        <v>0.89127660931884389</v>
      </c>
      <c r="O281">
        <v>0.66500225422673287</v>
      </c>
      <c r="P281">
        <v>1.3402610346866022</v>
      </c>
      <c r="Q281">
        <v>2</v>
      </c>
      <c r="R281">
        <v>1.1026699208821982</v>
      </c>
      <c r="T281" s="15" t="s">
        <v>614</v>
      </c>
    </row>
    <row r="282" spans="1:20">
      <c r="A282">
        <v>3</v>
      </c>
      <c r="B282">
        <v>1.1513392501083863</v>
      </c>
      <c r="C282">
        <v>1</v>
      </c>
      <c r="D282">
        <v>0.83573275569877326</v>
      </c>
      <c r="I282">
        <v>0.3</v>
      </c>
      <c r="L282">
        <v>0.1483204754479476</v>
      </c>
      <c r="M282">
        <v>0.16149783309455368</v>
      </c>
      <c r="N282" s="73">
        <f t="shared" si="4"/>
        <v>0.91840535941500212</v>
      </c>
      <c r="O282">
        <v>0.66500225422673287</v>
      </c>
      <c r="P282">
        <v>1.381056009325754</v>
      </c>
      <c r="Q282">
        <v>2.5</v>
      </c>
      <c r="R282">
        <v>1.1026699208821982</v>
      </c>
      <c r="T282" s="15" t="s">
        <v>615</v>
      </c>
    </row>
    <row r="283" spans="1:20">
      <c r="A283">
        <v>3</v>
      </c>
      <c r="B283">
        <v>1.1513392501083863</v>
      </c>
      <c r="C283">
        <v>2</v>
      </c>
      <c r="D283">
        <v>0.83958350115608693</v>
      </c>
      <c r="I283">
        <v>0.5</v>
      </c>
      <c r="L283">
        <v>0.71411814560967912</v>
      </c>
      <c r="M283">
        <v>1.3862338446346332</v>
      </c>
      <c r="N283" s="73">
        <f t="shared" si="4"/>
        <v>0.51514984169059719</v>
      </c>
      <c r="O283">
        <v>0.57989073631813981</v>
      </c>
      <c r="P283">
        <v>0.88835673589373487</v>
      </c>
      <c r="Q283">
        <v>0.3</v>
      </c>
      <c r="R283">
        <v>1.5093980321271014</v>
      </c>
      <c r="T283" s="15" t="s">
        <v>616</v>
      </c>
    </row>
    <row r="284" spans="1:20">
      <c r="A284">
        <v>3</v>
      </c>
      <c r="B284">
        <v>1.1513392501083863</v>
      </c>
      <c r="C284">
        <v>3</v>
      </c>
      <c r="D284">
        <v>0.87394191465324378</v>
      </c>
      <c r="I284">
        <v>0.75</v>
      </c>
      <c r="L284">
        <v>0.65230916613528556</v>
      </c>
      <c r="M284">
        <v>1.1924029092850603</v>
      </c>
      <c r="N284" s="73">
        <f t="shared" si="4"/>
        <v>0.54705432287681721</v>
      </c>
      <c r="O284">
        <v>0.57989073631813981</v>
      </c>
      <c r="P284">
        <v>0.94337482669613149</v>
      </c>
      <c r="Q284">
        <v>0.5</v>
      </c>
      <c r="R284">
        <v>1.5093980321271014</v>
      </c>
      <c r="T284" s="15" t="s">
        <v>617</v>
      </c>
    </row>
    <row r="285" spans="1:20">
      <c r="A285">
        <v>3</v>
      </c>
      <c r="B285">
        <v>1.1513392501083863</v>
      </c>
      <c r="C285">
        <v>4</v>
      </c>
      <c r="D285">
        <v>0.87698301612798524</v>
      </c>
      <c r="I285">
        <v>1</v>
      </c>
      <c r="L285">
        <v>0.54029027480756586</v>
      </c>
      <c r="M285">
        <v>0.93169681168890528</v>
      </c>
      <c r="N285" s="73">
        <f t="shared" si="4"/>
        <v>0.5798992419306136</v>
      </c>
      <c r="O285">
        <v>0.57989073631813981</v>
      </c>
      <c r="P285">
        <v>1.0000146676122608</v>
      </c>
      <c r="Q285">
        <v>0.75</v>
      </c>
      <c r="R285">
        <v>1.5093980321271014</v>
      </c>
      <c r="T285" s="15" t="s">
        <v>618</v>
      </c>
    </row>
    <row r="286" spans="1:20">
      <c r="A286">
        <v>3</v>
      </c>
      <c r="B286">
        <v>1.1513392501083863</v>
      </c>
      <c r="C286">
        <v>5</v>
      </c>
      <c r="D286">
        <v>0.87039574024754796</v>
      </c>
      <c r="I286">
        <v>1.33</v>
      </c>
      <c r="L286">
        <v>0.43953755599879296</v>
      </c>
      <c r="M286">
        <v>0.79639923979698257</v>
      </c>
      <c r="N286" s="73">
        <f t="shared" si="4"/>
        <v>0.55190604665926035</v>
      </c>
      <c r="O286">
        <v>0.57989073631813981</v>
      </c>
      <c r="P286">
        <v>0.95174144385102488</v>
      </c>
      <c r="Q286">
        <v>1</v>
      </c>
      <c r="R286">
        <v>1.5093980321271014</v>
      </c>
      <c r="T286" s="15" t="s">
        <v>619</v>
      </c>
    </row>
    <row r="287" spans="1:20">
      <c r="A287">
        <v>3</v>
      </c>
      <c r="B287">
        <v>1.1513392501083863</v>
      </c>
      <c r="C287">
        <v>6</v>
      </c>
      <c r="D287">
        <v>0.8662289031913859</v>
      </c>
      <c r="I287">
        <v>1.67</v>
      </c>
      <c r="L287">
        <v>0.32898077168882112</v>
      </c>
      <c r="M287">
        <v>0.57400461000172809</v>
      </c>
      <c r="N287" s="73">
        <f t="shared" si="4"/>
        <v>0.57313262987178915</v>
      </c>
      <c r="O287">
        <v>0.57989073631813981</v>
      </c>
      <c r="P287">
        <v>0.98834589686798691</v>
      </c>
      <c r="Q287">
        <v>1.33</v>
      </c>
      <c r="R287">
        <v>1.5093980321271014</v>
      </c>
      <c r="T287" s="15" t="s">
        <v>620</v>
      </c>
    </row>
    <row r="288" spans="1:20">
      <c r="A288">
        <v>3</v>
      </c>
      <c r="B288">
        <v>1.1513392501083863</v>
      </c>
      <c r="C288">
        <v>7</v>
      </c>
      <c r="D288">
        <v>0.86463555700762518</v>
      </c>
      <c r="I288">
        <v>2</v>
      </c>
      <c r="L288">
        <v>0.24266206451030142</v>
      </c>
      <c r="M288">
        <v>0.38007672453042507</v>
      </c>
      <c r="N288" s="73">
        <f t="shared" si="4"/>
        <v>0.63845547187901097</v>
      </c>
      <c r="O288">
        <v>0.57989073631813981</v>
      </c>
      <c r="P288">
        <v>1.100992707579211</v>
      </c>
      <c r="Q288">
        <v>1.67</v>
      </c>
      <c r="R288">
        <v>1.5093980321271014</v>
      </c>
      <c r="T288" s="15" t="s">
        <v>621</v>
      </c>
    </row>
    <row r="289" spans="1:20">
      <c r="A289">
        <v>3</v>
      </c>
      <c r="B289">
        <v>1.1513392501083863</v>
      </c>
      <c r="C289">
        <v>8</v>
      </c>
      <c r="D289">
        <v>0.8611742522994239</v>
      </c>
      <c r="I289">
        <v>2.5</v>
      </c>
      <c r="L289">
        <v>0.18210155576953488</v>
      </c>
      <c r="M289">
        <v>0.26022795655529762</v>
      </c>
      <c r="N289" s="73">
        <f t="shared" si="4"/>
        <v>0.69977706538551276</v>
      </c>
      <c r="O289">
        <v>0.57989073631813981</v>
      </c>
      <c r="P289">
        <v>1.2067395141170196</v>
      </c>
      <c r="Q289">
        <v>2</v>
      </c>
      <c r="R289">
        <v>1.5093980321271014</v>
      </c>
      <c r="T289" s="15" t="s">
        <v>622</v>
      </c>
    </row>
    <row r="290" spans="1:20" ht="15.75" thickBot="1">
      <c r="L290">
        <v>0.1235818811240863</v>
      </c>
      <c r="M290">
        <v>0.1640894402219073</v>
      </c>
      <c r="N290" s="73">
        <f t="shared" si="4"/>
        <v>0.75313731923857885</v>
      </c>
      <c r="O290">
        <v>0.57989073631813981</v>
      </c>
      <c r="P290">
        <v>1.2987572866233761</v>
      </c>
      <c r="Q290">
        <v>2.5</v>
      </c>
      <c r="R290">
        <v>1.5093980321271014</v>
      </c>
      <c r="T290" s="42" t="s">
        <v>623</v>
      </c>
    </row>
  </sheetData>
  <mergeCells count="1">
    <mergeCell ref="T1:T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3A0B-807D-4CCF-9B01-C3D65A487387}">
  <sheetPr codeName="Sheet8"/>
  <dimension ref="A1:J202"/>
  <sheetViews>
    <sheetView zoomScale="130" zoomScaleNormal="130" workbookViewId="0">
      <selection activeCell="M2" sqref="M2"/>
    </sheetView>
  </sheetViews>
  <sheetFormatPr defaultRowHeight="15"/>
  <cols>
    <col min="1" max="1" width="7.85546875" bestFit="1" customWidth="1"/>
    <col min="2" max="6" width="12" bestFit="1" customWidth="1"/>
  </cols>
  <sheetData>
    <row r="1" spans="1:10">
      <c r="A1" t="s">
        <v>946</v>
      </c>
      <c r="B1" t="s">
        <v>947</v>
      </c>
      <c r="C1" t="s">
        <v>948</v>
      </c>
      <c r="D1" t="s">
        <v>949</v>
      </c>
      <c r="E1" t="s">
        <v>950</v>
      </c>
      <c r="F1" t="s">
        <v>951</v>
      </c>
    </row>
    <row r="2" spans="1:10">
      <c r="A2">
        <v>0</v>
      </c>
      <c r="B2">
        <v>1.0266940451745381</v>
      </c>
      <c r="C2">
        <v>1.0438413361169103</v>
      </c>
      <c r="D2">
        <v>1.0729613733905581</v>
      </c>
      <c r="E2">
        <v>1.1086474501108647</v>
      </c>
      <c r="F2">
        <v>1.179245283018868</v>
      </c>
      <c r="I2" t="b">
        <v>0</v>
      </c>
      <c r="J2" t="s">
        <v>947</v>
      </c>
    </row>
    <row r="3" spans="1:10">
      <c r="A3">
        <v>1.4999999999999999E-2</v>
      </c>
      <c r="B3">
        <v>1.0246484785141161</v>
      </c>
      <c r="C3">
        <v>1.0404301769491082</v>
      </c>
      <c r="D3">
        <v>1.067139174623587</v>
      </c>
      <c r="E3">
        <v>1.0997137215849428</v>
      </c>
      <c r="F3">
        <v>1.1636523711376383</v>
      </c>
      <c r="I3" t="b">
        <v>0</v>
      </c>
      <c r="J3" t="s">
        <v>948</v>
      </c>
    </row>
    <row r="4" spans="1:10">
      <c r="A4">
        <v>0.03</v>
      </c>
      <c r="B4">
        <v>1.0226207374902643</v>
      </c>
      <c r="C4">
        <v>1.0370575419714296</v>
      </c>
      <c r="D4">
        <v>1.0614080461630939</v>
      </c>
      <c r="E4">
        <v>1.0909668568160462</v>
      </c>
      <c r="F4">
        <v>1.1485456480383907</v>
      </c>
      <c r="I4" t="b">
        <v>1</v>
      </c>
      <c r="J4" t="s">
        <v>949</v>
      </c>
    </row>
    <row r="5" spans="1:10">
      <c r="A5">
        <v>4.4999999999999998E-2</v>
      </c>
      <c r="B5">
        <v>1.0206078388086992</v>
      </c>
      <c r="C5">
        <v>1.0337181057503972</v>
      </c>
      <c r="D5">
        <v>1.0557576319588282</v>
      </c>
      <c r="E5">
        <v>1.0823879452741425</v>
      </c>
      <c r="F5">
        <v>1.1338782570058117</v>
      </c>
      <c r="I5" t="b">
        <v>0</v>
      </c>
      <c r="J5" t="s">
        <v>950</v>
      </c>
    </row>
    <row r="6" spans="1:10">
      <c r="A6">
        <v>0.06</v>
      </c>
      <c r="B6">
        <v>1.0186068762799445</v>
      </c>
      <c r="C6">
        <v>1.0304067512449604</v>
      </c>
      <c r="D6">
        <v>1.0501781874597262</v>
      </c>
      <c r="E6">
        <v>1.073959573255566</v>
      </c>
      <c r="F6">
        <v>1.1196084294775814</v>
      </c>
      <c r="I6" t="b">
        <v>0</v>
      </c>
      <c r="J6" t="s">
        <v>951</v>
      </c>
    </row>
    <row r="7" spans="1:10">
      <c r="A7">
        <v>7.4999999999999997E-2</v>
      </c>
      <c r="B7">
        <v>1.0166150060868022</v>
      </c>
      <c r="C7">
        <v>1.0271185401788205</v>
      </c>
      <c r="D7">
        <v>1.0446605062687995</v>
      </c>
      <c r="E7">
        <v>1.0656656448708954</v>
      </c>
      <c r="F7">
        <v>1.1056987839446466</v>
      </c>
    </row>
    <row r="8" spans="1:10">
      <c r="A8">
        <v>0.09</v>
      </c>
      <c r="B8">
        <v>1.0146294328605536</v>
      </c>
      <c r="C8">
        <v>1.0238486859563967</v>
      </c>
      <c r="D8">
        <v>1.0391958555812126</v>
      </c>
      <c r="E8">
        <v>1.0574912286301621</v>
      </c>
      <c r="F8">
        <v>1.0921157448140322</v>
      </c>
    </row>
    <row r="9" spans="1:10">
      <c r="A9">
        <v>0.105</v>
      </c>
      <c r="B9">
        <v>1.0126473964130678</v>
      </c>
      <c r="C9">
        <v>1.02059252875411</v>
      </c>
      <c r="D9">
        <v>1.0337759191576892</v>
      </c>
      <c r="E9">
        <v>1.0494224255532556</v>
      </c>
      <c r="F9">
        <v>1.0788290579199993</v>
      </c>
    </row>
    <row r="10" spans="1:10">
      <c r="A10">
        <v>0.12</v>
      </c>
      <c r="B10">
        <v>1.0106661589869201</v>
      </c>
      <c r="C10">
        <v>1.0173455124710584</v>
      </c>
      <c r="D10">
        <v>1.0283927467990603</v>
      </c>
      <c r="E10">
        <v>1.0414462555010238</v>
      </c>
      <c r="F10">
        <v>1.0658113845068795</v>
      </c>
    </row>
    <row r="11" spans="1:10">
      <c r="A11">
        <v>0.13500000000000001</v>
      </c>
      <c r="B11">
        <v>1.0086829928978647</v>
      </c>
      <c r="C11">
        <v>1.0141031632673236</v>
      </c>
      <c r="D11">
        <v>1.0230387094635032</v>
      </c>
      <c r="E11">
        <v>1.033550559032774</v>
      </c>
      <c r="F11">
        <v>1.0530379593866219</v>
      </c>
    </row>
    <row r="12" spans="1:10">
      <c r="A12">
        <v>0.15</v>
      </c>
      <c r="B12">
        <v>1.0066951684539795</v>
      </c>
      <c r="C12">
        <v>1.010861069455707</v>
      </c>
      <c r="D12">
        <v>1.017706459313672</v>
      </c>
      <c r="E12">
        <v>1.0257239125842281</v>
      </c>
      <c r="F12">
        <v>1.0404863019313377</v>
      </c>
    </row>
    <row r="13" spans="1:10">
      <c r="A13">
        <v>0.16499999999999998</v>
      </c>
      <c r="B13">
        <v>1.004699942043862</v>
      </c>
      <c r="C13">
        <v>1.0076148625449228</v>
      </c>
      <c r="D13">
        <v>1.012388894102644</v>
      </c>
      <c r="E13">
        <v>1.0179555551533126</v>
      </c>
      <c r="F13">
        <v>1.0281359708346471</v>
      </c>
    </row>
    <row r="14" spans="1:10">
      <c r="A14">
        <v>0.18</v>
      </c>
      <c r="B14">
        <v>1.0026945442926776</v>
      </c>
      <c r="C14">
        <v>1.0043601992602635</v>
      </c>
      <c r="D14">
        <v>1.0070791254102174</v>
      </c>
      <c r="E14">
        <v>1.0102353249998355</v>
      </c>
      <c r="F14">
        <v>1.0159683553373149</v>
      </c>
    </row>
    <row r="15" spans="1:10">
      <c r="A15">
        <v>0.19500000000000001</v>
      </c>
      <c r="B15">
        <v>1.0006761681899048</v>
      </c>
      <c r="C15">
        <v>1.0010927443924176</v>
      </c>
      <c r="D15">
        <v>1.0017704503284459</v>
      </c>
      <c r="E15">
        <v>1.002553605124608</v>
      </c>
      <c r="F15">
        <v>1.0039664969875701</v>
      </c>
    </row>
    <row r="16" spans="1:10">
      <c r="A16">
        <v>0.21</v>
      </c>
      <c r="B16">
        <v>0.99864195709650172</v>
      </c>
      <c r="C16">
        <v>0.99780815434724723</v>
      </c>
      <c r="D16">
        <v>0.9964563262704017</v>
      </c>
      <c r="E16">
        <v>0.99490127650590554</v>
      </c>
      <c r="F16">
        <v>0.99211493708663845</v>
      </c>
    </row>
    <row r="17" spans="1:6">
      <c r="A17">
        <v>0.22499999999999998</v>
      </c>
      <c r="B17">
        <v>0.99658899254213507</v>
      </c>
      <c r="C17">
        <v>0.99450206128960017</v>
      </c>
      <c r="D17">
        <v>0.99113034864148053</v>
      </c>
      <c r="E17">
        <v>0.98726967824545031</v>
      </c>
      <c r="F17">
        <v>0.98039958582361342</v>
      </c>
    </row>
    <row r="18" spans="1:6">
      <c r="A18">
        <v>0.24</v>
      </c>
      <c r="B18">
        <v>0.99451428172525058</v>
      </c>
      <c r="C18">
        <v>0.99117005779328127</v>
      </c>
      <c r="D18">
        <v>0.98578623117000286</v>
      </c>
      <c r="E18">
        <v>0.97965057391950938</v>
      </c>
      <c r="F18">
        <v>0.96880760978202352</v>
      </c>
    </row>
    <row r="19" spans="1:6">
      <c r="A19">
        <v>0.255</v>
      </c>
      <c r="B19">
        <v>0.99241474463031865</v>
      </c>
      <c r="C19">
        <v>0.98780768192769752</v>
      </c>
      <c r="D19">
        <v>0.98041778874503482</v>
      </c>
      <c r="E19">
        <v>0.97203612354867763</v>
      </c>
      <c r="F19">
        <v>0.95732733504200918</v>
      </c>
    </row>
    <row r="20" spans="1:6">
      <c r="A20">
        <v>0.27</v>
      </c>
      <c r="B20">
        <v>0.99028720067775278</v>
      </c>
      <c r="C20">
        <v>0.98441040272997216</v>
      </c>
      <c r="D20">
        <v>0.97501892265540446</v>
      </c>
      <c r="E20">
        <v>0.96441886069675808</v>
      </c>
      <c r="F20">
        <v>0.94594816353639588</v>
      </c>
    </row>
    <row r="21" spans="1:6">
      <c r="A21">
        <v>0.28499999999999998</v>
      </c>
      <c r="B21">
        <v>0.98812835482299011</v>
      </c>
      <c r="C21">
        <v>0.9809736060300468</v>
      </c>
      <c r="D21">
        <v>0.96958360816584765</v>
      </c>
      <c r="E21">
        <v>0.95679167428809564</v>
      </c>
      <c r="F21">
        <v>0.93466050066890949</v>
      </c>
    </row>
    <row r="22" spans="1:6">
      <c r="A22">
        <v>0.3</v>
      </c>
      <c r="B22">
        <v>0.9859347830222932</v>
      </c>
      <c r="C22">
        <v>0.97749258061596089</v>
      </c>
      <c r="D22">
        <v>0.96410588440475942</v>
      </c>
      <c r="E22">
        <v>0.94914779479631595</v>
      </c>
      <c r="F22">
        <v>0.92345569248595583</v>
      </c>
    </row>
    <row r="23" spans="1:6">
      <c r="A23">
        <v>0.315</v>
      </c>
      <c r="B23">
        <v>0.98370291698427281</v>
      </c>
      <c r="C23">
        <v>0.97396250474768564</v>
      </c>
      <c r="D23">
        <v>0.95857984657366768</v>
      </c>
      <c r="E23">
        <v>0.94148078450754524</v>
      </c>
      <c r="F23">
        <v>0.9123259709237046</v>
      </c>
    </row>
    <row r="24" spans="1:6">
      <c r="A24">
        <v>0.32999999999999996</v>
      </c>
      <c r="B24">
        <v>0.98142902812829591</v>
      </c>
      <c r="C24">
        <v>0.97037843305115878</v>
      </c>
      <c r="D24">
        <v>0.95299964052159802</v>
      </c>
      <c r="E24">
        <v>0.93378453159931551</v>
      </c>
      <c r="F24">
        <v>0.90126440584062151</v>
      </c>
    </row>
    <row r="25" spans="1:6">
      <c r="A25">
        <v>0.34499999999999997</v>
      </c>
      <c r="B25">
        <v>0.9791092106742828</v>
      </c>
      <c r="C25">
        <v>0.96673528385007779</v>
      </c>
      <c r="D25">
        <v>0.94735945975805069</v>
      </c>
      <c r="E25">
        <v>0.92605324780351628</v>
      </c>
      <c r="F25">
        <v>0.89026486270095173</v>
      </c>
    </row>
    <row r="26" spans="1:6">
      <c r="A26">
        <v>0.36</v>
      </c>
      <c r="B26">
        <v>0.97673936379342097</v>
      </c>
      <c r="C26">
        <v>0.96302782702221357</v>
      </c>
      <c r="D26">
        <v>0.94165354500629239</v>
      </c>
      <c r="E26">
        <v>0.91828146943879219</v>
      </c>
      <c r="F26">
        <v>0.87932196490407077</v>
      </c>
    </row>
    <row r="27" spans="1:6">
      <c r="A27">
        <v>0.375</v>
      </c>
      <c r="B27">
        <v>0.97431517275674229</v>
      </c>
      <c r="C27">
        <v>0.95925067250009155</v>
      </c>
      <c r="D27">
        <v>0.9358761864237527</v>
      </c>
      <c r="E27">
        <v>0.91046406160524507</v>
      </c>
      <c r="F27">
        <v>0.86843105986391234</v>
      </c>
    </row>
    <row r="28" spans="1:6">
      <c r="A28">
        <v>0.39</v>
      </c>
      <c r="B28">
        <v>0.97183208902911666</v>
      </c>
      <c r="C28">
        <v>0.95539825957353408</v>
      </c>
      <c r="D28">
        <v>0.93002172863802024</v>
      </c>
      <c r="E28">
        <v>0.90259622533271622</v>
      </c>
      <c r="F28">
        <v>0.85758818803667602</v>
      </c>
    </row>
    <row r="29" spans="1:6">
      <c r="A29">
        <v>0.40499999999999997</v>
      </c>
      <c r="B29">
        <v>0.96928530927107803</v>
      </c>
      <c r="C29">
        <v>0.95146484719435376</v>
      </c>
      <c r="D29">
        <v>0.92408457876448347</v>
      </c>
      <c r="E29">
        <v>0.89467350746367458</v>
      </c>
      <c r="F29">
        <v>0.84679005417761755</v>
      </c>
    </row>
    <row r="30" spans="1:6">
      <c r="A30">
        <v>0.42</v>
      </c>
      <c r="B30">
        <v>0.96666975323126125</v>
      </c>
      <c r="C30">
        <v>0.94744450553205684</v>
      </c>
      <c r="D30">
        <v>0.91805921758411024</v>
      </c>
      <c r="E30">
        <v>0.8866918130333058</v>
      </c>
      <c r="F30">
        <v>0.83603400018225238</v>
      </c>
    </row>
    <row r="31" spans="1:6">
      <c r="A31">
        <v>0.435</v>
      </c>
      <c r="B31">
        <v>0.96398004053969921</v>
      </c>
      <c r="C31">
        <v>0.94333110908422657</v>
      </c>
      <c r="D31">
        <v>0.91194021406595116</v>
      </c>
      <c r="E31">
        <v>0.87864741988329831</v>
      </c>
      <c r="F31">
        <v>0.82531797893637071</v>
      </c>
    </row>
    <row r="32" spans="1:6">
      <c r="A32">
        <v>0.44999999999999996</v>
      </c>
      <c r="B32">
        <v>0.96121046644868513</v>
      </c>
      <c r="C32">
        <v>0.93911833170667203</v>
      </c>
      <c r="D32">
        <v>0.90572224341724772</v>
      </c>
      <c r="E32">
        <v>0.87053699521275008</v>
      </c>
      <c r="F32">
        <v>0.81464052866506087</v>
      </c>
    </row>
    <row r="33" spans="1:6">
      <c r="A33">
        <v>0.46499999999999997</v>
      </c>
      <c r="B33">
        <v>0.95835497661571356</v>
      </c>
      <c r="C33">
        <v>0.93479964399655491</v>
      </c>
      <c r="D33">
        <v>0.89940010883282862</v>
      </c>
      <c r="E33">
        <v>0.86235761373049369</v>
      </c>
      <c r="F33">
        <v>0.80400074733509175</v>
      </c>
    </row>
    <row r="34" spans="1:6">
      <c r="A34">
        <v>0.48</v>
      </c>
      <c r="B34">
        <v>0.95540714108493419</v>
      </c>
      <c r="C34">
        <v>0.93036831353627936</v>
      </c>
      <c r="D34">
        <v>0.89296876709294204</v>
      </c>
      <c r="E34">
        <v>0.8541067770291495</v>
      </c>
      <c r="F34">
        <v>0.79339826672875902</v>
      </c>
    </row>
    <row r="35" spans="1:6">
      <c r="A35">
        <v>0.495</v>
      </c>
      <c r="B35">
        <v>0.95236012770288936</v>
      </c>
      <c r="C35">
        <v>0.92581740858621475</v>
      </c>
      <c r="D35">
        <v>0.88642335812278528</v>
      </c>
      <c r="E35">
        <v>0.84578243375388951</v>
      </c>
      <c r="F35">
        <v>0.78283322587139537</v>
      </c>
    </row>
    <row r="36" spans="1:6">
      <c r="A36">
        <v>0.51</v>
      </c>
      <c r="B36">
        <v>0.9492066753049393</v>
      </c>
      <c r="C36">
        <v>0.92113980589885192</v>
      </c>
      <c r="D36">
        <v>0.87975923857579308</v>
      </c>
      <c r="E36">
        <v>0.83738300009013678</v>
      </c>
      <c r="F36">
        <v>0.77230624355958788</v>
      </c>
    </row>
    <row r="37" spans="1:6">
      <c r="A37">
        <v>0.52500000000000002</v>
      </c>
      <c r="B37">
        <v>0.94593906713504272</v>
      </c>
      <c r="C37">
        <v>0.91632820341343224</v>
      </c>
      <c r="D37">
        <v>0.87297201943430869</v>
      </c>
      <c r="E37">
        <v>0.82890738004648989</v>
      </c>
      <c r="F37">
        <v>0.761818389802699</v>
      </c>
    </row>
    <row r="38" spans="1:6">
      <c r="A38">
        <v>0.54</v>
      </c>
      <c r="B38">
        <v>0.94254910511838785</v>
      </c>
      <c r="C38">
        <v>0.91137513867490461</v>
      </c>
      <c r="D38">
        <v>0.86605760753404759</v>
      </c>
      <c r="E38">
        <v>0.8203549849647106</v>
      </c>
      <c r="F38">
        <v>0.75137115605617477</v>
      </c>
    </row>
    <row r="39" spans="1:6">
      <c r="A39">
        <v>0.55499999999999994</v>
      </c>
      <c r="B39">
        <v>0.93902808579892527</v>
      </c>
      <c r="C39">
        <v>0.90627301389927772</v>
      </c>
      <c r="D39">
        <v>0.85901225081165722</v>
      </c>
      <c r="E39">
        <v>0.81172575165056005</v>
      </c>
      <c r="F39">
        <v>0.74096642419066672</v>
      </c>
    </row>
    <row r="40" spans="1:6">
      <c r="A40">
        <v>0.56999999999999995</v>
      </c>
      <c r="B40">
        <v>0.93536677898738319</v>
      </c>
      <c r="C40">
        <v>0.90101412867234187</v>
      </c>
      <c r="D40">
        <v>0.85183258694748443</v>
      </c>
      <c r="E40">
        <v>0.80302015849080444</v>
      </c>
      <c r="F40">
        <v>0.73060643420521798</v>
      </c>
    </row>
    <row r="41" spans="1:6">
      <c r="A41">
        <v>0.58499999999999996</v>
      </c>
      <c r="B41">
        <v>0.93155541044465584</v>
      </c>
      <c r="C41">
        <v>0.89559072131162842</v>
      </c>
      <c r="D41">
        <v>0.8445156949291458</v>
      </c>
      <c r="E41">
        <v>0.79423923890606696</v>
      </c>
      <c r="F41">
        <v>0.72029375075451862</v>
      </c>
    </row>
    <row r="42" spans="1:6">
      <c r="A42">
        <v>0.6</v>
      </c>
      <c r="B42">
        <v>0.92758365025403322</v>
      </c>
      <c r="C42">
        <v>0.88999501993143482</v>
      </c>
      <c r="D42">
        <v>0.83705914889797306</v>
      </c>
      <c r="E42">
        <v>0.78538459148952455</v>
      </c>
      <c r="F42">
        <v>0.71003122861821788</v>
      </c>
    </row>
    <row r="43" spans="1:6">
      <c r="A43">
        <v>0.61499999999999999</v>
      </c>
      <c r="B43">
        <v>0.92344060891475888</v>
      </c>
      <c r="C43">
        <v>0.88421930421467843</v>
      </c>
      <c r="D43">
        <v>0.82946107346376652</v>
      </c>
      <c r="E43">
        <v>0.7764583862005926</v>
      </c>
      <c r="F43">
        <v>0.69982197729315831</v>
      </c>
    </row>
    <row r="44" spans="1:6">
      <c r="A44">
        <v>0.63</v>
      </c>
      <c r="B44">
        <v>0.91911484361591633</v>
      </c>
      <c r="C44">
        <v>0.87825597879809469</v>
      </c>
      <c r="D44">
        <v>0.82172019948950659</v>
      </c>
      <c r="E44">
        <v>0.76746336602298582</v>
      </c>
      <c r="F44">
        <v>0.6896693249358633</v>
      </c>
    </row>
    <row r="45" spans="1:6">
      <c r="A45">
        <v>0.64500000000000002</v>
      </c>
      <c r="B45">
        <v>0.91459437761445039</v>
      </c>
      <c r="C45">
        <v>0.87209765900228409</v>
      </c>
      <c r="D45">
        <v>0.813835919164692</v>
      </c>
      <c r="E45">
        <v>0.75840284355939869</v>
      </c>
      <c r="F45">
        <v>0.6795767819214672</v>
      </c>
    </row>
    <row r="46" spans="1:6">
      <c r="A46">
        <v>0.65999999999999992</v>
      </c>
      <c r="B46">
        <v>0.90986673612588209</v>
      </c>
      <c r="C46">
        <v>0.86573726936831519</v>
      </c>
      <c r="D46">
        <v>0.80580833901389315</v>
      </c>
      <c r="E46">
        <v>0.74928069212098658</v>
      </c>
      <c r="F46">
        <v>0.66954800431555583</v>
      </c>
    </row>
    <row r="47" spans="1:6">
      <c r="A47">
        <v>0.67499999999999993</v>
      </c>
      <c r="B47">
        <v>0.90491900260997449</v>
      </c>
      <c r="C47">
        <v>0.85916815508227773</v>
      </c>
      <c r="D47">
        <v>0.79763832933777834</v>
      </c>
      <c r="E47">
        <v>0.74010133097810016</v>
      </c>
      <c r="F47">
        <v>0.65958675757633534</v>
      </c>
    </row>
    <row r="48" spans="1:6">
      <c r="A48">
        <v>0.69</v>
      </c>
      <c r="B48">
        <v>0.89973789974872387</v>
      </c>
      <c r="C48">
        <v>0.85238420586612673</v>
      </c>
      <c r="D48">
        <v>0.78932756847047669</v>
      </c>
      <c r="E48">
        <v>0.73086970456724942</v>
      </c>
      <c r="F48">
        <v>0.64969688081577981</v>
      </c>
    </row>
    <row r="49" spans="1:6">
      <c r="A49">
        <v>0.70499999999999996</v>
      </c>
      <c r="B49">
        <v>0.89430989970271302</v>
      </c>
      <c r="C49">
        <v>0.84537999128179897</v>
      </c>
      <c r="D49">
        <v>0.7808785801733541</v>
      </c>
      <c r="E49">
        <v>0.72159125559455894</v>
      </c>
      <c r="F49">
        <v>0.63988225194981529</v>
      </c>
    </row>
    <row r="50" spans="1:6">
      <c r="A50">
        <v>0.72</v>
      </c>
      <c r="B50">
        <v>0.88862136830293414</v>
      </c>
      <c r="C50">
        <v>0.83815090564054695</v>
      </c>
      <c r="D50">
        <v>0.77229476248420137</v>
      </c>
      <c r="E50">
        <v>0.7122718921332557</v>
      </c>
      <c r="F50">
        <v>0.63014675405949561</v>
      </c>
    </row>
    <row r="51" spans="1:6">
      <c r="A51">
        <v>0.73499999999999999</v>
      </c>
      <c r="B51">
        <v>0.88265874757372842</v>
      </c>
      <c r="C51">
        <v>0.83069331984927131</v>
      </c>
      <c r="D51">
        <v>0.76358040641365232</v>
      </c>
      <c r="E51">
        <v>0.70291794897607074</v>
      </c>
      <c r="F51">
        <v>0.62049424326809632</v>
      </c>
    </row>
    <row r="52" spans="1:6">
      <c r="A52">
        <v>0.75</v>
      </c>
      <c r="B52">
        <v>0.87640878025362989</v>
      </c>
      <c r="C52">
        <v>0.82300473659647</v>
      </c>
      <c r="D52">
        <v>0.75474070303528973</v>
      </c>
      <c r="E52">
        <v>0.69353614366612881</v>
      </c>
      <c r="F52">
        <v>0.61092851841404328</v>
      </c>
    </row>
    <row r="53" spans="1:6">
      <c r="A53">
        <v>0.76500000000000001</v>
      </c>
      <c r="B53">
        <v>0.86985877864032846</v>
      </c>
      <c r="C53">
        <v>0.81508394433807063</v>
      </c>
      <c r="D53">
        <v>0.74578173775551426</v>
      </c>
      <c r="E53">
        <v>0.68413352778476111</v>
      </c>
      <c r="F53">
        <v>0.60145329276776227</v>
      </c>
    </row>
    <row r="54" spans="1:6">
      <c r="A54">
        <v>0.78</v>
      </c>
      <c r="B54">
        <v>0.86299693800000554</v>
      </c>
      <c r="C54">
        <v>0.80693116466372927</v>
      </c>
      <c r="D54">
        <v>0.73671047087120767</v>
      </c>
      <c r="E54">
        <v>0.67471743421460573</v>
      </c>
      <c r="F54">
        <v>0.59207216800326767</v>
      </c>
    </row>
    <row r="55" spans="1:6">
      <c r="A55">
        <v>0.79499999999999993</v>
      </c>
      <c r="B55">
        <v>0.85581269185785502</v>
      </c>
      <c r="C55">
        <v>0.79854818689993301</v>
      </c>
      <c r="D55">
        <v>0.72753470391826525</v>
      </c>
      <c r="E55">
        <v>0.66529542121476803</v>
      </c>
      <c r="F55">
        <v>0.5827886105940786</v>
      </c>
    </row>
    <row r="56" spans="1:6">
      <c r="A56">
        <v>0.80999999999999994</v>
      </c>
      <c r="B56">
        <v>0.84829710271695358</v>
      </c>
      <c r="C56">
        <v>0.78993848334035033</v>
      </c>
      <c r="D56">
        <v>0.71826303176626616</v>
      </c>
      <c r="E56">
        <v>0.65587521423609774</v>
      </c>
      <c r="F56">
        <v>0.57360593075941946</v>
      </c>
    </row>
    <row r="57" spans="1:6">
      <c r="A57">
        <v>0.82499999999999996</v>
      </c>
      <c r="B57">
        <v>0.84044327725953005</v>
      </c>
      <c r="C57">
        <v>0.78110729838811943</v>
      </c>
      <c r="D57">
        <v>0.70890478090192133</v>
      </c>
      <c r="E57">
        <v>0.64646464646464652</v>
      </c>
      <c r="F57">
        <v>0.56452726404211195</v>
      </c>
    </row>
    <row r="58" spans="1:6">
      <c r="A58">
        <v>0.84</v>
      </c>
      <c r="B58">
        <v>0.83224679016720327</v>
      </c>
      <c r="C58">
        <v>0.77206170523543893</v>
      </c>
      <c r="D58">
        <v>0.699469934839825</v>
      </c>
      <c r="E58">
        <v>0.63707159910757838</v>
      </c>
      <c r="F58">
        <v>0.55555555555555569</v>
      </c>
    </row>
    <row r="59" spans="1:6">
      <c r="A59">
        <v>0.85499999999999998</v>
      </c>
      <c r="B59">
        <v>0.82370609585621579</v>
      </c>
      <c r="C59">
        <v>0.76281062454718163</v>
      </c>
      <c r="D59">
        <v>0.68996904807422277</v>
      </c>
      <c r="E59">
        <v>0.62770394242762539</v>
      </c>
      <c r="F59">
        <v>0.54669354689497729</v>
      </c>
    </row>
    <row r="60" spans="1:6">
      <c r="A60">
        <v>0.87</v>
      </c>
      <c r="B60">
        <v>0.81482290335127139</v>
      </c>
      <c r="C60">
        <v>0.7533648009644579</v>
      </c>
      <c r="D60">
        <v>0.68041315041068062</v>
      </c>
      <c r="E60">
        <v>0.61836947849082768</v>
      </c>
      <c r="F60">
        <v>0.53794376566882074</v>
      </c>
    </row>
    <row r="61" spans="1:6">
      <c r="A61">
        <v>0.88500000000000001</v>
      </c>
      <c r="B61">
        <v>0.80560248702965853</v>
      </c>
      <c r="C61">
        <v>0.7437367350502746</v>
      </c>
      <c r="D61">
        <v>0.67081364386508757</v>
      </c>
      <c r="E61">
        <v>0.60907588652072853</v>
      </c>
      <c r="F61">
        <v>0.52930851757061881</v>
      </c>
    </row>
    <row r="62" spans="1:6">
      <c r="A62">
        <v>0.89999999999999991</v>
      </c>
      <c r="B62">
        <v>0.79605390585747959</v>
      </c>
      <c r="C62">
        <v>0.73394057045110916</v>
      </c>
      <c r="D62">
        <v>0.66118219456787619</v>
      </c>
      <c r="E62">
        <v>0.59983067165486181</v>
      </c>
      <c r="F62">
        <v>0.52078988088060996</v>
      </c>
    </row>
    <row r="63" spans="1:6">
      <c r="A63">
        <v>0.91499999999999992</v>
      </c>
      <c r="B63">
        <v>0.78619010661994015</v>
      </c>
      <c r="C63">
        <v>0.72399193838002796</v>
      </c>
      <c r="D63">
        <v>0.65153062224947067</v>
      </c>
      <c r="E63">
        <v>0.59064111778171424</v>
      </c>
      <c r="F63">
        <v>0.51238970326014122</v>
      </c>
    </row>
    <row r="64" spans="1:6">
      <c r="A64">
        <v>0.92999999999999994</v>
      </c>
      <c r="B64">
        <v>0.77602789273625272</v>
      </c>
      <c r="C64">
        <v>0.71390776383747878</v>
      </c>
      <c r="D64">
        <v>0.64187078990293445</v>
      </c>
      <c r="E64">
        <v>0.58151424500459192</v>
      </c>
      <c r="F64">
        <v>0.50410960068078003</v>
      </c>
    </row>
    <row r="65" spans="1:6">
      <c r="A65">
        <v>0.94499999999999995</v>
      </c>
      <c r="B65">
        <v>0.76558774922606776</v>
      </c>
      <c r="C65">
        <v>0.70370604006292325</v>
      </c>
      <c r="D65">
        <v>0.63221449612450042</v>
      </c>
      <c r="E65">
        <v>0.57245677213930335</v>
      </c>
      <c r="F65">
        <v>0.49595095831401848</v>
      </c>
    </row>
    <row r="66" spans="1:6">
      <c r="A66">
        <v>0.96</v>
      </c>
      <c r="B66">
        <v>0.75489352535694387</v>
      </c>
      <c r="C66">
        <v>0.69340557936064662</v>
      </c>
      <c r="D66">
        <v>0.62257337243314637</v>
      </c>
      <c r="E66">
        <v>0.56347508451152073</v>
      </c>
      <c r="F66">
        <v>0.48791493319638651</v>
      </c>
    </row>
    <row r="67" spans="1:6">
      <c r="A67">
        <v>0.97499999999999998</v>
      </c>
      <c r="B67">
        <v>0.74397198807547371</v>
      </c>
      <c r="C67">
        <v>0.68302574951905115</v>
      </c>
      <c r="D67">
        <v>0.61295878758423694</v>
      </c>
      <c r="E67">
        <v>0.55457520718272102</v>
      </c>
      <c r="F67">
        <v>0.4800024584783551</v>
      </c>
    </row>
    <row r="68" spans="1:6">
      <c r="A68">
        <v>0.99</v>
      </c>
      <c r="B68">
        <v>0.73285226990752128</v>
      </c>
      <c r="C68">
        <v>0.67258620546337999</v>
      </c>
      <c r="D68">
        <v>0.60338176054178261</v>
      </c>
      <c r="E68">
        <v>0.54576278360558061</v>
      </c>
      <c r="F68">
        <v>0.47221424906324216</v>
      </c>
    </row>
    <row r="69" spans="1:6">
      <c r="A69">
        <v>1.0049999999999999</v>
      </c>
      <c r="B69">
        <v>0.72156524311213033</v>
      </c>
      <c r="C69">
        <v>0.66210662554097388</v>
      </c>
      <c r="D69">
        <v>0.59385288338361075</v>
      </c>
      <c r="E69">
        <v>0.53704305959443865</v>
      </c>
      <c r="F69">
        <v>0.4645508084439311</v>
      </c>
    </row>
    <row r="70" spans="1:6">
      <c r="A70">
        <v>1.02</v>
      </c>
      <c r="B70">
        <v>0.71014285642328823</v>
      </c>
      <c r="C70">
        <v>0.65160646100120112</v>
      </c>
      <c r="D70">
        <v>0.58438225500836105</v>
      </c>
      <c r="E70">
        <v>0.52842087239670155</v>
      </c>
      <c r="F70">
        <v>0.45701243655006246</v>
      </c>
    </row>
    <row r="71" spans="1:6">
      <c r="A71">
        <v>1.0349999999999999</v>
      </c>
      <c r="B71">
        <v>0.69861747128794804</v>
      </c>
      <c r="C71">
        <v>0.64110470592123892</v>
      </c>
      <c r="D71">
        <v>0.57497942611534802</v>
      </c>
      <c r="E71">
        <v>0.51990064456850982</v>
      </c>
      <c r="F71">
        <v>0.44959923842591176</v>
      </c>
    </row>
    <row r="72" spans="1:6">
      <c r="A72">
        <v>1.05</v>
      </c>
      <c r="B72">
        <v>0.68702123136647486</v>
      </c>
      <c r="C72">
        <v>0.63061969320141198</v>
      </c>
      <c r="D72">
        <v>0.56565335555721841</v>
      </c>
      <c r="E72">
        <v>0.51148638229329468</v>
      </c>
      <c r="F72">
        <v>0.44231113356888968</v>
      </c>
    </row>
    <row r="73" spans="1:6">
      <c r="A73">
        <v>1.0649999999999999</v>
      </c>
      <c r="B73">
        <v>0.67538549302485773</v>
      </c>
      <c r="C73">
        <v>0.62016892047832006</v>
      </c>
      <c r="D73">
        <v>0.55641237783576425</v>
      </c>
      <c r="E73">
        <v>0.50318167773481037</v>
      </c>
      <c r="F73">
        <v>0.43514786576996378</v>
      </c>
    </row>
    <row r="74" spans="1:6">
      <c r="A74">
        <v>1.08</v>
      </c>
      <c r="B74">
        <v>0.6637403367662057</v>
      </c>
      <c r="C74">
        <v>0.60976890803824679</v>
      </c>
      <c r="D74">
        <v>0.54726418123319276</v>
      </c>
      <c r="E74">
        <v>0.49498971498587785</v>
      </c>
      <c r="F74">
        <v>0.42810901330982909</v>
      </c>
    </row>
    <row r="75" spans="1:6">
      <c r="A75">
        <v>1.095</v>
      </c>
      <c r="B75">
        <v>0.65211417123148419</v>
      </c>
      <c r="C75">
        <v>0.5994350891877559</v>
      </c>
      <c r="D75">
        <v>0.53821579584992385</v>
      </c>
      <c r="E75">
        <v>0.48691327915897215</v>
      </c>
      <c r="F75">
        <v>0.42119399937791191</v>
      </c>
    </row>
    <row r="76" spans="1:6">
      <c r="A76">
        <v>1.1099999999999999</v>
      </c>
      <c r="B76">
        <v>0.64053343358925363</v>
      </c>
      <c r="C76">
        <v>0.58918173214647496</v>
      </c>
      <c r="D76">
        <v>0.52927359065659441</v>
      </c>
      <c r="E76">
        <v>0.47895476816302862</v>
      </c>
      <c r="F76">
        <v>0.41440210259488192</v>
      </c>
    </row>
    <row r="77" spans="1:6">
      <c r="A77">
        <v>1.125</v>
      </c>
      <c r="B77">
        <v>0.62902238356988394</v>
      </c>
      <c r="C77">
        <v>0.579021891423107</v>
      </c>
      <c r="D77">
        <v>0.52044327856006356</v>
      </c>
      <c r="E77">
        <v>0.4711162067204076</v>
      </c>
      <c r="F77">
        <v>0.40773246753295744</v>
      </c>
    </row>
    <row r="78" spans="1:6">
      <c r="A78">
        <v>1.1399999999999999</v>
      </c>
      <c r="B78">
        <v>0.61760298347322873</v>
      </c>
      <c r="C78">
        <v>0.56896738583758832</v>
      </c>
      <c r="D78">
        <v>0.51172992842577114</v>
      </c>
      <c r="E78">
        <v>0.46339926219667854</v>
      </c>
      <c r="F78">
        <v>0.40118411514162744</v>
      </c>
    </row>
    <row r="79" spans="1:6">
      <c r="A79">
        <v>1.155</v>
      </c>
      <c r="B79">
        <v>0.60629485327107158</v>
      </c>
      <c r="C79">
        <v>0.5590287998485739</v>
      </c>
      <c r="D79">
        <v>0.50313798298514256</v>
      </c>
      <c r="E79">
        <v>0.45580526184166426</v>
      </c>
      <c r="F79">
        <v>0.39475595299927208</v>
      </c>
    </row>
    <row r="80" spans="1:6">
      <c r="A80">
        <v>1.17</v>
      </c>
      <c r="B80">
        <v>0.59511528828751525</v>
      </c>
      <c r="C80">
        <v>0.5492155046036975</v>
      </c>
      <c r="D80">
        <v>0.49467128157922019</v>
      </c>
      <c r="E80">
        <v>0.44833521107109536</v>
      </c>
      <c r="F80">
        <v>0.38844678532336624</v>
      </c>
    </row>
    <row r="81" spans="1:6">
      <c r="A81">
        <v>1.1850000000000001</v>
      </c>
      <c r="B81">
        <v>0.58407932658608663</v>
      </c>
      <c r="C81">
        <v>0.53953569510564559</v>
      </c>
      <c r="D81">
        <v>0.48633308674046727</v>
      </c>
      <c r="E81">
        <v>0.44098981245243257</v>
      </c>
      <c r="F81">
        <v>0.3822553226833672</v>
      </c>
    </row>
    <row r="82" spans="1:6">
      <c r="A82">
        <v>1.2</v>
      </c>
      <c r="B82">
        <v>0.57319985378338922</v>
      </c>
      <c r="C82">
        <v>0.52999644003048207</v>
      </c>
      <c r="D82">
        <v>0.47812611368623387</v>
      </c>
      <c r="E82">
        <v>0.43376948509443325</v>
      </c>
      <c r="F82">
        <v>0.3761801913709471</v>
      </c>
    </row>
    <row r="83" spans="1:6">
      <c r="A83">
        <v>1.2149999999999999</v>
      </c>
      <c r="B83">
        <v>0.56248773421644638</v>
      </c>
      <c r="C83">
        <v>0.52060374099729956</v>
      </c>
      <c r="D83">
        <v>0.47005256188277378</v>
      </c>
      <c r="E83">
        <v>0.42667438417652059</v>
      </c>
      <c r="F83">
        <v>0.37021994239186246</v>
      </c>
    </row>
    <row r="84" spans="1:6">
      <c r="A84">
        <v>1.23</v>
      </c>
      <c r="B84">
        <v>0.55195195893219373</v>
      </c>
      <c r="C84">
        <v>0.51136259842636933</v>
      </c>
      <c r="D84">
        <v>0.46211414793202898</v>
      </c>
      <c r="E84">
        <v>0.41970442038993083</v>
      </c>
      <c r="F84">
        <v>0.36437306005246212</v>
      </c>
    </row>
    <row r="85" spans="1:6">
      <c r="A85">
        <v>1.2449999999999999</v>
      </c>
      <c r="B85">
        <v>0.54159980262357343</v>
      </c>
      <c r="C85">
        <v>0.50227708149974992</v>
      </c>
      <c r="D85">
        <v>0.45431213912965618</v>
      </c>
      <c r="E85">
        <v>0.41285927909712838</v>
      </c>
      <c r="F85">
        <v>0.35863797012159648</v>
      </c>
    </row>
    <row r="86" spans="1:6">
      <c r="A86">
        <v>1.26</v>
      </c>
      <c r="B86">
        <v>0.53143698325286193</v>
      </c>
      <c r="C86">
        <v>0.49335040012480524</v>
      </c>
      <c r="D86">
        <v>0.44664738713805141</v>
      </c>
      <c r="E86">
        <v>0.40613843904848446</v>
      </c>
      <c r="F86">
        <v>0.35301304755555335</v>
      </c>
    </row>
    <row r="87" spans="1:6">
      <c r="A87">
        <v>1.2749999999999999</v>
      </c>
      <c r="B87">
        <v>0.52146781958160071</v>
      </c>
      <c r="C87">
        <v>0.48458497717594362</v>
      </c>
      <c r="D87">
        <v>0.43912036130943394</v>
      </c>
      <c r="E87">
        <v>0.39954119052529696</v>
      </c>
      <c r="F87">
        <v>0.34749662377963242</v>
      </c>
    </row>
    <row r="88" spans="1:6">
      <c r="A88">
        <v>1.29</v>
      </c>
      <c r="B88">
        <v>0.51169538311577167</v>
      </c>
      <c r="C88">
        <v>0.4759825196385567</v>
      </c>
      <c r="D88">
        <v>0.43173118127929588</v>
      </c>
      <c r="E88">
        <v>0.39306665280561109</v>
      </c>
      <c r="F88">
        <v>0.34208699352512878</v>
      </c>
    </row>
    <row r="89" spans="1:6">
      <c r="A89">
        <v>1.3049999999999999</v>
      </c>
      <c r="B89">
        <v>0.50212164205583121</v>
      </c>
      <c r="C89">
        <v>0.46754408759280752</v>
      </c>
      <c r="D89">
        <v>0.42447964852833647</v>
      </c>
      <c r="E89">
        <v>0.38671379087388297</v>
      </c>
      <c r="F89">
        <v>0.33678242122489721</v>
      </c>
    </row>
    <row r="90" spans="1:6">
      <c r="A90">
        <v>1.3199999999999998</v>
      </c>
      <c r="B90">
        <v>0.49274759571734683</v>
      </c>
      <c r="C90">
        <v>0.45927016024925665</v>
      </c>
      <c r="D90">
        <v>0.41736527668064283</v>
      </c>
      <c r="E90">
        <v>0.38048143131726053</v>
      </c>
      <c r="F90">
        <v>0.33158114697435065</v>
      </c>
    </row>
    <row r="91" spans="1:6">
      <c r="A91">
        <v>1.335</v>
      </c>
      <c r="B91">
        <v>0.483573398576156</v>
      </c>
      <c r="C91">
        <v>0.4511606984823493</v>
      </c>
      <c r="D91">
        <v>0.41038732036708658</v>
      </c>
      <c r="E91">
        <v>0.37436827737023581</v>
      </c>
      <c r="F91">
        <v>0.32648139206779686</v>
      </c>
    </row>
    <row r="92" spans="1:6">
      <c r="A92">
        <v>1.3499999999999999</v>
      </c>
      <c r="B92">
        <v>0.47459847361589064</v>
      </c>
      <c r="C92">
        <v>0.44321520350289162</v>
      </c>
      <c r="D92">
        <v>0.403544802535799</v>
      </c>
      <c r="E92">
        <v>0.36837292308574709</v>
      </c>
      <c r="F92">
        <v>0.32148136412248002</v>
      </c>
    </row>
    <row r="93" spans="1:6">
      <c r="A93">
        <v>1.365</v>
      </c>
      <c r="B93">
        <v>0.46582161504140651</v>
      </c>
      <c r="C93">
        <v>0.43543277146967935</v>
      </c>
      <c r="D93">
        <v>0.39683654013652059</v>
      </c>
      <c r="E93">
        <v>0.36249386662466854</v>
      </c>
      <c r="F93">
        <v>0.31657926180463819</v>
      </c>
    </row>
    <row r="94" spans="1:6">
      <c r="A94">
        <v>1.38</v>
      </c>
      <c r="B94">
        <v>0.45724108069456648</v>
      </c>
      <c r="C94">
        <v>0.42781214396716655</v>
      </c>
      <c r="D94">
        <v>0.39026116814318068</v>
      </c>
      <c r="E94">
        <v>0.35672952266720737</v>
      </c>
      <c r="F94">
        <v>0.31177327917338349</v>
      </c>
    </row>
    <row r="95" spans="1:6">
      <c r="A95">
        <v>1.395</v>
      </c>
      <c r="B95">
        <v>0.44885467469213375</v>
      </c>
      <c r="C95">
        <v>0.42035175437453143</v>
      </c>
      <c r="D95">
        <v>0.38381716190987036</v>
      </c>
      <c r="E95">
        <v>0.35107823395923859</v>
      </c>
      <c r="F95">
        <v>0.30706160965929025</v>
      </c>
    </row>
    <row r="96" spans="1:6">
      <c r="A96">
        <v>1.41</v>
      </c>
      <c r="B96">
        <v>0.44065982091944267</v>
      </c>
      <c r="C96">
        <v>0.41304977022589318</v>
      </c>
      <c r="D96">
        <v>0.37750285788018695</v>
      </c>
      <c r="E96">
        <v>0.34553828201428399</v>
      </c>
      <c r="F96">
        <v>0.3024424496953258</v>
      </c>
    </row>
    <row r="97" spans="1:6">
      <c r="A97">
        <v>1.425</v>
      </c>
      <c r="B97">
        <v>0.43265362807496721</v>
      </c>
      <c r="C97">
        <v>0.40590413171564005</v>
      </c>
      <c r="D97">
        <v>0.37131647268943579</v>
      </c>
      <c r="E97">
        <v>0.34010789699786814</v>
      </c>
      <c r="F97">
        <v>0.29791400201819185</v>
      </c>
    </row>
    <row r="98" spans="1:6">
      <c r="A98">
        <v>1.44</v>
      </c>
      <c r="B98">
        <v>0.42483294698374885</v>
      </c>
      <c r="C98">
        <v>0.39891258654049322</v>
      </c>
      <c r="D98">
        <v>0.36525612071411551</v>
      </c>
      <c r="E98">
        <v>0.33478526682560106</v>
      </c>
      <c r="F98">
        <v>0.29347447865833498</v>
      </c>
    </row>
    <row r="99" spans="1:6">
      <c r="A99">
        <v>1.4549999999999998</v>
      </c>
      <c r="B99">
        <v>0.41719442089290254</v>
      </c>
      <c r="C99">
        <v>0.39207272129421394</v>
      </c>
      <c r="D99">
        <v>0.35931983013413499</v>
      </c>
      <c r="E99">
        <v>0.32956854550970344</v>
      </c>
      <c r="F99">
        <v>0.28912210363685664</v>
      </c>
    </row>
    <row r="100" spans="1:6">
      <c r="A100">
        <v>1.47</v>
      </c>
      <c r="B100">
        <v>0.40973452943872518</v>
      </c>
      <c r="C100">
        <v>0.38538198964458142</v>
      </c>
      <c r="D100">
        <v>0.35350555758093699</v>
      </c>
      <c r="E100">
        <v>0.32445586079102035</v>
      </c>
      <c r="F100">
        <v>0.28485511538734887</v>
      </c>
    </row>
    <row r="101" spans="1:6">
      <c r="A101">
        <v>1.4849999999999999</v>
      </c>
      <c r="B101">
        <v>0.40244962693884312</v>
      </c>
      <c r="C101">
        <v>0.37883773752775396</v>
      </c>
      <c r="D101">
        <v>0.34781120144969641</v>
      </c>
      <c r="E101">
        <v>0.31944532109499812</v>
      </c>
      <c r="F101">
        <v>0.28067176892033469</v>
      </c>
    </row>
    <row r="102" spans="1:6">
      <c r="A102">
        <v>1.5</v>
      </c>
      <c r="B102">
        <v>0.39533597561933465</v>
      </c>
      <c r="C102">
        <v>0.37243722559437303</v>
      </c>
      <c r="D102">
        <v>0.3422346139564999</v>
      </c>
      <c r="E102">
        <v>0.31453502185079096</v>
      </c>
      <c r="F102">
        <v>0.27657033774752304</v>
      </c>
    </row>
    <row r="103" spans="1:6">
      <c r="A103">
        <v>1.5149999999999999</v>
      </c>
      <c r="B103">
        <v>0.38838977433945876</v>
      </c>
      <c r="C103">
        <v>0.3661776491364036</v>
      </c>
      <c r="D103">
        <v>0.33677361202235717</v>
      </c>
      <c r="E103">
        <v>0.30972305121275073</v>
      </c>
      <c r="F103">
        <v>0.27254911558253936</v>
      </c>
    </row>
    <row r="104" spans="1:6">
      <c r="A104">
        <v>1.53</v>
      </c>
      <c r="B104">
        <v>0.38160718332812976</v>
      </c>
      <c r="C104">
        <v>0.36005615571501909</v>
      </c>
      <c r="D104">
        <v>0.33142598706538484</v>
      </c>
      <c r="E104">
        <v>0.30500749522313486</v>
      </c>
      <c r="F104">
        <v>0.26860641783415801</v>
      </c>
    </row>
    <row r="105" spans="1:6">
      <c r="A105">
        <v>1.5449999999999999</v>
      </c>
      <c r="B105">
        <v>0.37498434539840886</v>
      </c>
      <c r="C105">
        <v>0.35406986069892693</v>
      </c>
      <c r="D105">
        <v>0.32618951378089733</v>
      </c>
      <c r="E105">
        <v>0.30038644245406837</v>
      </c>
      <c r="F105">
        <v>0.26474058290739649</v>
      </c>
    </row>
    <row r="106" spans="1:6">
      <c r="A106">
        <v>1.56</v>
      </c>
      <c r="B106">
        <v>0.36851740406025491</v>
      </c>
      <c r="C106">
        <v>0.34821586091017293</v>
      </c>
      <c r="D106">
        <v>0.32106195798667053</v>
      </c>
      <c r="E106">
        <v>0.29585798816568043</v>
      </c>
      <c r="F106">
        <v>0.26094997332711289</v>
      </c>
    </row>
    <row r="107" spans="1:6">
      <c r="A107">
        <v>1.575</v>
      </c>
      <c r="B107">
        <v>0.36220251890835514</v>
      </c>
      <c r="C107">
        <v>0.34249124656134472</v>
      </c>
      <c r="D107">
        <v>0.31604108360757144</v>
      </c>
      <c r="E107">
        <v>0.29142023801599354</v>
      </c>
      <c r="F107">
        <v>0.25723297669802098</v>
      </c>
    </row>
    <row r="108" spans="1:6">
      <c r="A108">
        <v>1.5899999999999999</v>
      </c>
      <c r="B108">
        <v>0.35603587862148334</v>
      </c>
      <c r="C108">
        <v>0.33689311165466712</v>
      </c>
      <c r="D108">
        <v>0.31112465887022939</v>
      </c>
      <c r="E108">
        <v>0.28707131135663144</v>
      </c>
      <c r="F108">
        <v>0.25358800651429375</v>
      </c>
    </row>
    <row r="109" spans="1:6">
      <c r="A109">
        <v>1.605</v>
      </c>
      <c r="B109">
        <v>0.35001371187271135</v>
      </c>
      <c r="C109">
        <v>0.33141856300014322</v>
      </c>
      <c r="D109">
        <v>0.30631046177463694</v>
      </c>
      <c r="E109">
        <v>0.28280934414678355</v>
      </c>
      <c r="F109">
        <v>0.25001350283118545</v>
      </c>
    </row>
    <row r="110" spans="1:6">
      <c r="A110">
        <v>1.6199999999999999</v>
      </c>
      <c r="B110">
        <v>0.3441322964159686</v>
      </c>
      <c r="C110">
        <v>0.32606472799687575</v>
      </c>
      <c r="D110">
        <v>0.30159628490561402</v>
      </c>
      <c r="E110">
        <v>0.27863249151616309</v>
      </c>
      <c r="F110">
        <v>0.24650793281036726</v>
      </c>
    </row>
    <row r="111" spans="1:6">
      <c r="A111">
        <v>1.635</v>
      </c>
      <c r="B111">
        <v>0.33838796658383075</v>
      </c>
      <c r="C111">
        <v>0.32082876130921645</v>
      </c>
      <c r="D111">
        <v>0.29697993964306119</v>
      </c>
      <c r="E111">
        <v>0.27453893000595847</v>
      </c>
      <c r="F111">
        <v>0.24306979114995092</v>
      </c>
    </row>
    <row r="112" spans="1:6">
      <c r="A112">
        <v>1.65</v>
      </c>
      <c r="B112">
        <v>0.3327771194038831</v>
      </c>
      <c r="C112">
        <v>0.3157078505575428</v>
      </c>
      <c r="D112">
        <v>0.29245925982593335</v>
      </c>
      <c r="E112">
        <v>0.27052685951503874</v>
      </c>
      <c r="F112">
        <v>0.23969760040947422</v>
      </c>
    </row>
    <row r="113" spans="1:6">
      <c r="A113">
        <v>1.665</v>
      </c>
      <c r="B113">
        <v>0.32729621951633431</v>
      </c>
      <c r="C113">
        <v>0.31069922113233311</v>
      </c>
      <c r="D113">
        <v>0.28803210492094594</v>
      </c>
      <c r="E113">
        <v>0.26659450497694165</v>
      </c>
      <c r="F113">
        <v>0.23638991123944061</v>
      </c>
    </row>
    <row r="114" spans="1:6">
      <c r="A114">
        <v>1.68</v>
      </c>
      <c r="B114">
        <v>0.32194180305356879</v>
      </c>
      <c r="C114">
        <v>0.30580014022984153</v>
      </c>
      <c r="D114">
        <v>0.28369636274322541</v>
      </c>
      <c r="E114">
        <v>0.26274011779148865</v>
      </c>
      <c r="F114">
        <v>0.23314530252435306</v>
      </c>
    </row>
    <row r="115" spans="1:6">
      <c r="A115">
        <v>1.6949999999999998</v>
      </c>
      <c r="B115">
        <v>0.31671048062276175</v>
      </c>
      <c r="C115">
        <v>0.30100792019806988</v>
      </c>
      <c r="D115">
        <v>0.27944995177246401</v>
      </c>
      <c r="E115">
        <v>0.25896197703322366</v>
      </c>
      <c r="F115">
        <v>0.22996238144755363</v>
      </c>
    </row>
    <row r="116" spans="1:6">
      <c r="A116">
        <v>1.71</v>
      </c>
      <c r="B116">
        <v>0.31159893951534823</v>
      </c>
      <c r="C116">
        <v>0.29631992127290085</v>
      </c>
      <c r="D116">
        <v>0.27529082310466518</v>
      </c>
      <c r="E116">
        <v>0.25525839045729504</v>
      </c>
      <c r="F116">
        <v>0.22683978348558531</v>
      </c>
    </row>
    <row r="117" spans="1:6">
      <c r="A117">
        <v>1.7249999999999999</v>
      </c>
      <c r="B117">
        <v>0.30660394525179058</v>
      </c>
      <c r="C117">
        <v>0.29173355377614796</v>
      </c>
      <c r="D117">
        <v>0.27121696207627088</v>
      </c>
      <c r="E117">
        <v>0.25162769532188367</v>
      </c>
      <c r="F117">
        <v>0.22377617233922167</v>
      </c>
    </row>
    <row r="118" spans="1:6">
      <c r="A118">
        <v>1.74</v>
      </c>
      <c r="B118">
        <v>0.3017223425565474</v>
      </c>
      <c r="C118">
        <v>0.28724627983988504</v>
      </c>
      <c r="D118">
        <v>0.26722638959436629</v>
      </c>
      <c r="E118">
        <v>0.2480682590448389</v>
      </c>
      <c r="F118">
        <v>0.22077023980777316</v>
      </c>
    </row>
    <row r="119" spans="1:6">
      <c r="A119">
        <v>1.7549999999999999</v>
      </c>
      <c r="B119">
        <v>0.29695105584620429</v>
      </c>
      <c r="C119">
        <v>0.28285561471469373</v>
      </c>
      <c r="D119">
        <v>0.26331716320376097</v>
      </c>
      <c r="E119">
        <v>0.24457847971082036</v>
      </c>
      <c r="F119">
        <v>0.21782070561277209</v>
      </c>
    </row>
    <row r="120" spans="1:6">
      <c r="A120">
        <v>1.77</v>
      </c>
      <c r="B120">
        <v>0.29228708930321129</v>
      </c>
      <c r="C120">
        <v>0.27855912771335756</v>
      </c>
      <c r="D120">
        <v>0.25948737791903631</v>
      </c>
      <c r="E120">
        <v>0.24115678644395075</v>
      </c>
      <c r="F120">
        <v>0.21492631717665689</v>
      </c>
    </row>
    <row r="121" spans="1:6">
      <c r="A121">
        <v>1.7849999999999999</v>
      </c>
      <c r="B121">
        <v>0.28772752659842959</v>
      </c>
      <c r="C121">
        <v>0.2743544428360159</v>
      </c>
      <c r="D121">
        <v>0.2557351668471422</v>
      </c>
      <c r="E121">
        <v>0.23780163965977921</v>
      </c>
      <c r="F121">
        <v>0.21208584936163175</v>
      </c>
    </row>
    <row r="122" spans="1:6">
      <c r="A122">
        <v>1.7999999999999998</v>
      </c>
      <c r="B122">
        <v>0.28326953031756225</v>
      </c>
      <c r="C122">
        <v>0.27023923911780068</v>
      </c>
      <c r="D122">
        <v>0.25205870162379834</v>
      </c>
      <c r="E122">
        <v>0.23451153120921431</v>
      </c>
      <c r="F122">
        <v>0.20929810417345046</v>
      </c>
    </row>
    <row r="123" spans="1:6">
      <c r="A123">
        <v>1.8149999999999999</v>
      </c>
      <c r="B123">
        <v>0.27891034113941993</v>
      </c>
      <c r="C123">
        <v>0.26621125073549073</v>
      </c>
      <c r="D123">
        <v>0.24845619268480829</v>
      </c>
      <c r="E123">
        <v>0.23128498442603088</v>
      </c>
      <c r="F123">
        <v>0.20656191043448693</v>
      </c>
    </row>
    <row r="124" spans="1:6">
      <c r="A124">
        <v>1.8299999999999998</v>
      </c>
      <c r="B124">
        <v>0.27464727680771261</v>
      </c>
      <c r="C124">
        <v>0.26226826690567695</v>
      </c>
      <c r="D124">
        <v>0.24492588939142054</v>
      </c>
      <c r="E124">
        <v>0.22812055408856308</v>
      </c>
      <c r="F124">
        <v>0.2038761234300813</v>
      </c>
    </row>
    <row r="125" spans="1:6">
      <c r="A125">
        <v>1.845</v>
      </c>
      <c r="B125">
        <v>0.27047773093257765</v>
      </c>
      <c r="C125">
        <v>0.25840813160330073</v>
      </c>
      <c r="D125">
        <v>0.24146608002704778</v>
      </c>
      <c r="E125">
        <v>0.22501682630528141</v>
      </c>
      <c r="F125">
        <v>0.20123962453181199</v>
      </c>
    </row>
    <row r="126" spans="1:6">
      <c r="A126">
        <v>1.8599999999999999</v>
      </c>
      <c r="B126">
        <v>0.26639917165325444</v>
      </c>
      <c r="C126">
        <v>0.254628743126178</v>
      </c>
      <c r="D126">
        <v>0.2380750916809988</v>
      </c>
      <c r="E126">
        <v>0.22197241833309847</v>
      </c>
      <c r="F126">
        <v>0.19865132080102613</v>
      </c>
    </row>
    <row r="127" spans="1:6">
      <c r="A127">
        <v>1.875</v>
      </c>
      <c r="B127">
        <v>0.26240914018910499</v>
      </c>
      <c r="C127">
        <v>0.25092805352819941</v>
      </c>
      <c r="D127">
        <v>0.23475129003334438</v>
      </c>
      <c r="E127">
        <v>0.21898597833646083</v>
      </c>
      <c r="F127">
        <v>0.19611014457566178</v>
      </c>
    </row>
    <row r="128" spans="1:6">
      <c r="A128">
        <v>1.89</v>
      </c>
      <c r="B128">
        <v>0.25850524930250318</v>
      </c>
      <c r="C128">
        <v>0.2473040679412945</v>
      </c>
      <c r="D128">
        <v>0.23149307905365396</v>
      </c>
      <c r="E128">
        <v>0.2160561850945571</v>
      </c>
      <c r="F128">
        <v>0.19361505304312715</v>
      </c>
    </row>
    <row r="129" spans="1:6">
      <c r="A129">
        <v>1.905</v>
      </c>
      <c r="B129">
        <v>0.25468518169389426</v>
      </c>
      <c r="C129">
        <v>0.24375484380390922</v>
      </c>
      <c r="D129">
        <v>0.22829890062506178</v>
      </c>
      <c r="E129">
        <v>0.21318174766329945</v>
      </c>
      <c r="F129">
        <v>0.1911650278017433</v>
      </c>
    </row>
    <row r="130" spans="1:6">
      <c r="A130">
        <v>1.92</v>
      </c>
      <c r="B130">
        <v>0.25094668834651035</v>
      </c>
      <c r="C130">
        <v>0.24027849001166807</v>
      </c>
      <c r="D130">
        <v>0.22516723410397027</v>
      </c>
      <c r="E130">
        <v>0.21036140499811962</v>
      </c>
      <c r="F130">
        <v>0.18875907441302633</v>
      </c>
    </row>
    <row r="131" spans="1:6">
      <c r="A131">
        <v>1.9349999999999998</v>
      </c>
      <c r="B131">
        <v>0.24728758683576935</v>
      </c>
      <c r="C131">
        <v>0.2368731660040293</v>
      </c>
      <c r="D131">
        <v>0.22209659582464106</v>
      </c>
      <c r="E131">
        <v>0.20759392554304956</v>
      </c>
      <c r="F131">
        <v>0.18639622194686623</v>
      </c>
    </row>
    <row r="132" spans="1:6">
      <c r="A132">
        <v>1.95</v>
      </c>
      <c r="B132">
        <v>0.24370575961623267</v>
      </c>
      <c r="C132">
        <v>0.23353708079908581</v>
      </c>
      <c r="D132">
        <v>0.21908553855696924</v>
      </c>
      <c r="E132">
        <v>0.20487810679103666</v>
      </c>
      <c r="F132">
        <v>0.18407552252146209</v>
      </c>
    </row>
    <row r="133" spans="1:6">
      <c r="A133">
        <v>1.9649999999999999</v>
      </c>
      <c r="B133">
        <v>0.24019915229712602</v>
      </c>
      <c r="C133">
        <v>0.23026849198718813</v>
      </c>
      <c r="D133">
        <v>0.21613265092486802</v>
      </c>
      <c r="E133">
        <v>0.20221277481996308</v>
      </c>
      <c r="F133">
        <v>0.18179605083968856</v>
      </c>
    </row>
    <row r="134" spans="1:6">
      <c r="A134">
        <v>1.98</v>
      </c>
      <c r="B134">
        <v>0.23676577191578474</v>
      </c>
      <c r="C134">
        <v>0.22706570469274812</v>
      </c>
      <c r="D134">
        <v>0.21323655679190051</v>
      </c>
      <c r="E134">
        <v>0.19959678380840021</v>
      </c>
      <c r="F134">
        <v>0.17955690372339908</v>
      </c>
    </row>
    <row r="135" spans="1:6">
      <c r="A135">
        <v>1.9949999999999999</v>
      </c>
      <c r="B135">
        <v>0.23340368521696359</v>
      </c>
      <c r="C135">
        <v>0.22392707051241539</v>
      </c>
      <c r="D135">
        <v>0.21039591462008694</v>
      </c>
      <c r="E135">
        <v>0.19702901553472915</v>
      </c>
      <c r="F135">
        <v>0.17735719964701802</v>
      </c>
    </row>
    <row r="136" spans="1:6">
      <c r="A136">
        <v>2.0099999999999998</v>
      </c>
      <c r="B136">
        <v>0.23011101694470318</v>
      </c>
      <c r="C136">
        <v>0.22085098643677598</v>
      </c>
      <c r="D136">
        <v>0.20760941680716458</v>
      </c>
      <c r="E136">
        <v>0.19450837886288747</v>
      </c>
      <c r="F136">
        <v>0.17519607827162892</v>
      </c>
    </row>
    <row r="137" spans="1:6">
      <c r="A137">
        <v>2.0249999999999999</v>
      </c>
      <c r="B137">
        <v>0.2268859481523659</v>
      </c>
      <c r="C137">
        <v>0.21783589376179996</v>
      </c>
      <c r="D137">
        <v>0.20487578900699754</v>
      </c>
      <c r="E137">
        <v>0.19203380921767138</v>
      </c>
      <c r="F137">
        <v>0.17307269998063765</v>
      </c>
    </row>
    <row r="138" spans="1:6">
      <c r="A138">
        <v>2.04</v>
      </c>
      <c r="B138">
        <v>0.22372671453551096</v>
      </c>
      <c r="C138">
        <v>0.21488027699544412</v>
      </c>
      <c r="D138">
        <v>0.20219378943730484</v>
      </c>
      <c r="E138">
        <v>0.18960426805221392</v>
      </c>
      <c r="F138">
        <v>0.17098624541796822</v>
      </c>
    </row>
    <row r="139" spans="1:6">
      <c r="A139">
        <v>2.0549999999999997</v>
      </c>
      <c r="B139">
        <v>0.22063160479145907</v>
      </c>
      <c r="C139">
        <v>0.21198266276408628</v>
      </c>
      <c r="D139">
        <v>0.19956220817839829</v>
      </c>
      <c r="E139">
        <v>0.18721874230998115</v>
      </c>
      <c r="F139">
        <v>0.16893591502963981</v>
      </c>
    </row>
    <row r="140" spans="1:6">
      <c r="A140">
        <v>2.0699999999999998</v>
      </c>
      <c r="B140">
        <v>0.21759895900869067</v>
      </c>
      <c r="C140">
        <v>0.20914161872282649</v>
      </c>
      <c r="D140">
        <v>0.1969798664661942</v>
      </c>
      <c r="E140">
        <v>0.18487624388337537</v>
      </c>
      <c r="F140">
        <v>0.16692092860947383</v>
      </c>
    </row>
    <row r="141" spans="1:6">
      <c r="A141">
        <v>2.085</v>
      </c>
      <c r="B141">
        <v>0.21462716708860333</v>
      </c>
      <c r="C141">
        <v>0.20635575247311549</v>
      </c>
      <c r="D141">
        <v>0.19444561598237489</v>
      </c>
      <c r="E141">
        <v>0.18257580907080326</v>
      </c>
      <c r="F141">
        <v>0.16494052484958902</v>
      </c>
    </row>
    <row r="142" spans="1:6">
      <c r="A142">
        <v>2.1</v>
      </c>
      <c r="B142">
        <v>0.21171466720162171</v>
      </c>
      <c r="C142">
        <v>0.20362371049066647</v>
      </c>
      <c r="D142">
        <v>0.19195833814422772</v>
      </c>
      <c r="E142">
        <v>0.1803164980338566</v>
      </c>
      <c r="F142">
        <v>0.16299396089625764</v>
      </c>
    </row>
    <row r="143" spans="1:6">
      <c r="A143">
        <v>2.1149999999999998</v>
      </c>
      <c r="B143">
        <v>0.20885994427919555</v>
      </c>
      <c r="C143">
        <v>0.20094417706615919</v>
      </c>
      <c r="D143">
        <v>0.1895169433963759</v>
      </c>
      <c r="E143">
        <v>0.17809739425606166</v>
      </c>
      <c r="F143">
        <v>0.16108051191162243</v>
      </c>
    </row>
    <row r="144" spans="1:6">
      <c r="A144">
        <v>2.13</v>
      </c>
      <c r="B144">
        <v>0.20606152854282189</v>
      </c>
      <c r="C144">
        <v>0.19831587326085151</v>
      </c>
      <c r="D144">
        <v>0.18712037050633482</v>
      </c>
      <c r="E144">
        <v>0.17591760400448328</v>
      </c>
      <c r="F144">
        <v>0.15919947064170278</v>
      </c>
    </row>
    <row r="145" spans="1:6">
      <c r="A145">
        <v>2.145</v>
      </c>
      <c r="B145">
        <v>0.20331799407088946</v>
      </c>
      <c r="C145">
        <v>0.19573755587886379</v>
      </c>
      <c r="D145">
        <v>0.18476758586557401</v>
      </c>
      <c r="E145">
        <v>0.17377625579530981</v>
      </c>
      <c r="F145">
        <v>0.15735014699105787</v>
      </c>
    </row>
    <row r="146" spans="1:6">
      <c r="A146">
        <v>2.16</v>
      </c>
      <c r="B146">
        <v>0.20062795740384831</v>
      </c>
      <c r="C146">
        <v>0.19320801645759592</v>
      </c>
      <c r="D146">
        <v>0.18245758279753718</v>
      </c>
      <c r="E146">
        <v>0.17167249986440528</v>
      </c>
      <c r="F146">
        <v>0.15553186760441626</v>
      </c>
    </row>
    <row r="147" spans="1:6">
      <c r="A147">
        <v>2.1749999999999998</v>
      </c>
      <c r="B147">
        <v>0.19799007618795889</v>
      </c>
      <c r="C147">
        <v>0.19072608027746579</v>
      </c>
      <c r="D147">
        <v>0.18018938087387193</v>
      </c>
      <c r="E147">
        <v>0.16960550764368543</v>
      </c>
      <c r="F147">
        <v>0.1537439754555307</v>
      </c>
    </row>
    <row r="148" spans="1:6">
      <c r="A148">
        <v>2.19</v>
      </c>
      <c r="B148">
        <v>0.19540304785766127</v>
      </c>
      <c r="C148">
        <v>0.18829060539192202</v>
      </c>
      <c r="D148">
        <v>0.17796202523993543</v>
      </c>
      <c r="E148">
        <v>0.1675744712440595</v>
      </c>
      <c r="F148">
        <v>0.15198582944347033</v>
      </c>
    </row>
    <row r="149" spans="1:6">
      <c r="A149">
        <v>2.2050000000000001</v>
      </c>
      <c r="B149">
        <v>0.19286560835642583</v>
      </c>
      <c r="C149">
        <v>0.18590048167847589</v>
      </c>
      <c r="D149">
        <v>0.17577458595048387</v>
      </c>
      <c r="E149">
        <v>0.16557860294557517</v>
      </c>
      <c r="F149">
        <v>0.15025680399652069</v>
      </c>
    </row>
    <row r="150" spans="1:6">
      <c r="A150">
        <v>2.2199999999999998</v>
      </c>
      <c r="B150">
        <v>0.19037653089579071</v>
      </c>
      <c r="C150">
        <v>0.18355462991131258</v>
      </c>
      <c r="D150">
        <v>0.17362615731630376</v>
      </c>
      <c r="E150">
        <v>0.16361713469530698</v>
      </c>
      <c r="F150">
        <v>0.14855628868382265</v>
      </c>
    </row>
    <row r="151" spans="1:6">
      <c r="A151">
        <v>2.2349999999999999</v>
      </c>
      <c r="B151">
        <v>0.18793462475216816</v>
      </c>
      <c r="C151">
        <v>0.18125200085588719</v>
      </c>
      <c r="D151">
        <v>0.17151585726241644</v>
      </c>
      <c r="E151">
        <v>0.16168931761344787</v>
      </c>
      <c r="F151">
        <v>0.1468836878348492</v>
      </c>
    </row>
    <row r="152" spans="1:6">
      <c r="A152">
        <v>2.25</v>
      </c>
      <c r="B152">
        <v>0.18553873410089136</v>
      </c>
      <c r="C152">
        <v>0.17899157438576938</v>
      </c>
      <c r="D152">
        <v>0.1694428266983716</v>
      </c>
      <c r="E152">
        <v>0.15979442150798406</v>
      </c>
      <c r="F152">
        <v>0.14523842016678773</v>
      </c>
    </row>
    <row r="153" spans="1:6">
      <c r="A153">
        <v>2.2650000000000001</v>
      </c>
      <c r="B153">
        <v>0.18318773688688789</v>
      </c>
      <c r="C153">
        <v>0.17677235862188009</v>
      </c>
      <c r="D153">
        <v>0.16740622890104068</v>
      </c>
      <c r="E153">
        <v>0.15793173439826538</v>
      </c>
      <c r="F153">
        <v>0.14361991841986638</v>
      </c>
    </row>
    <row r="154" spans="1:6">
      <c r="A154">
        <v>2.2799999999999998</v>
      </c>
      <c r="B154">
        <v>0.1808805437312925</v>
      </c>
      <c r="C154">
        <v>0.17459338909416119</v>
      </c>
      <c r="D154">
        <v>0.16540524891023292</v>
      </c>
      <c r="E154">
        <v>0.15610056204772266</v>
      </c>
      <c r="F154">
        <v>0.14202762900064125</v>
      </c>
    </row>
    <row r="155" spans="1:6">
      <c r="A155">
        <v>2.2949999999999999</v>
      </c>
      <c r="B155">
        <v>0.17861609687325647</v>
      </c>
      <c r="C155">
        <v>0.17245372792562699</v>
      </c>
      <c r="D155">
        <v>0.16343909293737377</v>
      </c>
      <c r="E155">
        <v>0.15430022750592798</v>
      </c>
      <c r="F155">
        <v>0.14046101163323715</v>
      </c>
    </row>
    <row r="156" spans="1:6">
      <c r="A156">
        <v>2.31</v>
      </c>
      <c r="B156">
        <v>0.17639336914616288</v>
      </c>
      <c r="C156">
        <v>0.17035246303867091</v>
      </c>
      <c r="D156">
        <v>0.16150698778741479</v>
      </c>
      <c r="E156">
        <v>0.15253007066014479</v>
      </c>
      <c r="F156">
        <v>0.13891953901851614</v>
      </c>
    </row>
    <row r="157" spans="1:6">
      <c r="A157">
        <v>2.3249999999999997</v>
      </c>
      <c r="B157">
        <v>0.17421136298742435</v>
      </c>
      <c r="C157">
        <v>0.1682887073834326</v>
      </c>
      <c r="D157">
        <v>0.15960818029408153</v>
      </c>
      <c r="E157">
        <v>0.15078944779647055</v>
      </c>
      <c r="F157">
        <v>0.13740269650113041</v>
      </c>
    </row>
    <row r="158" spans="1:6">
      <c r="A158">
        <v>2.34</v>
      </c>
      <c r="B158">
        <v>0.17206910948101217</v>
      </c>
      <c r="C158">
        <v>0.16626159818797503</v>
      </c>
      <c r="D158">
        <v>0.15774193676850901</v>
      </c>
      <c r="E158">
        <v>0.14907773117063583</v>
      </c>
      <c r="F158">
        <v>0.13590998174440111</v>
      </c>
    </row>
    <row r="159" spans="1:6">
      <c r="A159">
        <v>2.355</v>
      </c>
      <c r="B159">
        <v>0.16996566743184954</v>
      </c>
      <c r="C159">
        <v>0.16427029622997485</v>
      </c>
      <c r="D159">
        <v>0.15590754246126776</v>
      </c>
      <c r="E159">
        <v>0.14739430858849004</v>
      </c>
      <c r="F159">
        <v>0.13444090441295087</v>
      </c>
    </row>
    <row r="160" spans="1:6">
      <c r="A160">
        <v>2.37</v>
      </c>
      <c r="B160">
        <v>0.16790012247118885</v>
      </c>
      <c r="C160">
        <v>0.16231398512958714</v>
      </c>
      <c r="D160">
        <v>0.1541043010377392</v>
      </c>
      <c r="E160">
        <v>0.14573858299617129</v>
      </c>
      <c r="F160">
        <v>0.1329949858630069</v>
      </c>
    </row>
    <row r="161" spans="1:6">
      <c r="A161">
        <v>2.3849999999999998</v>
      </c>
      <c r="B161">
        <v>0.165871586192088</v>
      </c>
      <c r="C161">
        <v>0.16039187066311414</v>
      </c>
      <c r="D161">
        <v>0.15233153406676186</v>
      </c>
      <c r="E161">
        <v>0.14410997207993267</v>
      </c>
      <c r="F161">
        <v>0.13157175884027952</v>
      </c>
    </row>
    <row r="162" spans="1:6">
      <c r="A162">
        <v>2.4</v>
      </c>
      <c r="B162">
        <v>0.16387919531410036</v>
      </c>
      <c r="C162">
        <v>0.15850318009707992</v>
      </c>
      <c r="D162">
        <v>0.15058858052243959</v>
      </c>
      <c r="E162">
        <v>0.14250790787557269</v>
      </c>
      <c r="F162">
        <v>0.13017076718531465</v>
      </c>
    </row>
    <row r="163" spans="1:6">
      <c r="A163">
        <v>2.415</v>
      </c>
      <c r="B163">
        <v>0.1619221108762966</v>
      </c>
      <c r="C163">
        <v>0.15664716154229155</v>
      </c>
      <c r="D163">
        <v>0.14887479629897327</v>
      </c>
      <c r="E163">
        <v>0.14093183638739692</v>
      </c>
      <c r="F163">
        <v>0.12879156554620871</v>
      </c>
    </row>
    <row r="164" spans="1:6">
      <c r="A164">
        <v>2.4299999999999997</v>
      </c>
      <c r="B164">
        <v>0.15999951745774266</v>
      </c>
      <c r="C164">
        <v>0.15482308332744948</v>
      </c>
      <c r="D164">
        <v>0.14718955373835407</v>
      </c>
      <c r="E164">
        <v>0.139381217216619</v>
      </c>
      <c r="F164">
        <v>0.12743371909856971</v>
      </c>
    </row>
    <row r="165" spans="1:6">
      <c r="A165">
        <v>2.4449999999999998</v>
      </c>
      <c r="B165">
        <v>0.15811062242456914</v>
      </c>
      <c r="C165">
        <v>0.15303023339185676</v>
      </c>
      <c r="D165">
        <v>0.14553224117073643</v>
      </c>
      <c r="E165">
        <v>0.13785552319909455</v>
      </c>
      <c r="F165">
        <v>0.12609680327260148</v>
      </c>
    </row>
    <row r="166" spans="1:6">
      <c r="A166">
        <v>2.46</v>
      </c>
      <c r="B166">
        <v>0.15625465520278015</v>
      </c>
      <c r="C166">
        <v>0.15126791869676842</v>
      </c>
      <c r="D166">
        <v>0.14390226246729174</v>
      </c>
      <c r="E166">
        <v>0.13635424005226718</v>
      </c>
      <c r="F166">
        <v>0.12478040348718469</v>
      </c>
    </row>
    <row r="167" spans="1:6">
      <c r="A167">
        <v>2.4750000000000001</v>
      </c>
      <c r="B167">
        <v>0.15443086657596297</v>
      </c>
      <c r="C167">
        <v>0.14953546465491366</v>
      </c>
      <c r="D167">
        <v>0.14229903660532842</v>
      </c>
      <c r="E167">
        <v>0.13487686603119373</v>
      </c>
      <c r="F167">
        <v>0.12348411489082387</v>
      </c>
    </row>
    <row r="168" spans="1:6">
      <c r="A168">
        <v>2.4899999999999998</v>
      </c>
      <c r="B168">
        <v>0.1526385280070767</v>
      </c>
      <c r="C168">
        <v>0.14783221457772142</v>
      </c>
      <c r="D168">
        <v>0.14072199724545312</v>
      </c>
      <c r="E168">
        <v>0.13342291159350708</v>
      </c>
      <c r="F168">
        <v>0.12220754210932634</v>
      </c>
    </row>
    <row r="169" spans="1:6">
      <c r="A169">
        <v>2.5049999999999999</v>
      </c>
      <c r="B169">
        <v>0.15087693098351562</v>
      </c>
      <c r="C169">
        <v>0.14615752913977764</v>
      </c>
      <c r="D169">
        <v>0.13917059232053747</v>
      </c>
      <c r="E169">
        <v>0.13199189907316489</v>
      </c>
      <c r="F169">
        <v>0.12095029900007782</v>
      </c>
    </row>
    <row r="170" spans="1:6">
      <c r="A170">
        <v>2.52</v>
      </c>
      <c r="B170">
        <v>0.14914538638466193</v>
      </c>
      <c r="C170">
        <v>0.14451078586004346</v>
      </c>
      <c r="D170">
        <v>0.13764428363624803</v>
      </c>
      <c r="E170">
        <v>0.13058336236282803</v>
      </c>
      <c r="F170">
        <v>0.11971200841277711</v>
      </c>
    </row>
    <row r="171" spans="1:6">
      <c r="A171">
        <v>2.5349999999999997</v>
      </c>
      <c r="B171">
        <v>0.14744322387116038</v>
      </c>
      <c r="C171">
        <v>0.14289137859936527</v>
      </c>
      <c r="D171">
        <v>0.1361425464828897</v>
      </c>
      <c r="E171">
        <v>0.12919684660470368</v>
      </c>
      <c r="F171">
        <v>0.11849230195649094</v>
      </c>
    </row>
    <row r="172" spans="1:6">
      <c r="A172">
        <v>2.5499999999999998</v>
      </c>
      <c r="B172">
        <v>0.14576979129516857</v>
      </c>
      <c r="C172">
        <v>0.14129871707381195</v>
      </c>
      <c r="D172">
        <v>0.13466486925830937</v>
      </c>
      <c r="E172">
        <v>0.12783190788968682</v>
      </c>
      <c r="F172">
        <v>0.11729081977288955</v>
      </c>
    </row>
    <row r="173" spans="1:6">
      <c r="A173">
        <v>2.5649999999999999</v>
      </c>
      <c r="B173">
        <v>0.14412445413085745</v>
      </c>
      <c r="C173">
        <v>0.13973222638337934</v>
      </c>
      <c r="D173">
        <v>0.13321075310160396</v>
      </c>
      <c r="E173">
        <v>0.12648811296462778</v>
      </c>
      <c r="F173">
        <v>0.1161072103155245</v>
      </c>
    </row>
    <row r="174" spans="1:6">
      <c r="A174">
        <v>2.58</v>
      </c>
      <c r="B174">
        <v>0.1425065949244548</v>
      </c>
      <c r="C174">
        <v>0.13819134655560786</v>
      </c>
      <c r="D174">
        <v>0.13177971153737428</v>
      </c>
      <c r="E174">
        <v>0.12516503894755221</v>
      </c>
      <c r="F174">
        <v>0.11494113013500819</v>
      </c>
    </row>
    <row r="175" spans="1:6">
      <c r="A175">
        <v>2.5949999999999998</v>
      </c>
      <c r="B175">
        <v>0.14091561276314812</v>
      </c>
      <c r="C175">
        <v>0.13667553210366698</v>
      </c>
      <c r="D175">
        <v>0.1303712701302655</v>
      </c>
      <c r="E175">
        <v>0.12386227305065789</v>
      </c>
      <c r="F175">
        <v>0.11379224366995717</v>
      </c>
    </row>
    <row r="176" spans="1:6">
      <c r="A176">
        <v>2.61</v>
      </c>
      <c r="B176">
        <v>0.1393509227621815</v>
      </c>
      <c r="C176">
        <v>0.13518425159846681</v>
      </c>
      <c r="D176">
        <v>0.12898496614953597</v>
      </c>
      <c r="E176">
        <v>0.12257941231091103</v>
      </c>
      <c r="F176">
        <v>0.11266022304356108</v>
      </c>
    </row>
    <row r="177" spans="1:6">
      <c r="A177">
        <v>2.625</v>
      </c>
      <c r="B177">
        <v>0.13781195556950418</v>
      </c>
      <c r="C177">
        <v>0.13371698725436681</v>
      </c>
      <c r="D177">
        <v>0.12762034824339635</v>
      </c>
      <c r="E177">
        <v>0.12131606332806563</v>
      </c>
      <c r="F177">
        <v>0.11154474786564055</v>
      </c>
    </row>
    <row r="178" spans="1:6">
      <c r="A178">
        <v>2.6399999999999997</v>
      </c>
      <c r="B178">
        <v>0.13629815688734592</v>
      </c>
      <c r="C178">
        <v>0.13227323452805956</v>
      </c>
      <c r="D178">
        <v>0.1262769761228632</v>
      </c>
      <c r="E178">
        <v>0.12007184200992808</v>
      </c>
      <c r="F178">
        <v>0.11044550504005857</v>
      </c>
    </row>
    <row r="179" spans="1:6">
      <c r="A179">
        <v>2.6549999999999998</v>
      </c>
      <c r="B179">
        <v>0.13480898701011731</v>
      </c>
      <c r="C179">
        <v>0.13085250173021643</v>
      </c>
      <c r="D179">
        <v>0.12495442025487262</v>
      </c>
      <c r="E179">
        <v>0.11884637332469039</v>
      </c>
      <c r="F179">
        <v>0.1093621885773511</v>
      </c>
    </row>
    <row r="180" spans="1:6">
      <c r="A180">
        <v>2.67</v>
      </c>
      <c r="B180">
        <v>0.13334392037805187</v>
      </c>
      <c r="C180">
        <v>0.12945430964949359</v>
      </c>
      <c r="D180">
        <v>0.12365226156440431</v>
      </c>
      <c r="E180">
        <v>0.11763929106015733</v>
      </c>
      <c r="F180">
        <v>0.10829449941244548</v>
      </c>
    </row>
    <row r="181" spans="1:6">
      <c r="A181">
        <v>2.6850000000000001</v>
      </c>
      <c r="B181">
        <v>0.13190244514602545</v>
      </c>
      <c r="C181">
        <v>0.12807819118850403</v>
      </c>
      <c r="D181">
        <v>0.12237009114536712</v>
      </c>
      <c r="E181">
        <v>0.11645023758969282</v>
      </c>
      <c r="F181">
        <v>0.10724214522733569</v>
      </c>
    </row>
    <row r="182" spans="1:6">
      <c r="A182">
        <v>2.6999999999999997</v>
      </c>
      <c r="B182">
        <v>0.13048406276700966</v>
      </c>
      <c r="C182">
        <v>0.1267236910113726</v>
      </c>
      <c r="D182">
        <v>0.12110750998000297</v>
      </c>
      <c r="E182">
        <v>0.11527886364471338</v>
      </c>
      <c r="F182">
        <v>0.1062048402785863</v>
      </c>
    </row>
    <row r="183" spans="1:6">
      <c r="A183">
        <v>2.7149999999999999</v>
      </c>
      <c r="B183">
        <v>0.12908828758963251</v>
      </c>
      <c r="C183">
        <v>0.12539036520250124</v>
      </c>
      <c r="D183">
        <v>0.11986412866656895</v>
      </c>
      <c r="E183">
        <v>0.11412482809355859</v>
      </c>
      <c r="F183">
        <v>0.10518230522953927</v>
      </c>
    </row>
    <row r="184" spans="1:6">
      <c r="A184">
        <v>2.73</v>
      </c>
      <c r="B184">
        <v>0.12771464646934005</v>
      </c>
      <c r="C184">
        <v>0.12407778093618187</v>
      </c>
      <c r="D184">
        <v>0.11863956715506244</v>
      </c>
      <c r="E184">
        <v>0.11298779772657085</v>
      </c>
      <c r="F184">
        <v>0.10417426698709946</v>
      </c>
    </row>
    <row r="185" spans="1:6">
      <c r="A185">
        <v>2.7450000000000001</v>
      </c>
      <c r="B185">
        <v>0.12636267839266843</v>
      </c>
      <c r="C185">
        <v>0.1227855161567024</v>
      </c>
      <c r="D185">
        <v>0.11743345449075737</v>
      </c>
      <c r="E185">
        <v>0.11186744704721846</v>
      </c>
      <c r="F185">
        <v>0.10318045854297693</v>
      </c>
    </row>
    <row r="186" spans="1:6">
      <c r="A186">
        <v>2.76</v>
      </c>
      <c r="B186">
        <v>0.12503193411415478</v>
      </c>
      <c r="C186">
        <v>0.1215131592686049</v>
      </c>
      <c r="D186">
        <v>0.11624542856532603</v>
      </c>
      <c r="E186">
        <v>0.11076345806910017</v>
      </c>
      <c r="F186">
        <v>0.10220061881926737</v>
      </c>
    </row>
    <row r="187" spans="1:6">
      <c r="A187">
        <v>2.7749999999999999</v>
      </c>
      <c r="B187">
        <v>0.12372197580543126</v>
      </c>
      <c r="C187">
        <v>0.12026030883676167</v>
      </c>
      <c r="D187">
        <v>0.11507513587532406</v>
      </c>
      <c r="E187">
        <v>0.10967552011867021</v>
      </c>
      <c r="F187">
        <v>0.10123449251825282</v>
      </c>
    </row>
    <row r="188" spans="1:6">
      <c r="A188">
        <v>2.79</v>
      </c>
      <c r="B188">
        <v>0.1224323767160642</v>
      </c>
      <c r="C188">
        <v>0.11902657329594707</v>
      </c>
      <c r="D188">
        <v>0.11392223128782304</v>
      </c>
      <c r="E188">
        <v>0.1086033296435286</v>
      </c>
      <c r="F188">
        <v>0.10028182997630951</v>
      </c>
    </row>
    <row r="189" spans="1:6">
      <c r="A189">
        <v>2.8049999999999997</v>
      </c>
      <c r="B189">
        <v>0.12116272084571392</v>
      </c>
      <c r="C189">
        <v>0.11781157066959148</v>
      </c>
      <c r="D189">
        <v>0.11278637781297782</v>
      </c>
      <c r="E189">
        <v>0.10754659002612098</v>
      </c>
      <c r="F189">
        <v>9.9342387021809572E-2</v>
      </c>
    </row>
    <row r="190" spans="1:6">
      <c r="A190">
        <v>2.82</v>
      </c>
      <c r="B190">
        <v>0.11991260262720872</v>
      </c>
      <c r="C190">
        <v>0.11661492829741343</v>
      </c>
      <c r="D190">
        <v>0.11166724638332289</v>
      </c>
      <c r="E190">
        <v>0.10650501140269898</v>
      </c>
      <c r="F190">
        <v>9.8415924836907753E-2</v>
      </c>
    </row>
    <row r="191" spans="1:6">
      <c r="A191">
        <v>2.835</v>
      </c>
      <c r="B191">
        <v>0.11868162662014047</v>
      </c>
      <c r="C191">
        <v>0.11543628257163696</v>
      </c>
      <c r="D191">
        <v>0.11056451563959617</v>
      </c>
      <c r="E191">
        <v>0.10547831048739287</v>
      </c>
      <c r="F191">
        <v>9.7502209823106242E-2</v>
      </c>
    </row>
    <row r="192" spans="1:6">
      <c r="A192">
        <v>2.85</v>
      </c>
      <c r="B192">
        <v>0.1174694072146024</v>
      </c>
      <c r="C192">
        <v>0.11427527868150765</v>
      </c>
      <c r="D192">
        <v>0.1094778717228936</v>
      </c>
      <c r="E192">
        <v>0.10446621040125233</v>
      </c>
      <c r="F192">
        <v>9.6601013470492755E-2</v>
      </c>
    </row>
    <row r="193" spans="1:6">
      <c r="A193">
        <v>2.8649999999999998</v>
      </c>
      <c r="B193">
        <v>0.1162755683447064</v>
      </c>
      <c r="C193">
        <v>0.11313157036583274</v>
      </c>
      <c r="D193">
        <v>0.10840700807296373</v>
      </c>
      <c r="E193">
        <v>0.10346844050611489</v>
      </c>
      <c r="F193">
        <v>9.5712112230549901E-2</v>
      </c>
    </row>
    <row r="194" spans="1:6">
      <c r="A194">
        <v>2.88</v>
      </c>
      <c r="B194">
        <v>0.11509974321152723</v>
      </c>
      <c r="C194">
        <v>0.11200481967327765</v>
      </c>
      <c r="D194">
        <v>0.10735162523245542</v>
      </c>
      <c r="E194">
        <v>0.10248473624316379</v>
      </c>
      <c r="F194">
        <v>9.4835287392436365E-2</v>
      </c>
    </row>
    <row r="195" spans="1:6">
      <c r="A195">
        <v>2.895</v>
      </c>
      <c r="B195">
        <v>0.11394157401513774</v>
      </c>
      <c r="C195">
        <v>0.11089469673016113</v>
      </c>
      <c r="D195">
        <v>0.10631143065693853</v>
      </c>
      <c r="E195">
        <v>0.10151483897604188</v>
      </c>
      <c r="F195">
        <v>9.3970324962642959E-2</v>
      </c>
    </row>
    <row r="196" spans="1:6">
      <c r="A196">
        <v>2.9099999999999997</v>
      </c>
      <c r="B196">
        <v>0.11280071169540844</v>
      </c>
      <c r="C196">
        <v>0.10980087951549868</v>
      </c>
      <c r="D196">
        <v>0.10528613853052031</v>
      </c>
      <c r="E196">
        <v>0.10055849583838967</v>
      </c>
      <c r="F196">
        <v>9.3117015547928436E-2</v>
      </c>
    </row>
    <row r="197" spans="1:6">
      <c r="A197">
        <v>2.9249999999999998</v>
      </c>
      <c r="B197">
        <v>0.11167681568125873</v>
      </c>
      <c r="C197">
        <v>0.10872305364305275</v>
      </c>
      <c r="D197">
        <v>0.1042754695868871</v>
      </c>
      <c r="E197">
        <v>9.9615459585680424E-2</v>
      </c>
      <c r="F197">
        <v>9.2275154241443252E-2</v>
      </c>
    </row>
    <row r="198" spans="1:6">
      <c r="A198">
        <v>2.94</v>
      </c>
      <c r="B198">
        <v>0.11056955364805922</v>
      </c>
      <c r="C198">
        <v>0.10766091215015661</v>
      </c>
      <c r="D198">
        <v>0.10327915093560472</v>
      </c>
      <c r="E198">
        <v>9.8685488451227849E-2</v>
      </c>
      <c r="F198">
        <v>9.1444540511951222E-2</v>
      </c>
    </row>
    <row r="199" spans="1:6">
      <c r="A199">
        <v>2.9550000000000001</v>
      </c>
      <c r="B199">
        <v>0.10947860128289329</v>
      </c>
      <c r="C199">
        <v>0.10661415529308514</v>
      </c>
      <c r="D199">
        <v>0.10229691589351535</v>
      </c>
      <c r="E199">
        <v>9.7768346006244802E-2</v>
      </c>
      <c r="F199">
        <v>9.062497809606132E-2</v>
      </c>
    </row>
    <row r="200" spans="1:6">
      <c r="A200">
        <v>2.9699999999999998</v>
      </c>
      <c r="B200">
        <v>0.10840364205740068</v>
      </c>
      <c r="C200">
        <v>0.10558249034875537</v>
      </c>
      <c r="D200">
        <v>0.10132850382107517</v>
      </c>
      <c r="E200">
        <v>9.6863801023835655E-2</v>
      </c>
      <c r="F200">
        <v>8.9816274893385006E-2</v>
      </c>
    </row>
    <row r="201" spans="1:6">
      <c r="A201">
        <v>2.9849999999999999</v>
      </c>
      <c r="B201">
        <v>0.10734436700793221</v>
      </c>
      <c r="C201">
        <v>0.10456563142254485</v>
      </c>
      <c r="D201">
        <v>0.10037365996347919</v>
      </c>
      <c r="E201">
        <v>9.5971627346806809E-2</v>
      </c>
      <c r="F201">
        <v>8.9018242864535246E-2</v>
      </c>
    </row>
    <row r="202" spans="1:6">
      <c r="A202">
        <v>3</v>
      </c>
      <c r="B202">
        <v>0.10630047452275891</v>
      </c>
      <c r="C202">
        <v>0.10356329926202514</v>
      </c>
      <c r="D202">
        <v>9.9432135296426361E-2</v>
      </c>
      <c r="E202">
        <v>9.5091603759184254E-2</v>
      </c>
      <c r="F202">
        <v>8.8230697931887522E-2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0]!PlotCourbesFlambementEurocod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11</xdr:col>
                    <xdr:colOff>361950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Check Box 3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0</xdr:row>
                    <xdr:rowOff>142875</xdr:rowOff>
                  </from>
                  <to>
                    <xdr:col>9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5" name="Check Box 4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133350</xdr:rowOff>
                  </from>
                  <to>
                    <xdr:col>8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Check Box 5">
              <controlPr defaultSize="0" autoFill="0" autoLine="0" autoPict="0">
                <anchor moveWithCells="1">
                  <from>
                    <xdr:col>8</xdr:col>
                    <xdr:colOff>85725</xdr:colOff>
                    <xdr:row>2</xdr:row>
                    <xdr:rowOff>171450</xdr:rowOff>
                  </from>
                  <to>
                    <xdr:col>8</xdr:col>
                    <xdr:colOff>457200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Check Box 6">
              <controlPr defaultSize="0" autoFill="0" autoLine="0" autoPict="0">
                <anchor moveWithCells="1">
                  <from>
                    <xdr:col>8</xdr:col>
                    <xdr:colOff>85725</xdr:colOff>
                    <xdr:row>3</xdr:row>
                    <xdr:rowOff>161925</xdr:rowOff>
                  </from>
                  <to>
                    <xdr:col>8</xdr:col>
                    <xdr:colOff>381000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Check Box 8">
              <controlPr defaultSize="0" autoFill="0" autoLine="0" autoPict="0">
                <anchor moveWithCells="1">
                  <from>
                    <xdr:col>8</xdr:col>
                    <xdr:colOff>85725</xdr:colOff>
                    <xdr:row>4</xdr:row>
                    <xdr:rowOff>161925</xdr:rowOff>
                  </from>
                  <to>
                    <xdr:col>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420B-F2A9-42A8-B07F-D573068B49EB}">
  <sheetPr codeName="Sheet3"/>
  <dimension ref="A1:P290"/>
  <sheetViews>
    <sheetView workbookViewId="0">
      <pane ySplit="1" topLeftCell="A181" activePane="bottomLeft" state="frozen"/>
      <selection pane="bottomLeft" activeCell="AD198" sqref="AD198"/>
    </sheetView>
  </sheetViews>
  <sheetFormatPr defaultRowHeight="15"/>
  <cols>
    <col min="1" max="2" width="12.42578125" bestFit="1" customWidth="1"/>
    <col min="3" max="3" width="12.42578125" customWidth="1"/>
    <col min="4" max="4" width="17.140625" customWidth="1"/>
    <col min="7" max="7" width="30.28515625" bestFit="1" customWidth="1"/>
    <col min="8" max="8" width="13.42578125" bestFit="1" customWidth="1"/>
  </cols>
  <sheetData>
    <row r="1" spans="1:16" ht="39.950000000000003" customHeight="1">
      <c r="A1" t="s">
        <v>952</v>
      </c>
      <c r="B1" t="s">
        <v>953</v>
      </c>
      <c r="C1" t="s">
        <v>954</v>
      </c>
      <c r="D1" t="s">
        <v>945</v>
      </c>
      <c r="E1" t="s">
        <v>922</v>
      </c>
      <c r="F1" t="s">
        <v>962</v>
      </c>
      <c r="H1" s="76" t="s">
        <v>955</v>
      </c>
      <c r="I1" s="86" t="s">
        <v>956</v>
      </c>
      <c r="J1" s="84" t="s">
        <v>957</v>
      </c>
      <c r="K1" s="84" t="s">
        <v>958</v>
      </c>
      <c r="L1" s="84" t="s">
        <v>959</v>
      </c>
      <c r="M1" s="84" t="s">
        <v>960</v>
      </c>
      <c r="N1" s="84" t="s">
        <v>961</v>
      </c>
    </row>
    <row r="2" spans="1:16" ht="21">
      <c r="A2" s="85">
        <v>1.1513392501083863</v>
      </c>
      <c r="B2" s="85">
        <v>1.0463296815800893</v>
      </c>
      <c r="C2" s="85">
        <v>1.0067908962997172</v>
      </c>
      <c r="D2" s="85">
        <v>0.35247653168269572</v>
      </c>
      <c r="E2" s="74">
        <v>0.3</v>
      </c>
      <c r="F2" s="74">
        <f>C2/(A2*B2)</f>
        <v>0.83573275569877326</v>
      </c>
      <c r="G2" s="15" t="s">
        <v>6</v>
      </c>
      <c r="H2" s="76" t="s">
        <v>37</v>
      </c>
      <c r="I2" s="76">
        <v>180</v>
      </c>
      <c r="J2" s="76">
        <f>I2</f>
        <v>180</v>
      </c>
      <c r="K2" s="76">
        <v>400</v>
      </c>
      <c r="L2" s="76">
        <v>13.5</v>
      </c>
      <c r="M2" s="76">
        <f>L2</f>
        <v>13.5</v>
      </c>
      <c r="N2" s="77">
        <v>35</v>
      </c>
      <c r="P2" s="75">
        <f>B2-C2</f>
        <v>3.9538785280372135E-2</v>
      </c>
    </row>
    <row r="3" spans="1:16" ht="21">
      <c r="A3" s="85">
        <v>1.1513392501083863</v>
      </c>
      <c r="B3" s="85">
        <v>0.99845302751654974</v>
      </c>
      <c r="C3" s="85">
        <v>0.96515006472961806</v>
      </c>
      <c r="D3" s="85">
        <v>0.35247653168269572</v>
      </c>
      <c r="E3" s="74">
        <v>0.5</v>
      </c>
      <c r="F3" s="74">
        <f t="shared" ref="F3:F66" si="0">C3/(A3*B3)</f>
        <v>0.83958350115608693</v>
      </c>
      <c r="G3" s="15" t="s">
        <v>7</v>
      </c>
      <c r="H3" s="76" t="s">
        <v>38</v>
      </c>
      <c r="I3" s="76">
        <v>180</v>
      </c>
      <c r="J3" s="76">
        <f t="shared" ref="J3:J66" si="1">I3</f>
        <v>180</v>
      </c>
      <c r="K3" s="76">
        <v>400</v>
      </c>
      <c r="L3" s="76">
        <v>13.5</v>
      </c>
      <c r="M3" s="76">
        <f t="shared" ref="M3:M49" si="2">L3</f>
        <v>13.5</v>
      </c>
      <c r="N3" s="77">
        <v>35</v>
      </c>
      <c r="P3" s="75">
        <f t="shared" ref="P3:P66" si="3">B3-C3</f>
        <v>3.3302962786931678E-2</v>
      </c>
    </row>
    <row r="4" spans="1:16" ht="21">
      <c r="A4" s="85">
        <v>1.1513392501083863</v>
      </c>
      <c r="B4" s="85">
        <v>0.88989009666088248</v>
      </c>
      <c r="C4" s="85">
        <v>0.89541064436446482</v>
      </c>
      <c r="D4" s="85">
        <v>0.35247653168269572</v>
      </c>
      <c r="E4" s="74">
        <v>0.75</v>
      </c>
      <c r="F4" s="74">
        <f t="shared" si="0"/>
        <v>0.87394191465324378</v>
      </c>
      <c r="G4" s="15" t="s">
        <v>8</v>
      </c>
      <c r="H4" s="76" t="s">
        <v>39</v>
      </c>
      <c r="I4" s="76">
        <v>180</v>
      </c>
      <c r="J4" s="76">
        <f t="shared" si="1"/>
        <v>180</v>
      </c>
      <c r="K4" s="76">
        <v>400</v>
      </c>
      <c r="L4" s="76">
        <v>13.5</v>
      </c>
      <c r="M4" s="76">
        <f t="shared" si="2"/>
        <v>13.5</v>
      </c>
      <c r="N4" s="77">
        <v>35</v>
      </c>
      <c r="P4" s="75">
        <f t="shared" si="3"/>
        <v>-5.5205477035823458E-3</v>
      </c>
    </row>
    <row r="5" spans="1:16" ht="21">
      <c r="A5" s="85">
        <v>1.1513392501083863</v>
      </c>
      <c r="B5" s="85">
        <v>0.75091788808715376</v>
      </c>
      <c r="C5" s="85">
        <v>0.75820552227174076</v>
      </c>
      <c r="D5" s="85">
        <v>0.35247653168269572</v>
      </c>
      <c r="E5" s="74">
        <v>1</v>
      </c>
      <c r="F5" s="74">
        <f t="shared" si="0"/>
        <v>0.87698301612798524</v>
      </c>
      <c r="G5" s="15" t="s">
        <v>9</v>
      </c>
      <c r="H5" s="76" t="s">
        <v>40</v>
      </c>
      <c r="I5" s="76">
        <v>180</v>
      </c>
      <c r="J5" s="76">
        <f t="shared" si="1"/>
        <v>180</v>
      </c>
      <c r="K5" s="76">
        <v>400</v>
      </c>
      <c r="L5" s="76">
        <v>13.5</v>
      </c>
      <c r="M5" s="76">
        <f t="shared" si="2"/>
        <v>13.5</v>
      </c>
      <c r="N5" s="77">
        <v>35</v>
      </c>
      <c r="P5" s="75">
        <f t="shared" si="3"/>
        <v>-7.2876341845869996E-3</v>
      </c>
    </row>
    <row r="6" spans="1:16" ht="21">
      <c r="A6" s="85">
        <v>1.1513392501083863</v>
      </c>
      <c r="B6" s="85">
        <v>0.51975871500045656</v>
      </c>
      <c r="C6" s="85">
        <v>0.52086100830288262</v>
      </c>
      <c r="D6" s="85">
        <v>0.35247653168269572</v>
      </c>
      <c r="E6" s="74">
        <v>1.33</v>
      </c>
      <c r="F6" s="74">
        <f t="shared" si="0"/>
        <v>0.87039574024754796</v>
      </c>
      <c r="G6" s="15" t="s">
        <v>10</v>
      </c>
      <c r="H6" s="76" t="s">
        <v>41</v>
      </c>
      <c r="I6" s="76">
        <v>180</v>
      </c>
      <c r="J6" s="76">
        <f t="shared" si="1"/>
        <v>180</v>
      </c>
      <c r="K6" s="76">
        <v>400</v>
      </c>
      <c r="L6" s="76">
        <v>13.5</v>
      </c>
      <c r="M6" s="76">
        <f t="shared" si="2"/>
        <v>13.5</v>
      </c>
      <c r="N6" s="77">
        <v>35</v>
      </c>
      <c r="P6" s="75">
        <f t="shared" si="3"/>
        <v>-1.1022933024260606E-3</v>
      </c>
    </row>
    <row r="7" spans="1:16" ht="21">
      <c r="A7" s="85">
        <v>1.1513392501083863</v>
      </c>
      <c r="B7" s="85">
        <v>0.34917267356870507</v>
      </c>
      <c r="C7" s="85">
        <v>0.34823805558162985</v>
      </c>
      <c r="D7" s="85">
        <v>0.35247653168269572</v>
      </c>
      <c r="E7" s="74">
        <v>1.67</v>
      </c>
      <c r="F7" s="74">
        <f t="shared" si="0"/>
        <v>0.8662289031913859</v>
      </c>
      <c r="G7" s="15" t="s">
        <v>11</v>
      </c>
      <c r="H7" s="76" t="s">
        <v>42</v>
      </c>
      <c r="I7" s="76">
        <v>180</v>
      </c>
      <c r="J7" s="76">
        <f t="shared" si="1"/>
        <v>180</v>
      </c>
      <c r="K7" s="76">
        <v>400</v>
      </c>
      <c r="L7" s="76">
        <v>13.5</v>
      </c>
      <c r="M7" s="76">
        <f t="shared" si="2"/>
        <v>13.5</v>
      </c>
      <c r="N7" s="77">
        <v>35</v>
      </c>
      <c r="P7" s="75">
        <f t="shared" si="3"/>
        <v>9.3461798707522581E-4</v>
      </c>
    </row>
    <row r="8" spans="1:16" ht="21">
      <c r="A8" s="85">
        <v>1.1513392501083863</v>
      </c>
      <c r="B8" s="85">
        <v>0.2490035367900556</v>
      </c>
      <c r="C8" s="85">
        <v>0.24788024543680795</v>
      </c>
      <c r="D8" s="85">
        <v>0.35247653168269572</v>
      </c>
      <c r="E8" s="74">
        <v>2</v>
      </c>
      <c r="F8" s="74">
        <f t="shared" si="0"/>
        <v>0.86463555700762518</v>
      </c>
      <c r="G8" s="15" t="s">
        <v>12</v>
      </c>
      <c r="H8" s="76" t="s">
        <v>43</v>
      </c>
      <c r="I8" s="76">
        <v>180</v>
      </c>
      <c r="J8" s="76">
        <f t="shared" si="1"/>
        <v>180</v>
      </c>
      <c r="K8" s="76">
        <v>400</v>
      </c>
      <c r="L8" s="76">
        <v>13.5</v>
      </c>
      <c r="M8" s="76">
        <f t="shared" si="2"/>
        <v>13.5</v>
      </c>
      <c r="N8" s="77">
        <v>35</v>
      </c>
      <c r="P8" s="75">
        <f t="shared" si="3"/>
        <v>1.1232913532476518E-3</v>
      </c>
    </row>
    <row r="9" spans="1:16" ht="21">
      <c r="A9" s="85">
        <v>1.1513392501083863</v>
      </c>
      <c r="B9" s="85">
        <v>0.16165743229309559</v>
      </c>
      <c r="C9" s="85">
        <v>0.16028394513750838</v>
      </c>
      <c r="D9" s="85">
        <v>0.35247653168269572</v>
      </c>
      <c r="E9" s="74">
        <v>2.5</v>
      </c>
      <c r="F9" s="74">
        <f t="shared" si="0"/>
        <v>0.8611742522994239</v>
      </c>
      <c r="G9" s="15" t="s">
        <v>13</v>
      </c>
      <c r="H9" s="76" t="s">
        <v>44</v>
      </c>
      <c r="I9" s="76">
        <v>180</v>
      </c>
      <c r="J9" s="76">
        <f t="shared" si="1"/>
        <v>180</v>
      </c>
      <c r="K9" s="76">
        <v>400</v>
      </c>
      <c r="L9" s="76">
        <v>13.5</v>
      </c>
      <c r="M9" s="76">
        <f t="shared" si="2"/>
        <v>13.5</v>
      </c>
      <c r="N9" s="77">
        <v>35</v>
      </c>
      <c r="P9" s="75">
        <f t="shared" si="3"/>
        <v>1.3734871555872163E-3</v>
      </c>
    </row>
    <row r="10" spans="1:16" ht="21">
      <c r="A10" s="75">
        <v>1.0326179569210958</v>
      </c>
      <c r="B10" s="75">
        <v>1.0487757710398216</v>
      </c>
      <c r="C10" s="75">
        <v>1.0015570241741261</v>
      </c>
      <c r="D10" s="75">
        <v>0.50090177114795964</v>
      </c>
      <c r="E10">
        <v>0.3</v>
      </c>
      <c r="F10">
        <f t="shared" si="0"/>
        <v>0.92481179998245888</v>
      </c>
      <c r="G10" s="15" t="s">
        <v>14</v>
      </c>
      <c r="H10" s="76" t="s">
        <v>45</v>
      </c>
      <c r="I10" s="76">
        <v>180</v>
      </c>
      <c r="J10" s="76">
        <f>I10</f>
        <v>180</v>
      </c>
      <c r="K10" s="76">
        <v>400</v>
      </c>
      <c r="L10" s="76">
        <v>13.5</v>
      </c>
      <c r="M10" s="76">
        <f>L10</f>
        <v>13.5</v>
      </c>
      <c r="N10" s="78">
        <v>24</v>
      </c>
      <c r="P10" s="75">
        <f t="shared" si="3"/>
        <v>4.7218746865695493E-2</v>
      </c>
    </row>
    <row r="11" spans="1:16" ht="21">
      <c r="A11" s="75">
        <v>1.0326179569210958</v>
      </c>
      <c r="B11" s="75">
        <v>0.99093595607241802</v>
      </c>
      <c r="C11" s="75">
        <v>0.95651061094233814</v>
      </c>
      <c r="D11" s="75">
        <v>0.50090177114795964</v>
      </c>
      <c r="E11">
        <v>0.5</v>
      </c>
      <c r="F11">
        <f t="shared" si="0"/>
        <v>0.93476949670524334</v>
      </c>
      <c r="G11" s="15" t="s">
        <v>15</v>
      </c>
      <c r="H11" s="76" t="s">
        <v>46</v>
      </c>
      <c r="I11" s="76">
        <v>180</v>
      </c>
      <c r="J11" s="76">
        <f t="shared" si="1"/>
        <v>180</v>
      </c>
      <c r="K11" s="76">
        <v>400</v>
      </c>
      <c r="L11" s="76">
        <v>13.5</v>
      </c>
      <c r="M11" s="76">
        <f t="shared" si="2"/>
        <v>13.5</v>
      </c>
      <c r="N11" s="78">
        <v>24</v>
      </c>
      <c r="P11" s="75">
        <f t="shared" si="3"/>
        <v>3.4425345130079887E-2</v>
      </c>
    </row>
    <row r="12" spans="1:16" ht="21">
      <c r="A12" s="75">
        <v>1.0326179569210958</v>
      </c>
      <c r="B12" s="75">
        <v>0.88146660481309747</v>
      </c>
      <c r="C12" s="75">
        <v>0.88305777487985138</v>
      </c>
      <c r="D12" s="75">
        <v>0.50090177114795964</v>
      </c>
      <c r="E12">
        <v>0.75</v>
      </c>
      <c r="F12">
        <f t="shared" si="0"/>
        <v>0.97016048641206398</v>
      </c>
      <c r="G12" s="15" t="s">
        <v>133</v>
      </c>
      <c r="H12" s="76" t="s">
        <v>47</v>
      </c>
      <c r="I12" s="76">
        <v>180</v>
      </c>
      <c r="J12" s="76">
        <f t="shared" si="1"/>
        <v>180</v>
      </c>
      <c r="K12" s="76">
        <v>400</v>
      </c>
      <c r="L12" s="76">
        <v>13.5</v>
      </c>
      <c r="M12" s="76">
        <f t="shared" si="2"/>
        <v>13.5</v>
      </c>
      <c r="N12" s="78">
        <v>24</v>
      </c>
      <c r="P12" s="75">
        <f t="shared" si="3"/>
        <v>-1.5911700667539108E-3</v>
      </c>
    </row>
    <row r="13" spans="1:16" ht="21">
      <c r="A13" s="75">
        <v>1.0326179569210958</v>
      </c>
      <c r="B13" s="75">
        <v>0.74657677830827429</v>
      </c>
      <c r="C13" s="75">
        <v>0.75206410150780345</v>
      </c>
      <c r="D13" s="75">
        <v>0.50090177114795964</v>
      </c>
      <c r="E13">
        <v>1</v>
      </c>
      <c r="F13">
        <f t="shared" si="0"/>
        <v>0.9755301771143805</v>
      </c>
      <c r="G13" s="15" t="s">
        <v>134</v>
      </c>
      <c r="H13" s="76" t="s">
        <v>48</v>
      </c>
      <c r="I13" s="76">
        <v>180</v>
      </c>
      <c r="J13" s="76">
        <f t="shared" si="1"/>
        <v>180</v>
      </c>
      <c r="K13" s="76">
        <v>400</v>
      </c>
      <c r="L13" s="76">
        <v>13.5</v>
      </c>
      <c r="M13" s="76">
        <f t="shared" si="2"/>
        <v>13.5</v>
      </c>
      <c r="N13" s="78">
        <v>24</v>
      </c>
      <c r="P13" s="75">
        <f t="shared" si="3"/>
        <v>-5.4873231995291594E-3</v>
      </c>
    </row>
    <row r="14" spans="1:16" ht="21">
      <c r="A14" s="75">
        <v>1.0326179569210958</v>
      </c>
      <c r="B14" s="75">
        <v>0.51787997704988276</v>
      </c>
      <c r="C14" s="75">
        <v>0.51755412839560466</v>
      </c>
      <c r="D14" s="75">
        <v>0.50090177114795964</v>
      </c>
      <c r="E14">
        <v>1.33</v>
      </c>
      <c r="F14">
        <f t="shared" si="0"/>
        <v>0.96780304473474543</v>
      </c>
      <c r="G14" s="15" t="s">
        <v>135</v>
      </c>
      <c r="H14" s="76" t="s">
        <v>49</v>
      </c>
      <c r="I14" s="76">
        <v>180</v>
      </c>
      <c r="J14" s="76">
        <f t="shared" si="1"/>
        <v>180</v>
      </c>
      <c r="K14" s="76">
        <v>400</v>
      </c>
      <c r="L14" s="76">
        <v>13.5</v>
      </c>
      <c r="M14" s="76">
        <f t="shared" si="2"/>
        <v>13.5</v>
      </c>
      <c r="N14" s="78">
        <v>24</v>
      </c>
      <c r="P14" s="75">
        <f t="shared" si="3"/>
        <v>3.2584865427809362E-4</v>
      </c>
    </row>
    <row r="15" spans="1:16" ht="21">
      <c r="A15" s="75">
        <v>1.0326179569210958</v>
      </c>
      <c r="B15" s="75">
        <v>0.34747550432859042</v>
      </c>
      <c r="C15" s="75">
        <v>0.34580789721458771</v>
      </c>
      <c r="D15" s="75">
        <v>0.50090177114795964</v>
      </c>
      <c r="E15">
        <v>1.67</v>
      </c>
      <c r="F15">
        <f t="shared" si="0"/>
        <v>0.96376475504348258</v>
      </c>
      <c r="G15" s="15" t="s">
        <v>136</v>
      </c>
      <c r="H15" s="76" t="s">
        <v>50</v>
      </c>
      <c r="I15" s="76">
        <v>180</v>
      </c>
      <c r="J15" s="76">
        <f t="shared" si="1"/>
        <v>180</v>
      </c>
      <c r="K15" s="76">
        <v>400</v>
      </c>
      <c r="L15" s="76">
        <v>13.5</v>
      </c>
      <c r="M15" s="76">
        <f t="shared" si="2"/>
        <v>13.5</v>
      </c>
      <c r="N15" s="78">
        <v>24</v>
      </c>
      <c r="P15" s="75">
        <f t="shared" si="3"/>
        <v>1.6676071140027116E-3</v>
      </c>
    </row>
    <row r="16" spans="1:16" ht="21">
      <c r="A16" s="75">
        <v>1.0326179569210958</v>
      </c>
      <c r="B16" s="75">
        <v>0.24759549892610452</v>
      </c>
      <c r="C16" s="75">
        <v>0.24605854039785843</v>
      </c>
      <c r="D16" s="75">
        <v>0.50090177114795964</v>
      </c>
      <c r="E16">
        <v>2</v>
      </c>
      <c r="F16">
        <f t="shared" si="0"/>
        <v>0.9624009103237704</v>
      </c>
      <c r="G16" s="15" t="s">
        <v>137</v>
      </c>
      <c r="H16" s="76" t="s">
        <v>51</v>
      </c>
      <c r="I16" s="76">
        <v>180</v>
      </c>
      <c r="J16" s="76">
        <f t="shared" si="1"/>
        <v>180</v>
      </c>
      <c r="K16" s="76">
        <v>400</v>
      </c>
      <c r="L16" s="76">
        <v>13.5</v>
      </c>
      <c r="M16" s="76">
        <f t="shared" si="2"/>
        <v>13.5</v>
      </c>
      <c r="N16" s="78">
        <v>24</v>
      </c>
      <c r="P16" s="75">
        <f t="shared" si="3"/>
        <v>1.5369585282460907E-3</v>
      </c>
    </row>
    <row r="17" spans="1:16" ht="21">
      <c r="A17" s="75">
        <v>1.0326179569210958</v>
      </c>
      <c r="B17" s="75">
        <v>0.16063857656897307</v>
      </c>
      <c r="C17" s="75">
        <v>0.15897214946893162</v>
      </c>
      <c r="D17" s="75">
        <v>0.50090177114795964</v>
      </c>
      <c r="E17">
        <v>2.5</v>
      </c>
      <c r="F17">
        <f t="shared" si="0"/>
        <v>0.95836628325951279</v>
      </c>
      <c r="G17" s="15" t="s">
        <v>138</v>
      </c>
      <c r="H17" s="76" t="s">
        <v>52</v>
      </c>
      <c r="I17" s="76">
        <v>180</v>
      </c>
      <c r="J17" s="76">
        <f t="shared" si="1"/>
        <v>180</v>
      </c>
      <c r="K17" s="76">
        <v>400</v>
      </c>
      <c r="L17" s="76">
        <v>13.5</v>
      </c>
      <c r="M17" s="76">
        <f t="shared" si="2"/>
        <v>13.5</v>
      </c>
      <c r="N17" s="78">
        <v>24</v>
      </c>
      <c r="P17" s="75">
        <f t="shared" si="3"/>
        <v>1.6664271000414455E-3</v>
      </c>
    </row>
    <row r="18" spans="1:16" ht="21">
      <c r="A18" s="85">
        <v>1.011753934997377</v>
      </c>
      <c r="B18" s="85">
        <v>1.0498659350784161</v>
      </c>
      <c r="C18" s="85">
        <v>0.99537671610458078</v>
      </c>
      <c r="D18" s="85">
        <v>0.60431763065185862</v>
      </c>
      <c r="E18" s="74">
        <v>0.3</v>
      </c>
      <c r="F18" s="74">
        <f t="shared" si="0"/>
        <v>0.93708444925492129</v>
      </c>
      <c r="G18" s="15" t="s">
        <v>139</v>
      </c>
      <c r="H18" s="76" t="s">
        <v>53</v>
      </c>
      <c r="I18" s="76">
        <v>180</v>
      </c>
      <c r="J18" s="76">
        <f>I18</f>
        <v>180</v>
      </c>
      <c r="K18" s="76">
        <v>400</v>
      </c>
      <c r="L18" s="76">
        <v>13.5</v>
      </c>
      <c r="M18" s="76">
        <f t="shared" si="2"/>
        <v>13.5</v>
      </c>
      <c r="N18" s="77">
        <v>19.3</v>
      </c>
      <c r="P18" s="75">
        <f t="shared" si="3"/>
        <v>5.4489218973835296E-2</v>
      </c>
    </row>
    <row r="19" spans="1:16" ht="21">
      <c r="A19" s="85">
        <v>1.011753934997377</v>
      </c>
      <c r="B19" s="85">
        <v>0.98857558118768551</v>
      </c>
      <c r="C19" s="85">
        <v>0.94942226065073898</v>
      </c>
      <c r="D19" s="85">
        <v>0.60431763065185862</v>
      </c>
      <c r="E19" s="74">
        <v>0.5</v>
      </c>
      <c r="F19" s="74">
        <f t="shared" si="0"/>
        <v>0.94923693703329826</v>
      </c>
      <c r="G19" s="15" t="s">
        <v>140</v>
      </c>
      <c r="H19" s="76" t="s">
        <v>54</v>
      </c>
      <c r="I19" s="76">
        <v>180</v>
      </c>
      <c r="J19" s="76">
        <f>I19</f>
        <v>180</v>
      </c>
      <c r="K19" s="76">
        <v>400</v>
      </c>
      <c r="L19" s="76">
        <v>13.5</v>
      </c>
      <c r="M19" s="76">
        <f t="shared" si="2"/>
        <v>13.5</v>
      </c>
      <c r="N19" s="77">
        <v>19.3</v>
      </c>
      <c r="P19" s="75">
        <f t="shared" si="3"/>
        <v>3.9153320536946534E-2</v>
      </c>
    </row>
    <row r="20" spans="1:16" ht="21">
      <c r="A20" s="85">
        <v>1.011753934997377</v>
      </c>
      <c r="B20" s="85">
        <v>0.86833301178389988</v>
      </c>
      <c r="C20" s="85">
        <v>0.87443612984816188</v>
      </c>
      <c r="D20" s="85">
        <v>0.60431763065185862</v>
      </c>
      <c r="E20" s="74">
        <v>0.75</v>
      </c>
      <c r="F20" s="74">
        <f t="shared" si="0"/>
        <v>0.99532950715100099</v>
      </c>
      <c r="G20" s="15" t="s">
        <v>141</v>
      </c>
      <c r="H20" s="76" t="s">
        <v>55</v>
      </c>
      <c r="I20" s="76">
        <v>180</v>
      </c>
      <c r="J20" s="76">
        <f>I20</f>
        <v>180</v>
      </c>
      <c r="K20" s="76">
        <v>400</v>
      </c>
      <c r="L20" s="76">
        <v>13.5</v>
      </c>
      <c r="M20" s="76">
        <f t="shared" si="2"/>
        <v>13.5</v>
      </c>
      <c r="N20" s="77">
        <v>19.3</v>
      </c>
      <c r="P20" s="75">
        <f t="shared" si="3"/>
        <v>-6.1031180642620031E-3</v>
      </c>
    </row>
    <row r="21" spans="1:16" ht="21">
      <c r="A21" s="85">
        <v>1.011753934997377</v>
      </c>
      <c r="B21" s="85">
        <v>0.74453272341949794</v>
      </c>
      <c r="C21" s="85">
        <v>0.74831383929299977</v>
      </c>
      <c r="D21" s="85">
        <v>0.60431763065185862</v>
      </c>
      <c r="E21" s="74">
        <v>1</v>
      </c>
      <c r="F21" s="74">
        <f t="shared" si="0"/>
        <v>0.9934021246471596</v>
      </c>
      <c r="G21" s="15" t="s">
        <v>142</v>
      </c>
      <c r="H21" s="76" t="s">
        <v>56</v>
      </c>
      <c r="I21" s="76">
        <v>180</v>
      </c>
      <c r="J21" s="76">
        <f t="shared" si="1"/>
        <v>180</v>
      </c>
      <c r="K21" s="76">
        <v>400</v>
      </c>
      <c r="L21" s="76">
        <v>13.5</v>
      </c>
      <c r="M21" s="76">
        <f t="shared" si="2"/>
        <v>13.5</v>
      </c>
      <c r="N21" s="77">
        <v>19.3</v>
      </c>
      <c r="P21" s="75">
        <f t="shared" si="3"/>
        <v>-3.781115873501828E-3</v>
      </c>
    </row>
    <row r="22" spans="1:16" ht="21">
      <c r="A22" s="85">
        <v>1.011753934997377</v>
      </c>
      <c r="B22" s="85">
        <v>0.51707664719923652</v>
      </c>
      <c r="C22" s="85">
        <v>0.51561086595903483</v>
      </c>
      <c r="D22" s="85">
        <v>0.60431763065185862</v>
      </c>
      <c r="E22" s="74">
        <v>1.33</v>
      </c>
      <c r="F22" s="74">
        <f t="shared" si="0"/>
        <v>0.98558080078586285</v>
      </c>
      <c r="G22" s="15" t="s">
        <v>143</v>
      </c>
      <c r="H22" s="76" t="s">
        <v>57</v>
      </c>
      <c r="I22" s="76">
        <v>180</v>
      </c>
      <c r="J22" s="76">
        <f t="shared" si="1"/>
        <v>180</v>
      </c>
      <c r="K22" s="76">
        <v>400</v>
      </c>
      <c r="L22" s="76">
        <v>13.5</v>
      </c>
      <c r="M22" s="76">
        <f t="shared" si="2"/>
        <v>13.5</v>
      </c>
      <c r="N22" s="77">
        <v>19.3</v>
      </c>
      <c r="P22" s="75">
        <f t="shared" si="3"/>
        <v>1.4657812402016912E-3</v>
      </c>
    </row>
    <row r="23" spans="1:16" ht="21">
      <c r="A23" s="85">
        <v>1.011753934997377</v>
      </c>
      <c r="B23" s="85">
        <v>0.34656665845145873</v>
      </c>
      <c r="C23" s="85">
        <v>0.3444480394134416</v>
      </c>
      <c r="D23" s="85">
        <v>0.60431763065185862</v>
      </c>
      <c r="E23" s="74">
        <v>1.67</v>
      </c>
      <c r="F23" s="74">
        <f t="shared" si="0"/>
        <v>0.98234046934903363</v>
      </c>
      <c r="G23" s="15" t="s">
        <v>144</v>
      </c>
      <c r="H23" s="76" t="s">
        <v>58</v>
      </c>
      <c r="I23" s="76">
        <v>180</v>
      </c>
      <c r="J23" s="76">
        <f t="shared" si="1"/>
        <v>180</v>
      </c>
      <c r="K23" s="76">
        <v>400</v>
      </c>
      <c r="L23" s="76">
        <v>13.5</v>
      </c>
      <c r="M23" s="76">
        <f t="shared" si="2"/>
        <v>13.5</v>
      </c>
      <c r="N23" s="77">
        <v>19.3</v>
      </c>
      <c r="P23" s="75">
        <f t="shared" si="3"/>
        <v>2.1186190380171332E-3</v>
      </c>
    </row>
    <row r="24" spans="1:16" ht="21">
      <c r="A24" s="85">
        <v>1.011753934997377</v>
      </c>
      <c r="B24" s="85">
        <v>0.2468287012358634</v>
      </c>
      <c r="C24" s="85">
        <v>0.24502437246036229</v>
      </c>
      <c r="D24" s="85">
        <v>0.60431763065185862</v>
      </c>
      <c r="E24" s="74">
        <v>2</v>
      </c>
      <c r="F24" s="74">
        <f t="shared" si="0"/>
        <v>0.98115749414995379</v>
      </c>
      <c r="G24" s="15" t="s">
        <v>145</v>
      </c>
      <c r="H24" s="76" t="s">
        <v>59</v>
      </c>
      <c r="I24" s="76">
        <v>180</v>
      </c>
      <c r="J24" s="76">
        <f t="shared" si="1"/>
        <v>180</v>
      </c>
      <c r="K24" s="76">
        <v>400</v>
      </c>
      <c r="L24" s="76">
        <v>13.5</v>
      </c>
      <c r="M24" s="76">
        <f t="shared" si="2"/>
        <v>13.5</v>
      </c>
      <c r="N24" s="77">
        <v>19.3</v>
      </c>
      <c r="P24" s="75">
        <f t="shared" si="3"/>
        <v>1.8043287755011017E-3</v>
      </c>
    </row>
    <row r="25" spans="1:16" ht="21">
      <c r="A25" s="85">
        <v>1.011753934997377</v>
      </c>
      <c r="B25" s="85">
        <v>0.16008865184120555</v>
      </c>
      <c r="C25" s="85">
        <v>0.15827159153975226</v>
      </c>
      <c r="D25" s="85">
        <v>0.60431763065185862</v>
      </c>
      <c r="E25" s="74">
        <v>2.5</v>
      </c>
      <c r="F25" s="74">
        <f t="shared" si="0"/>
        <v>0.977164138280044</v>
      </c>
      <c r="G25" s="15" t="s">
        <v>146</v>
      </c>
      <c r="H25" s="76" t="s">
        <v>60</v>
      </c>
      <c r="I25" s="76">
        <v>180</v>
      </c>
      <c r="J25" s="76">
        <f t="shared" si="1"/>
        <v>180</v>
      </c>
      <c r="K25" s="76">
        <v>400</v>
      </c>
      <c r="L25" s="76">
        <v>13.5</v>
      </c>
      <c r="M25" s="76">
        <f t="shared" si="2"/>
        <v>13.5</v>
      </c>
      <c r="N25" s="77">
        <v>19.3</v>
      </c>
      <c r="P25" s="75">
        <f t="shared" si="3"/>
        <v>1.8170603014532882E-3</v>
      </c>
    </row>
    <row r="26" spans="1:16" ht="21">
      <c r="A26" s="75">
        <v>0.88539732001610139</v>
      </c>
      <c r="B26" s="75">
        <v>1.0509127095035344</v>
      </c>
      <c r="C26" s="75">
        <v>0.93331329772827099</v>
      </c>
      <c r="D26" s="75">
        <v>0.80783434531025655</v>
      </c>
      <c r="E26">
        <v>0.3</v>
      </c>
      <c r="F26">
        <f t="shared" si="0"/>
        <v>1.0030500553571471</v>
      </c>
      <c r="G26" s="15" t="s">
        <v>147</v>
      </c>
      <c r="H26" s="76" t="s">
        <v>61</v>
      </c>
      <c r="I26" s="76">
        <v>180</v>
      </c>
      <c r="J26" s="76">
        <f t="shared" si="1"/>
        <v>180</v>
      </c>
      <c r="K26" s="76">
        <v>400</v>
      </c>
      <c r="L26" s="76">
        <v>13.5</v>
      </c>
      <c r="M26" s="76">
        <f t="shared" si="2"/>
        <v>13.5</v>
      </c>
      <c r="N26" s="78">
        <v>13</v>
      </c>
      <c r="P26" s="75">
        <f t="shared" si="3"/>
        <v>0.11759941177526345</v>
      </c>
    </row>
    <row r="27" spans="1:16" ht="21">
      <c r="A27" s="75">
        <v>0.88539732001610139</v>
      </c>
      <c r="B27" s="75">
        <v>0.98143183434266956</v>
      </c>
      <c r="C27" s="75">
        <v>0.90905985012181756</v>
      </c>
      <c r="D27" s="75">
        <v>0.80783434531025655</v>
      </c>
      <c r="E27">
        <v>0.5</v>
      </c>
      <c r="F27">
        <f t="shared" si="0"/>
        <v>1.0461504181072769</v>
      </c>
      <c r="G27" s="15" t="s">
        <v>148</v>
      </c>
      <c r="H27" s="76" t="s">
        <v>62</v>
      </c>
      <c r="I27" s="76">
        <v>180</v>
      </c>
      <c r="J27" s="76">
        <f t="shared" si="1"/>
        <v>180</v>
      </c>
      <c r="K27" s="76">
        <v>400</v>
      </c>
      <c r="L27" s="76">
        <v>13.5</v>
      </c>
      <c r="M27" s="76">
        <f t="shared" si="2"/>
        <v>13.5</v>
      </c>
      <c r="N27" s="78">
        <v>13</v>
      </c>
      <c r="P27" s="75">
        <f t="shared" si="3"/>
        <v>7.2371984220852004E-2</v>
      </c>
    </row>
    <row r="28" spans="1:16" ht="21">
      <c r="A28" s="75">
        <v>0.88539732001610139</v>
      </c>
      <c r="B28" s="75">
        <v>0.85848876160751908</v>
      </c>
      <c r="C28" s="75">
        <v>0.84886049840159417</v>
      </c>
      <c r="D28" s="75">
        <v>0.80783434531025655</v>
      </c>
      <c r="E28">
        <v>0.75</v>
      </c>
      <c r="F28">
        <f t="shared" si="0"/>
        <v>1.1167694034247846</v>
      </c>
      <c r="G28" s="15" t="s">
        <v>149</v>
      </c>
      <c r="H28" s="76" t="s">
        <v>63</v>
      </c>
      <c r="I28" s="76">
        <v>180</v>
      </c>
      <c r="J28" s="76">
        <f t="shared" si="1"/>
        <v>180</v>
      </c>
      <c r="K28" s="76">
        <v>400</v>
      </c>
      <c r="L28" s="76">
        <v>13.5</v>
      </c>
      <c r="M28" s="76">
        <f t="shared" si="2"/>
        <v>13.5</v>
      </c>
      <c r="N28" s="78">
        <v>13</v>
      </c>
      <c r="P28" s="75">
        <f t="shared" si="3"/>
        <v>9.628263205924914E-3</v>
      </c>
    </row>
    <row r="29" spans="1:16" ht="21">
      <c r="A29" s="75">
        <v>0.88539732001610139</v>
      </c>
      <c r="B29" s="75">
        <v>0.74223566852939438</v>
      </c>
      <c r="C29" s="75">
        <v>0.73814447338597267</v>
      </c>
      <c r="D29" s="75">
        <v>0.80783434531025655</v>
      </c>
      <c r="E29">
        <v>1</v>
      </c>
      <c r="F29">
        <f t="shared" si="0"/>
        <v>1.1232110015575614</v>
      </c>
      <c r="G29" s="15" t="s">
        <v>150</v>
      </c>
      <c r="H29" s="76" t="s">
        <v>64</v>
      </c>
      <c r="I29" s="76">
        <v>180</v>
      </c>
      <c r="J29" s="76">
        <f t="shared" si="1"/>
        <v>180</v>
      </c>
      <c r="K29" s="76">
        <v>400</v>
      </c>
      <c r="L29" s="76">
        <v>13.5</v>
      </c>
      <c r="M29" s="76">
        <f t="shared" si="2"/>
        <v>13.5</v>
      </c>
      <c r="N29" s="78">
        <v>13</v>
      </c>
      <c r="P29" s="75">
        <f t="shared" si="3"/>
        <v>4.0911951434217109E-3</v>
      </c>
    </row>
    <row r="30" spans="1:16" ht="21">
      <c r="A30" s="75">
        <v>0.88539732001610139</v>
      </c>
      <c r="B30" s="75">
        <v>0.51570120023942878</v>
      </c>
      <c r="C30" s="75">
        <v>0.51157593476810537</v>
      </c>
      <c r="D30" s="75">
        <v>0.80783434531025655</v>
      </c>
      <c r="E30">
        <v>1.33</v>
      </c>
      <c r="F30">
        <f t="shared" si="0"/>
        <v>1.120401705403997</v>
      </c>
      <c r="G30" s="15" t="s">
        <v>151</v>
      </c>
      <c r="H30" s="76" t="s">
        <v>65</v>
      </c>
      <c r="I30" s="76">
        <v>180</v>
      </c>
      <c r="J30" s="76">
        <f t="shared" si="1"/>
        <v>180</v>
      </c>
      <c r="K30" s="76">
        <v>400</v>
      </c>
      <c r="L30" s="76">
        <v>13.5</v>
      </c>
      <c r="M30" s="76">
        <f t="shared" si="2"/>
        <v>13.5</v>
      </c>
      <c r="N30" s="78">
        <v>13</v>
      </c>
      <c r="P30" s="75">
        <f t="shared" si="3"/>
        <v>4.1252654713234138E-3</v>
      </c>
    </row>
    <row r="31" spans="1:16" ht="21">
      <c r="A31" s="75">
        <v>0.88539732001610139</v>
      </c>
      <c r="B31" s="75">
        <v>0.34505216799065097</v>
      </c>
      <c r="C31" s="75">
        <v>0.34188295647081196</v>
      </c>
      <c r="D31" s="75">
        <v>0.80783434531025655</v>
      </c>
      <c r="E31">
        <v>1.67</v>
      </c>
      <c r="F31">
        <f t="shared" si="0"/>
        <v>1.1190628727815295</v>
      </c>
      <c r="G31" s="15" t="s">
        <v>152</v>
      </c>
      <c r="H31" s="76" t="s">
        <v>66</v>
      </c>
      <c r="I31" s="76">
        <v>180</v>
      </c>
      <c r="J31" s="76">
        <f t="shared" si="1"/>
        <v>180</v>
      </c>
      <c r="K31" s="76">
        <v>400</v>
      </c>
      <c r="L31" s="76">
        <v>13.5</v>
      </c>
      <c r="M31" s="76">
        <f t="shared" si="2"/>
        <v>13.5</v>
      </c>
      <c r="N31" s="78">
        <v>13</v>
      </c>
      <c r="P31" s="75">
        <f t="shared" si="3"/>
        <v>3.1692115198390103E-3</v>
      </c>
    </row>
    <row r="32" spans="1:16" ht="21">
      <c r="A32" s="75">
        <v>0.88539732001610139</v>
      </c>
      <c r="B32" s="75">
        <v>0.24556135505338192</v>
      </c>
      <c r="C32" s="75">
        <v>0.24322004368486122</v>
      </c>
      <c r="D32" s="75">
        <v>0.80783434531025655</v>
      </c>
      <c r="E32">
        <v>2</v>
      </c>
      <c r="F32">
        <f t="shared" si="0"/>
        <v>1.1186678010135134</v>
      </c>
      <c r="G32" s="15" t="s">
        <v>153</v>
      </c>
      <c r="H32" s="76" t="s">
        <v>67</v>
      </c>
      <c r="I32" s="76">
        <v>180</v>
      </c>
      <c r="J32" s="76">
        <f t="shared" si="1"/>
        <v>180</v>
      </c>
      <c r="K32" s="76">
        <v>400</v>
      </c>
      <c r="L32" s="76">
        <v>13.5</v>
      </c>
      <c r="M32" s="76">
        <f t="shared" si="2"/>
        <v>13.5</v>
      </c>
      <c r="N32" s="78">
        <v>13</v>
      </c>
      <c r="P32" s="75">
        <f t="shared" si="3"/>
        <v>2.3413113685206988E-3</v>
      </c>
    </row>
    <row r="33" spans="1:16" ht="21">
      <c r="A33" s="75">
        <v>0.88539732001610139</v>
      </c>
      <c r="B33" s="75">
        <v>0.15913073065333252</v>
      </c>
      <c r="C33" s="75">
        <v>0.15717741921492379</v>
      </c>
      <c r="D33" s="75">
        <v>0.80783434531025655</v>
      </c>
      <c r="E33">
        <v>2.5</v>
      </c>
      <c r="F33">
        <f t="shared" si="0"/>
        <v>1.1155727406746716</v>
      </c>
      <c r="G33" s="15" t="s">
        <v>154</v>
      </c>
      <c r="H33" s="76" t="s">
        <v>68</v>
      </c>
      <c r="I33" s="76">
        <v>180</v>
      </c>
      <c r="J33" s="76">
        <f t="shared" si="1"/>
        <v>180</v>
      </c>
      <c r="K33" s="76">
        <v>400</v>
      </c>
      <c r="L33" s="76">
        <v>13.5</v>
      </c>
      <c r="M33" s="76">
        <f t="shared" si="2"/>
        <v>13.5</v>
      </c>
      <c r="N33" s="78">
        <v>13</v>
      </c>
      <c r="P33" s="75">
        <f t="shared" si="3"/>
        <v>1.9533114384087391E-3</v>
      </c>
    </row>
    <row r="34" spans="1:16" ht="21">
      <c r="A34" s="88">
        <v>0.81980691750807566</v>
      </c>
      <c r="B34" s="88">
        <v>1.0483689934134801</v>
      </c>
      <c r="C34" s="88">
        <v>0.84994286728420476</v>
      </c>
      <c r="D34" s="88">
        <v>1.107313728755202</v>
      </c>
      <c r="E34" s="90">
        <v>0.3</v>
      </c>
      <c r="F34" s="90">
        <f t="shared" si="0"/>
        <v>0.98892643761899113</v>
      </c>
      <c r="G34" s="15" t="s">
        <v>155</v>
      </c>
      <c r="H34" s="76" t="s">
        <v>69</v>
      </c>
      <c r="I34" s="76">
        <v>180</v>
      </c>
      <c r="J34" s="76">
        <f t="shared" si="1"/>
        <v>180</v>
      </c>
      <c r="K34" s="76">
        <v>400</v>
      </c>
      <c r="L34" s="76">
        <v>13.5</v>
      </c>
      <c r="M34" s="76">
        <f t="shared" si="2"/>
        <v>13.5</v>
      </c>
      <c r="N34" s="77">
        <v>8.5</v>
      </c>
      <c r="P34" s="88">
        <f t="shared" si="3"/>
        <v>0.19842612612927535</v>
      </c>
    </row>
    <row r="35" spans="1:16" ht="21">
      <c r="A35" s="85">
        <v>0.81980691750807566</v>
      </c>
      <c r="B35" s="85">
        <v>0.97455543608153627</v>
      </c>
      <c r="C35" s="85">
        <v>0.82151402735625823</v>
      </c>
      <c r="D35" s="85">
        <v>1.107313728755202</v>
      </c>
      <c r="E35" s="74">
        <v>0.5</v>
      </c>
      <c r="F35" s="74">
        <f t="shared" si="0"/>
        <v>1.0282455922945244</v>
      </c>
      <c r="G35" s="15" t="s">
        <v>156</v>
      </c>
      <c r="H35" s="76" t="s">
        <v>70</v>
      </c>
      <c r="I35" s="76">
        <v>180</v>
      </c>
      <c r="J35" s="76">
        <f t="shared" si="1"/>
        <v>180</v>
      </c>
      <c r="K35" s="76">
        <v>400</v>
      </c>
      <c r="L35" s="76">
        <v>13.5</v>
      </c>
      <c r="M35" s="76">
        <f t="shared" si="2"/>
        <v>13.5</v>
      </c>
      <c r="N35" s="77">
        <v>8.5</v>
      </c>
      <c r="P35" s="75">
        <f t="shared" si="3"/>
        <v>0.15304140872527805</v>
      </c>
    </row>
    <row r="36" spans="1:16" ht="21">
      <c r="A36" s="85">
        <v>0.81980691750807566</v>
      </c>
      <c r="B36" s="85">
        <v>0.85178127633234824</v>
      </c>
      <c r="C36" s="85">
        <v>0.7732313727007224</v>
      </c>
      <c r="D36" s="85">
        <v>1.107313728755202</v>
      </c>
      <c r="E36" s="74">
        <v>0.75</v>
      </c>
      <c r="F36" s="74">
        <f t="shared" si="0"/>
        <v>1.1073114704521434</v>
      </c>
      <c r="G36" s="15" t="s">
        <v>157</v>
      </c>
      <c r="H36" s="76" t="s">
        <v>71</v>
      </c>
      <c r="I36" s="76">
        <v>180</v>
      </c>
      <c r="J36" s="76">
        <f t="shared" si="1"/>
        <v>180</v>
      </c>
      <c r="K36" s="76">
        <v>400</v>
      </c>
      <c r="L36" s="76">
        <v>13.5</v>
      </c>
      <c r="M36" s="76">
        <f t="shared" si="2"/>
        <v>13.5</v>
      </c>
      <c r="N36" s="77">
        <v>8.5</v>
      </c>
      <c r="P36" s="75">
        <f t="shared" si="3"/>
        <v>7.8549903631625839E-2</v>
      </c>
    </row>
    <row r="37" spans="1:16" ht="21">
      <c r="A37" s="85">
        <v>0.81980691750807566</v>
      </c>
      <c r="B37" s="85">
        <v>0.74034896729998056</v>
      </c>
      <c r="C37" s="85">
        <v>0.6985036926901329</v>
      </c>
      <c r="D37" s="85">
        <v>1.107313728755202</v>
      </c>
      <c r="E37" s="74">
        <v>1</v>
      </c>
      <c r="F37" s="74">
        <f t="shared" si="0"/>
        <v>1.1508551166059751</v>
      </c>
      <c r="G37" s="15" t="s">
        <v>158</v>
      </c>
      <c r="H37" s="76" t="s">
        <v>72</v>
      </c>
      <c r="I37" s="76">
        <v>180</v>
      </c>
      <c r="J37" s="76">
        <f t="shared" si="1"/>
        <v>180</v>
      </c>
      <c r="K37" s="76">
        <v>400</v>
      </c>
      <c r="L37" s="76">
        <v>13.5</v>
      </c>
      <c r="M37" s="76">
        <f t="shared" si="2"/>
        <v>13.5</v>
      </c>
      <c r="N37" s="77">
        <v>8.5</v>
      </c>
      <c r="P37" s="75">
        <f t="shared" si="3"/>
        <v>4.184527460984766E-2</v>
      </c>
    </row>
    <row r="38" spans="1:16" ht="21">
      <c r="A38" s="85">
        <v>0.81980691750807566</v>
      </c>
      <c r="B38" s="85">
        <v>0.51417196992133141</v>
      </c>
      <c r="C38" s="85">
        <v>0.50468471966376738</v>
      </c>
      <c r="D38" s="85">
        <v>1.107313728755202</v>
      </c>
      <c r="E38" s="74">
        <v>1.33</v>
      </c>
      <c r="F38" s="74">
        <f t="shared" si="0"/>
        <v>1.1972922734217872</v>
      </c>
      <c r="G38" s="15" t="s">
        <v>159</v>
      </c>
      <c r="H38" s="76" t="s">
        <v>73</v>
      </c>
      <c r="I38" s="76">
        <v>180</v>
      </c>
      <c r="J38" s="76">
        <f t="shared" si="1"/>
        <v>180</v>
      </c>
      <c r="K38" s="76">
        <v>400</v>
      </c>
      <c r="L38" s="76">
        <v>13.5</v>
      </c>
      <c r="M38" s="76">
        <f t="shared" si="2"/>
        <v>13.5</v>
      </c>
      <c r="N38" s="77">
        <v>8.5</v>
      </c>
      <c r="P38" s="75">
        <f t="shared" si="3"/>
        <v>9.4872502575640283E-3</v>
      </c>
    </row>
    <row r="39" spans="1:16" ht="21">
      <c r="A39" s="85">
        <v>0.81980691750807566</v>
      </c>
      <c r="B39" s="85">
        <v>0.34350887340696468</v>
      </c>
      <c r="C39" s="85">
        <v>0.3390146722347272</v>
      </c>
      <c r="D39" s="85">
        <v>1.107313728755202</v>
      </c>
      <c r="E39" s="74">
        <v>1.67</v>
      </c>
      <c r="F39" s="74">
        <f t="shared" si="0"/>
        <v>1.2038405163539616</v>
      </c>
      <c r="G39" s="15" t="s">
        <v>160</v>
      </c>
      <c r="H39" s="76" t="s">
        <v>74</v>
      </c>
      <c r="I39" s="76">
        <v>180</v>
      </c>
      <c r="J39" s="76">
        <f t="shared" si="1"/>
        <v>180</v>
      </c>
      <c r="K39" s="76">
        <v>400</v>
      </c>
      <c r="L39" s="76">
        <v>13.5</v>
      </c>
      <c r="M39" s="76">
        <f t="shared" si="2"/>
        <v>13.5</v>
      </c>
      <c r="N39" s="77">
        <v>8.5</v>
      </c>
      <c r="P39" s="75">
        <f t="shared" si="3"/>
        <v>4.4942011722374775E-3</v>
      </c>
    </row>
    <row r="40" spans="1:16" ht="21">
      <c r="A40" s="85">
        <v>0.81980691750807566</v>
      </c>
      <c r="B40" s="85">
        <v>0.24435398500602878</v>
      </c>
      <c r="C40" s="85">
        <v>0.24138768867799157</v>
      </c>
      <c r="D40" s="85">
        <v>1.107313728755202</v>
      </c>
      <c r="E40" s="74">
        <v>2</v>
      </c>
      <c r="F40" s="74">
        <f t="shared" si="0"/>
        <v>1.2049918559937227</v>
      </c>
      <c r="G40" s="15" t="s">
        <v>161</v>
      </c>
      <c r="H40" s="76" t="s">
        <v>75</v>
      </c>
      <c r="I40" s="76">
        <v>180</v>
      </c>
      <c r="J40" s="76">
        <f t="shared" si="1"/>
        <v>180</v>
      </c>
      <c r="K40" s="76">
        <v>400</v>
      </c>
      <c r="L40" s="76">
        <v>13.5</v>
      </c>
      <c r="M40" s="76">
        <f t="shared" si="2"/>
        <v>13.5</v>
      </c>
      <c r="N40" s="77">
        <v>8.5</v>
      </c>
      <c r="P40" s="75">
        <f t="shared" si="3"/>
        <v>2.9662963280372157E-3</v>
      </c>
    </row>
    <row r="41" spans="1:16" ht="21">
      <c r="A41" s="85">
        <v>0.81980691750807566</v>
      </c>
      <c r="B41" s="85">
        <v>0.15809560048785146</v>
      </c>
      <c r="C41" s="85">
        <v>0.15619111237351838</v>
      </c>
      <c r="D41" s="85">
        <v>1.107313728755202</v>
      </c>
      <c r="E41" s="74">
        <v>2.5</v>
      </c>
      <c r="F41" s="74">
        <f t="shared" si="0"/>
        <v>1.2051051845869043</v>
      </c>
      <c r="G41" s="15" t="s">
        <v>162</v>
      </c>
      <c r="H41" s="76" t="s">
        <v>76</v>
      </c>
      <c r="I41" s="76">
        <v>180</v>
      </c>
      <c r="J41" s="76">
        <f t="shared" si="1"/>
        <v>180</v>
      </c>
      <c r="K41" s="76">
        <v>400</v>
      </c>
      <c r="L41" s="76">
        <v>13.5</v>
      </c>
      <c r="M41" s="76">
        <f t="shared" si="2"/>
        <v>13.5</v>
      </c>
      <c r="N41" s="77">
        <v>8.5</v>
      </c>
      <c r="P41" s="75">
        <f t="shared" si="3"/>
        <v>1.9044881143330805E-3</v>
      </c>
    </row>
    <row r="42" spans="1:16" ht="21">
      <c r="A42" s="88">
        <v>0.81794598367806093</v>
      </c>
      <c r="B42" s="88">
        <v>1.0465818837084213</v>
      </c>
      <c r="C42" s="88">
        <v>0.83774496219565131</v>
      </c>
      <c r="D42" s="88">
        <v>1.4992191540155151</v>
      </c>
      <c r="E42" s="90">
        <v>0.3</v>
      </c>
      <c r="F42" s="90">
        <f t="shared" si="0"/>
        <v>0.97861977603142059</v>
      </c>
      <c r="G42" s="15" t="s">
        <v>163</v>
      </c>
      <c r="H42" s="76" t="s">
        <v>77</v>
      </c>
      <c r="I42" s="76">
        <v>180</v>
      </c>
      <c r="J42" s="76">
        <f t="shared" si="1"/>
        <v>180</v>
      </c>
      <c r="K42" s="76">
        <v>400</v>
      </c>
      <c r="L42" s="76">
        <v>13.5</v>
      </c>
      <c r="M42" s="76">
        <f t="shared" si="2"/>
        <v>13.5</v>
      </c>
      <c r="N42" s="78">
        <v>6.1</v>
      </c>
      <c r="P42" s="88">
        <f t="shared" si="3"/>
        <v>0.20883692151277</v>
      </c>
    </row>
    <row r="43" spans="1:16" ht="21">
      <c r="A43" s="88">
        <v>0.81794598367806093</v>
      </c>
      <c r="B43" s="88">
        <v>0.96608458050030854</v>
      </c>
      <c r="C43" s="88">
        <v>0.79550414125398938</v>
      </c>
      <c r="D43" s="88">
        <v>1.4992191540155151</v>
      </c>
      <c r="E43" s="90">
        <v>0.5</v>
      </c>
      <c r="F43" s="90">
        <f t="shared" si="0"/>
        <v>1.0067060303637687</v>
      </c>
      <c r="G43" s="15" t="s">
        <v>164</v>
      </c>
      <c r="H43" s="76" t="s">
        <v>78</v>
      </c>
      <c r="I43" s="76">
        <v>180</v>
      </c>
      <c r="J43" s="76">
        <f t="shared" si="1"/>
        <v>180</v>
      </c>
      <c r="K43" s="76">
        <v>400</v>
      </c>
      <c r="L43" s="76">
        <v>13.5</v>
      </c>
      <c r="M43" s="76">
        <f t="shared" si="2"/>
        <v>13.5</v>
      </c>
      <c r="N43" s="78">
        <v>6.1</v>
      </c>
      <c r="P43" s="88">
        <f t="shared" si="3"/>
        <v>0.17058043924631916</v>
      </c>
    </row>
    <row r="44" spans="1:16" ht="21">
      <c r="A44" s="75">
        <v>0.81794598367806093</v>
      </c>
      <c r="B44" s="75">
        <v>0.84753485360127279</v>
      </c>
      <c r="C44" s="75">
        <v>0.73604198314550606</v>
      </c>
      <c r="D44" s="75">
        <v>1.4992191540155151</v>
      </c>
      <c r="E44">
        <v>0.75</v>
      </c>
      <c r="F44">
        <f t="shared" si="0"/>
        <v>1.0617454183345896</v>
      </c>
      <c r="G44" s="15" t="s">
        <v>165</v>
      </c>
      <c r="H44" s="76" t="s">
        <v>79</v>
      </c>
      <c r="I44" s="76">
        <v>180</v>
      </c>
      <c r="J44" s="76">
        <f t="shared" si="1"/>
        <v>180</v>
      </c>
      <c r="K44" s="76">
        <v>400</v>
      </c>
      <c r="L44" s="76">
        <v>13.5</v>
      </c>
      <c r="M44" s="76">
        <f t="shared" si="2"/>
        <v>13.5</v>
      </c>
      <c r="N44" s="78">
        <v>6.1</v>
      </c>
      <c r="P44" s="75">
        <f t="shared" si="3"/>
        <v>0.11149287045576672</v>
      </c>
    </row>
    <row r="45" spans="1:16" ht="21">
      <c r="A45" s="75">
        <v>0.81794598367806093</v>
      </c>
      <c r="B45" s="75">
        <v>0.73926600387966357</v>
      </c>
      <c r="C45" s="75">
        <v>0.6645199303166649</v>
      </c>
      <c r="D45" s="75">
        <v>1.4992191540155151</v>
      </c>
      <c r="E45">
        <v>1</v>
      </c>
      <c r="F45">
        <f t="shared" si="0"/>
        <v>1.0989619391165721</v>
      </c>
      <c r="G45" s="15" t="s">
        <v>166</v>
      </c>
      <c r="H45" s="76" t="s">
        <v>80</v>
      </c>
      <c r="I45" s="76">
        <v>180</v>
      </c>
      <c r="J45" s="76">
        <f t="shared" si="1"/>
        <v>180</v>
      </c>
      <c r="K45" s="76">
        <v>400</v>
      </c>
      <c r="L45" s="76">
        <v>13.5</v>
      </c>
      <c r="M45" s="76">
        <f t="shared" si="2"/>
        <v>13.5</v>
      </c>
      <c r="N45" s="78">
        <v>6.1</v>
      </c>
      <c r="P45" s="75">
        <f t="shared" si="3"/>
        <v>7.4746073562998672E-2</v>
      </c>
    </row>
    <row r="46" spans="1:16" ht="21">
      <c r="A46" s="75">
        <v>0.81794598367806093</v>
      </c>
      <c r="B46" s="75">
        <v>0.51260832654403632</v>
      </c>
      <c r="C46" s="75">
        <v>0.49249711966728449</v>
      </c>
      <c r="D46" s="75">
        <v>1.4992191540155151</v>
      </c>
      <c r="E46">
        <v>1.33</v>
      </c>
      <c r="F46">
        <f t="shared" si="0"/>
        <v>1.174609243829341</v>
      </c>
      <c r="G46" s="15" t="s">
        <v>167</v>
      </c>
      <c r="H46" s="76" t="s">
        <v>81</v>
      </c>
      <c r="I46" s="76">
        <v>180</v>
      </c>
      <c r="J46" s="76">
        <f t="shared" si="1"/>
        <v>180</v>
      </c>
      <c r="K46" s="76">
        <v>400</v>
      </c>
      <c r="L46" s="76">
        <v>13.5</v>
      </c>
      <c r="M46" s="76">
        <f t="shared" si="2"/>
        <v>13.5</v>
      </c>
      <c r="N46" s="78">
        <v>6.1</v>
      </c>
      <c r="P46" s="75">
        <f t="shared" si="3"/>
        <v>2.011120687675183E-2</v>
      </c>
    </row>
    <row r="47" spans="1:16" ht="21">
      <c r="A47" s="75">
        <v>0.81794598367806093</v>
      </c>
      <c r="B47" s="75">
        <v>0.3423097122913501</v>
      </c>
      <c r="C47" s="75">
        <v>0.33543538096549053</v>
      </c>
      <c r="D47" s="75">
        <v>1.4992191540155151</v>
      </c>
      <c r="E47">
        <v>1.67</v>
      </c>
      <c r="F47">
        <f t="shared" si="0"/>
        <v>1.1980226345355027</v>
      </c>
      <c r="G47" s="15" t="s">
        <v>168</v>
      </c>
      <c r="H47" s="76" t="s">
        <v>82</v>
      </c>
      <c r="I47" s="76">
        <v>180</v>
      </c>
      <c r="J47" s="76">
        <f t="shared" si="1"/>
        <v>180</v>
      </c>
      <c r="K47" s="76">
        <v>400</v>
      </c>
      <c r="L47" s="76">
        <v>13.5</v>
      </c>
      <c r="M47" s="76">
        <f t="shared" si="2"/>
        <v>13.5</v>
      </c>
      <c r="N47" s="78">
        <v>6.1</v>
      </c>
      <c r="P47" s="75">
        <f t="shared" si="3"/>
        <v>6.8743313258595728E-3</v>
      </c>
    </row>
    <row r="48" spans="1:16" ht="21">
      <c r="A48" s="75">
        <v>0.81794598367806093</v>
      </c>
      <c r="B48" s="75">
        <v>0.24348124816121539</v>
      </c>
      <c r="C48" s="75">
        <v>0.23972124896082345</v>
      </c>
      <c r="D48" s="75">
        <v>1.4992191540155151</v>
      </c>
      <c r="E48">
        <v>2</v>
      </c>
      <c r="F48">
        <f t="shared" si="0"/>
        <v>1.2036948102411857</v>
      </c>
      <c r="G48" s="31" t="s">
        <v>169</v>
      </c>
      <c r="H48" s="76" t="s">
        <v>83</v>
      </c>
      <c r="I48" s="76">
        <v>180</v>
      </c>
      <c r="J48" s="76">
        <f t="shared" si="1"/>
        <v>180</v>
      </c>
      <c r="K48" s="76">
        <v>400</v>
      </c>
      <c r="L48" s="76">
        <v>13.5</v>
      </c>
      <c r="M48" s="76">
        <f t="shared" si="2"/>
        <v>13.5</v>
      </c>
      <c r="N48" s="78">
        <v>6.1</v>
      </c>
      <c r="P48" s="75">
        <f t="shared" si="3"/>
        <v>3.7599992003919391E-3</v>
      </c>
    </row>
    <row r="49" spans="1:16" ht="21">
      <c r="A49" s="75">
        <v>0.81794598367806093</v>
      </c>
      <c r="B49" s="75">
        <v>0.15735795197138983</v>
      </c>
      <c r="C49" s="75">
        <v>0.15541372394211139</v>
      </c>
      <c r="D49" s="75">
        <v>1.4992191540155151</v>
      </c>
      <c r="E49">
        <v>2.5</v>
      </c>
      <c r="F49">
        <f t="shared" si="0"/>
        <v>1.2074691623621778</v>
      </c>
      <c r="G49" s="25" t="s">
        <v>170</v>
      </c>
      <c r="H49" s="76" t="s">
        <v>84</v>
      </c>
      <c r="I49" s="76">
        <v>180</v>
      </c>
      <c r="J49" s="76">
        <f t="shared" si="1"/>
        <v>180</v>
      </c>
      <c r="K49" s="76">
        <v>400</v>
      </c>
      <c r="L49" s="76">
        <v>13.5</v>
      </c>
      <c r="M49" s="76">
        <f t="shared" si="2"/>
        <v>13.5</v>
      </c>
      <c r="N49" s="78">
        <v>6.1</v>
      </c>
      <c r="P49" s="75">
        <f t="shared" si="3"/>
        <v>1.9442280292784331E-3</v>
      </c>
    </row>
    <row r="50" spans="1:16" ht="21">
      <c r="A50" s="85">
        <v>1.093434418979423</v>
      </c>
      <c r="B50" s="85">
        <v>1.0445452837258726</v>
      </c>
      <c r="C50" s="85">
        <v>0.9969658606981544</v>
      </c>
      <c r="D50" s="85">
        <v>0.35022897823777349</v>
      </c>
      <c r="E50" s="74">
        <v>0.3</v>
      </c>
      <c r="F50" s="74">
        <f t="shared" si="0"/>
        <v>0.87289151915531404</v>
      </c>
      <c r="G50" s="36" t="s">
        <v>171</v>
      </c>
      <c r="H50" s="76" t="s">
        <v>85</v>
      </c>
      <c r="I50" s="76">
        <v>300</v>
      </c>
      <c r="J50" s="76">
        <f t="shared" si="1"/>
        <v>300</v>
      </c>
      <c r="K50" s="76">
        <v>300</v>
      </c>
      <c r="L50" s="79">
        <v>33.82</v>
      </c>
      <c r="M50" s="79">
        <f>L50</f>
        <v>33.82</v>
      </c>
      <c r="N50" s="79">
        <v>19.580000000000002</v>
      </c>
      <c r="P50" s="75">
        <f t="shared" si="3"/>
        <v>4.7579423027718226E-2</v>
      </c>
    </row>
    <row r="51" spans="1:16" ht="21">
      <c r="A51" s="85">
        <v>1.093434418979423</v>
      </c>
      <c r="B51" s="85">
        <v>0.96197560136423332</v>
      </c>
      <c r="C51" s="85">
        <v>0.93126423385890578</v>
      </c>
      <c r="D51" s="85">
        <v>0.35022897823777349</v>
      </c>
      <c r="E51" s="74">
        <v>0.5</v>
      </c>
      <c r="F51" s="74">
        <f t="shared" si="0"/>
        <v>0.8853523129028783</v>
      </c>
      <c r="G51" s="15" t="s">
        <v>172</v>
      </c>
      <c r="H51" s="76" t="s">
        <v>86</v>
      </c>
      <c r="I51" s="76">
        <v>300</v>
      </c>
      <c r="J51" s="76">
        <f t="shared" si="1"/>
        <v>300</v>
      </c>
      <c r="K51" s="76">
        <v>300</v>
      </c>
      <c r="L51" s="79">
        <v>33.82</v>
      </c>
      <c r="M51" s="79">
        <f t="shared" ref="M51:M97" si="4">L51</f>
        <v>33.82</v>
      </c>
      <c r="N51" s="79">
        <v>19.580000000000002</v>
      </c>
      <c r="P51" s="75">
        <f t="shared" si="3"/>
        <v>3.0711367505327547E-2</v>
      </c>
    </row>
    <row r="52" spans="1:16" ht="21">
      <c r="A52" s="85">
        <v>1.093434418979423</v>
      </c>
      <c r="B52" s="85">
        <v>0.85650326670479504</v>
      </c>
      <c r="C52" s="85">
        <v>0.84537498389671217</v>
      </c>
      <c r="D52" s="85">
        <v>0.35022897823777349</v>
      </c>
      <c r="E52" s="74">
        <v>0.75</v>
      </c>
      <c r="F52" s="74">
        <f t="shared" si="0"/>
        <v>0.90266712960277251</v>
      </c>
      <c r="G52" s="15" t="s">
        <v>173</v>
      </c>
      <c r="H52" s="76" t="s">
        <v>87</v>
      </c>
      <c r="I52" s="76">
        <v>300</v>
      </c>
      <c r="J52" s="76">
        <f t="shared" si="1"/>
        <v>300</v>
      </c>
      <c r="K52" s="76">
        <v>300</v>
      </c>
      <c r="L52" s="79">
        <v>33.82</v>
      </c>
      <c r="M52" s="79">
        <f t="shared" si="4"/>
        <v>33.82</v>
      </c>
      <c r="N52" s="79">
        <v>19.580000000000002</v>
      </c>
      <c r="P52" s="75">
        <f t="shared" si="3"/>
        <v>1.1128282808082868E-2</v>
      </c>
    </row>
    <row r="53" spans="1:16" ht="21">
      <c r="A53" s="85">
        <v>1.093434418979423</v>
      </c>
      <c r="B53" s="85">
        <v>0.74895251002805896</v>
      </c>
      <c r="C53" s="85">
        <v>0.73633490630330534</v>
      </c>
      <c r="D53" s="85">
        <v>0.35022897823777349</v>
      </c>
      <c r="E53" s="74">
        <v>1</v>
      </c>
      <c r="F53" s="74">
        <f t="shared" si="0"/>
        <v>0.8991421724817229</v>
      </c>
      <c r="G53" s="15" t="s">
        <v>174</v>
      </c>
      <c r="H53" s="76" t="s">
        <v>88</v>
      </c>
      <c r="I53" s="76">
        <v>300</v>
      </c>
      <c r="J53" s="76">
        <f t="shared" si="1"/>
        <v>300</v>
      </c>
      <c r="K53" s="76">
        <v>300</v>
      </c>
      <c r="L53" s="79">
        <v>33.82</v>
      </c>
      <c r="M53" s="79">
        <f t="shared" si="4"/>
        <v>33.82</v>
      </c>
      <c r="N53" s="79">
        <v>19.580000000000002</v>
      </c>
      <c r="P53" s="75">
        <f t="shared" si="3"/>
        <v>1.2617603724753623E-2</v>
      </c>
    </row>
    <row r="54" spans="1:16" ht="21">
      <c r="A54" s="85">
        <v>1.093434418979423</v>
      </c>
      <c r="B54" s="85">
        <v>0.51408378645713715</v>
      </c>
      <c r="C54" s="85">
        <v>0.50902291593887639</v>
      </c>
      <c r="D54" s="85">
        <v>0.35022897823777349</v>
      </c>
      <c r="E54" s="74">
        <v>1.33</v>
      </c>
      <c r="F54" s="74">
        <f t="shared" si="0"/>
        <v>0.90554635554863661</v>
      </c>
      <c r="G54" s="15" t="s">
        <v>175</v>
      </c>
      <c r="H54" s="76" t="s">
        <v>89</v>
      </c>
      <c r="I54" s="76">
        <v>300</v>
      </c>
      <c r="J54" s="76">
        <f t="shared" si="1"/>
        <v>300</v>
      </c>
      <c r="K54" s="76">
        <v>300</v>
      </c>
      <c r="L54" s="79">
        <v>33.82</v>
      </c>
      <c r="M54" s="79">
        <f t="shared" si="4"/>
        <v>33.82</v>
      </c>
      <c r="N54" s="79">
        <v>19.580000000000002</v>
      </c>
      <c r="P54" s="75">
        <f t="shared" si="3"/>
        <v>5.0608705182607627E-3</v>
      </c>
    </row>
    <row r="55" spans="1:16" ht="21">
      <c r="A55" s="85">
        <v>1.093434418979423</v>
      </c>
      <c r="B55" s="85">
        <v>0.34372717833825228</v>
      </c>
      <c r="C55" s="85">
        <v>0.34041015618785403</v>
      </c>
      <c r="D55" s="85">
        <v>0.35022897823777349</v>
      </c>
      <c r="E55" s="74">
        <v>1.67</v>
      </c>
      <c r="F55" s="74">
        <f t="shared" si="0"/>
        <v>0.9057240408295345</v>
      </c>
      <c r="G55" s="15" t="s">
        <v>176</v>
      </c>
      <c r="H55" s="76" t="s">
        <v>90</v>
      </c>
      <c r="I55" s="76">
        <v>300</v>
      </c>
      <c r="J55" s="76">
        <f t="shared" si="1"/>
        <v>300</v>
      </c>
      <c r="K55" s="76">
        <v>300</v>
      </c>
      <c r="L55" s="79">
        <v>33.82</v>
      </c>
      <c r="M55" s="79">
        <f t="shared" si="4"/>
        <v>33.82</v>
      </c>
      <c r="N55" s="79">
        <v>19.580000000000002</v>
      </c>
      <c r="P55" s="75">
        <f t="shared" si="3"/>
        <v>3.3170221503982522E-3</v>
      </c>
    </row>
    <row r="56" spans="1:16" ht="21">
      <c r="A56" s="85">
        <v>1.093434418979423</v>
      </c>
      <c r="B56" s="85">
        <v>0.24487751500799163</v>
      </c>
      <c r="C56" s="85">
        <v>0.24252219052378668</v>
      </c>
      <c r="D56" s="85">
        <v>0.35022897823777349</v>
      </c>
      <c r="E56" s="74">
        <v>2</v>
      </c>
      <c r="F56" s="74">
        <f t="shared" si="0"/>
        <v>0.90575310680391585</v>
      </c>
      <c r="G56" s="15" t="s">
        <v>177</v>
      </c>
      <c r="H56" s="76" t="s">
        <v>91</v>
      </c>
      <c r="I56" s="76">
        <v>300</v>
      </c>
      <c r="J56" s="76">
        <f t="shared" si="1"/>
        <v>300</v>
      </c>
      <c r="K56" s="76">
        <v>300</v>
      </c>
      <c r="L56" s="79">
        <v>33.82</v>
      </c>
      <c r="M56" s="79">
        <f t="shared" si="4"/>
        <v>33.82</v>
      </c>
      <c r="N56" s="79">
        <v>19.580000000000002</v>
      </c>
      <c r="P56" s="75">
        <f t="shared" si="3"/>
        <v>2.3553244842049459E-3</v>
      </c>
    </row>
    <row r="57" spans="1:16" ht="21">
      <c r="A57" s="85">
        <v>1.093434418979423</v>
      </c>
      <c r="B57" s="85">
        <v>0.15848997183426142</v>
      </c>
      <c r="C57" s="85">
        <v>0.15710096718807653</v>
      </c>
      <c r="D57" s="85">
        <v>0.35022897823777349</v>
      </c>
      <c r="E57" s="74">
        <v>2.5</v>
      </c>
      <c r="F57" s="74">
        <f t="shared" si="0"/>
        <v>0.90653448624848376</v>
      </c>
      <c r="G57" s="15" t="s">
        <v>178</v>
      </c>
      <c r="H57" s="76" t="s">
        <v>92</v>
      </c>
      <c r="I57" s="76">
        <v>300</v>
      </c>
      <c r="J57" s="76">
        <f t="shared" si="1"/>
        <v>300</v>
      </c>
      <c r="K57" s="76">
        <v>300</v>
      </c>
      <c r="L57" s="79">
        <v>33.82</v>
      </c>
      <c r="M57" s="79">
        <f t="shared" si="4"/>
        <v>33.82</v>
      </c>
      <c r="N57" s="79">
        <v>19.580000000000002</v>
      </c>
      <c r="P57" s="75">
        <f t="shared" si="3"/>
        <v>1.3890046461848826E-3</v>
      </c>
    </row>
    <row r="58" spans="1:16" ht="21">
      <c r="A58" s="75">
        <v>1.0166220561537915</v>
      </c>
      <c r="B58" s="75">
        <v>1.046619849620213</v>
      </c>
      <c r="C58" s="75">
        <v>0.98114763473516298</v>
      </c>
      <c r="D58" s="75">
        <v>0.50266891735380559</v>
      </c>
      <c r="E58">
        <v>0.3</v>
      </c>
      <c r="F58">
        <f t="shared" si="0"/>
        <v>0.92211665552241473</v>
      </c>
      <c r="G58" s="15" t="s">
        <v>179</v>
      </c>
      <c r="H58" s="76" t="s">
        <v>93</v>
      </c>
      <c r="I58" s="76">
        <v>300</v>
      </c>
      <c r="J58" s="76">
        <f t="shared" si="1"/>
        <v>300</v>
      </c>
      <c r="K58" s="76">
        <v>300</v>
      </c>
      <c r="L58" s="80">
        <v>23.75</v>
      </c>
      <c r="M58" s="80">
        <f t="shared" si="4"/>
        <v>23.75</v>
      </c>
      <c r="N58" s="80">
        <v>13.75</v>
      </c>
      <c r="P58" s="75">
        <f t="shared" si="3"/>
        <v>6.5472214885050062E-2</v>
      </c>
    </row>
    <row r="59" spans="1:16" ht="21">
      <c r="A59" s="75">
        <v>1.0166220561537915</v>
      </c>
      <c r="B59" s="75">
        <v>0.93451577068991476</v>
      </c>
      <c r="C59" s="75">
        <v>0.92096047492330946</v>
      </c>
      <c r="D59" s="75">
        <v>0.50266891735380559</v>
      </c>
      <c r="E59">
        <v>0.5</v>
      </c>
      <c r="F59">
        <f t="shared" si="0"/>
        <v>0.96938172784610721</v>
      </c>
      <c r="G59" s="15" t="s">
        <v>180</v>
      </c>
      <c r="H59" s="76" t="s">
        <v>94</v>
      </c>
      <c r="I59" s="76">
        <v>300</v>
      </c>
      <c r="J59" s="76">
        <f t="shared" si="1"/>
        <v>300</v>
      </c>
      <c r="K59" s="76">
        <v>300</v>
      </c>
      <c r="L59" s="80">
        <v>23.75</v>
      </c>
      <c r="M59" s="80">
        <f t="shared" si="4"/>
        <v>23.75</v>
      </c>
      <c r="N59" s="80">
        <v>13.75</v>
      </c>
      <c r="P59" s="75">
        <f t="shared" si="3"/>
        <v>1.3555295766605302E-2</v>
      </c>
    </row>
    <row r="60" spans="1:16" ht="21">
      <c r="A60" s="75">
        <v>1.0166220561537915</v>
      </c>
      <c r="B60" s="75">
        <v>0.85539360887492932</v>
      </c>
      <c r="C60" s="75">
        <v>0.83408223394598857</v>
      </c>
      <c r="D60" s="75">
        <v>0.50266891735380559</v>
      </c>
      <c r="E60">
        <v>0.75</v>
      </c>
      <c r="F60">
        <f t="shared" si="0"/>
        <v>0.95914295669548744</v>
      </c>
      <c r="G60" s="15" t="s">
        <v>181</v>
      </c>
      <c r="H60" s="76" t="s">
        <v>95</v>
      </c>
      <c r="I60" s="76">
        <v>300</v>
      </c>
      <c r="J60" s="76">
        <f t="shared" si="1"/>
        <v>300</v>
      </c>
      <c r="K60" s="76">
        <v>300</v>
      </c>
      <c r="L60" s="80">
        <v>23.75</v>
      </c>
      <c r="M60" s="80">
        <f t="shared" si="4"/>
        <v>23.75</v>
      </c>
      <c r="N60" s="80">
        <v>13.75</v>
      </c>
      <c r="P60" s="75">
        <f t="shared" si="3"/>
        <v>2.1311374928940752E-2</v>
      </c>
    </row>
    <row r="61" spans="1:16" ht="21">
      <c r="A61" s="75">
        <v>1.0166220561537915</v>
      </c>
      <c r="B61" s="75">
        <v>0.74792045514459393</v>
      </c>
      <c r="C61" s="75">
        <v>0.7247740403889753</v>
      </c>
      <c r="D61" s="75">
        <v>0.50266891735380559</v>
      </c>
      <c r="E61">
        <v>1</v>
      </c>
      <c r="F61">
        <f t="shared" si="0"/>
        <v>0.95320802681564964</v>
      </c>
      <c r="G61" s="15" t="s">
        <v>182</v>
      </c>
      <c r="H61" s="76" t="s">
        <v>96</v>
      </c>
      <c r="I61" s="76">
        <v>300</v>
      </c>
      <c r="J61" s="76">
        <f t="shared" si="1"/>
        <v>300</v>
      </c>
      <c r="K61" s="76">
        <v>300</v>
      </c>
      <c r="L61" s="80">
        <v>23.75</v>
      </c>
      <c r="M61" s="80">
        <f t="shared" si="4"/>
        <v>23.75</v>
      </c>
      <c r="N61" s="80">
        <v>13.75</v>
      </c>
      <c r="P61" s="75">
        <f t="shared" si="3"/>
        <v>2.3146414755618627E-2</v>
      </c>
    </row>
    <row r="62" spans="1:16" ht="21">
      <c r="A62" s="75">
        <v>1.0166220561537915</v>
      </c>
      <c r="B62" s="75">
        <v>0.51297611611421157</v>
      </c>
      <c r="C62" s="75">
        <v>0.50383407185672446</v>
      </c>
      <c r="D62" s="75">
        <v>0.50266891735380559</v>
      </c>
      <c r="E62">
        <v>1.33</v>
      </c>
      <c r="F62">
        <f t="shared" si="0"/>
        <v>0.96611952818699298</v>
      </c>
      <c r="G62" s="15" t="s">
        <v>183</v>
      </c>
      <c r="H62" s="76" t="s">
        <v>97</v>
      </c>
      <c r="I62" s="76">
        <v>300</v>
      </c>
      <c r="J62" s="76">
        <f t="shared" si="1"/>
        <v>300</v>
      </c>
      <c r="K62" s="76">
        <v>300</v>
      </c>
      <c r="L62" s="80">
        <v>23.75</v>
      </c>
      <c r="M62" s="80">
        <f t="shared" si="4"/>
        <v>23.75</v>
      </c>
      <c r="N62" s="80">
        <v>13.75</v>
      </c>
      <c r="P62" s="75">
        <f t="shared" si="3"/>
        <v>9.142044257487103E-3</v>
      </c>
    </row>
    <row r="63" spans="1:16" ht="21">
      <c r="A63" s="75">
        <v>1.0166220561537915</v>
      </c>
      <c r="B63" s="75">
        <v>0.34278270630913976</v>
      </c>
      <c r="C63" s="75">
        <v>0.33752898589679736</v>
      </c>
      <c r="D63" s="75">
        <v>0.50266891735380559</v>
      </c>
      <c r="E63">
        <v>1.67</v>
      </c>
      <c r="F63">
        <f t="shared" si="0"/>
        <v>0.96857363590908974</v>
      </c>
      <c r="G63" s="15" t="s">
        <v>184</v>
      </c>
      <c r="H63" s="76" t="s">
        <v>98</v>
      </c>
      <c r="I63" s="76">
        <v>300</v>
      </c>
      <c r="J63" s="76">
        <f t="shared" si="1"/>
        <v>300</v>
      </c>
      <c r="K63" s="76">
        <v>300</v>
      </c>
      <c r="L63" s="80">
        <v>23.75</v>
      </c>
      <c r="M63" s="80">
        <f t="shared" si="4"/>
        <v>23.75</v>
      </c>
      <c r="N63" s="80">
        <v>13.75</v>
      </c>
      <c r="P63" s="75">
        <f t="shared" si="3"/>
        <v>5.2537204123423997E-3</v>
      </c>
    </row>
    <row r="64" spans="1:16" ht="21">
      <c r="A64" s="75">
        <v>1.0166220561537915</v>
      </c>
      <c r="B64" s="75">
        <v>0.24409950682520334</v>
      </c>
      <c r="C64" s="75">
        <v>0.24054185701529165</v>
      </c>
      <c r="D64" s="75">
        <v>0.50266891735380559</v>
      </c>
      <c r="E64">
        <v>2</v>
      </c>
      <c r="F64">
        <f t="shared" si="0"/>
        <v>0.96931342947052057</v>
      </c>
      <c r="G64" s="15" t="s">
        <v>185</v>
      </c>
      <c r="H64" s="76" t="s">
        <v>99</v>
      </c>
      <c r="I64" s="76">
        <v>300</v>
      </c>
      <c r="J64" s="76">
        <f t="shared" si="1"/>
        <v>300</v>
      </c>
      <c r="K64" s="76">
        <v>300</v>
      </c>
      <c r="L64" s="80">
        <v>23.75</v>
      </c>
      <c r="M64" s="80">
        <f t="shared" si="4"/>
        <v>23.75</v>
      </c>
      <c r="N64" s="80">
        <v>13.75</v>
      </c>
      <c r="P64" s="75">
        <f t="shared" si="3"/>
        <v>3.5576498099116893E-3</v>
      </c>
    </row>
    <row r="65" spans="1:16" ht="21">
      <c r="A65" s="75">
        <v>1.0166220561537915</v>
      </c>
      <c r="B65" s="75">
        <v>0.15781817803399489</v>
      </c>
      <c r="C65" s="75">
        <v>0.15586827287400998</v>
      </c>
      <c r="D65" s="75">
        <v>0.50266891735380559</v>
      </c>
      <c r="E65">
        <v>2.5</v>
      </c>
      <c r="F65">
        <f t="shared" si="0"/>
        <v>0.97149634309696564</v>
      </c>
      <c r="G65" s="15" t="s">
        <v>186</v>
      </c>
      <c r="H65" s="76" t="s">
        <v>100</v>
      </c>
      <c r="I65" s="76">
        <v>300</v>
      </c>
      <c r="J65" s="76">
        <f t="shared" si="1"/>
        <v>300</v>
      </c>
      <c r="K65" s="76">
        <v>300</v>
      </c>
      <c r="L65" s="80">
        <v>23.75</v>
      </c>
      <c r="M65" s="80">
        <f t="shared" si="4"/>
        <v>23.75</v>
      </c>
      <c r="N65" s="80">
        <v>13.75</v>
      </c>
      <c r="P65" s="75">
        <f t="shared" si="3"/>
        <v>1.949905159984916E-3</v>
      </c>
    </row>
    <row r="66" spans="1:16" ht="21">
      <c r="A66" s="85">
        <v>0.97094580084000337</v>
      </c>
      <c r="B66" s="85">
        <v>1.0495649196349235</v>
      </c>
      <c r="C66" s="85">
        <v>0.96870566307080441</v>
      </c>
      <c r="D66" s="85">
        <v>0.60017711473117275</v>
      </c>
      <c r="E66" s="74">
        <v>0.3</v>
      </c>
      <c r="F66" s="74">
        <f t="shared" si="0"/>
        <v>0.95057753033403525</v>
      </c>
      <c r="G66" s="15" t="s">
        <v>187</v>
      </c>
      <c r="H66" s="76" t="s">
        <v>101</v>
      </c>
      <c r="I66" s="76">
        <v>300</v>
      </c>
      <c r="J66" s="76">
        <f t="shared" si="1"/>
        <v>300</v>
      </c>
      <c r="K66" s="76">
        <v>300</v>
      </c>
      <c r="L66" s="79">
        <v>19.95</v>
      </c>
      <c r="M66" s="79">
        <f t="shared" si="4"/>
        <v>19.95</v>
      </c>
      <c r="N66" s="79">
        <v>11.55</v>
      </c>
      <c r="P66" s="75">
        <f t="shared" si="3"/>
        <v>8.0859256564119075E-2</v>
      </c>
    </row>
    <row r="67" spans="1:16" ht="21">
      <c r="A67" s="85">
        <v>0.97094580084000337</v>
      </c>
      <c r="B67" s="85">
        <v>0.94421739317532427</v>
      </c>
      <c r="C67" s="85">
        <v>0.90915378340804653</v>
      </c>
      <c r="D67" s="85">
        <v>0.60017711473117275</v>
      </c>
      <c r="E67" s="74">
        <v>0.5</v>
      </c>
      <c r="F67" s="74">
        <f t="shared" ref="F67:F130" si="5">C67/(A67*B67)</f>
        <v>0.99167728679837241</v>
      </c>
      <c r="G67" s="15" t="s">
        <v>188</v>
      </c>
      <c r="H67" s="76" t="s">
        <v>102</v>
      </c>
      <c r="I67" s="76">
        <v>300</v>
      </c>
      <c r="J67" s="76">
        <f t="shared" ref="J67:J97" si="6">I67</f>
        <v>300</v>
      </c>
      <c r="K67" s="76">
        <v>300</v>
      </c>
      <c r="L67" s="79">
        <v>19.95</v>
      </c>
      <c r="M67" s="79">
        <f t="shared" si="4"/>
        <v>19.95</v>
      </c>
      <c r="N67" s="79">
        <v>11.55</v>
      </c>
      <c r="P67" s="75">
        <f t="shared" ref="P67:P130" si="7">B67-C67</f>
        <v>3.5063609767277737E-2</v>
      </c>
    </row>
    <row r="68" spans="1:16" ht="21">
      <c r="A68" s="85">
        <v>0.97094580084000337</v>
      </c>
      <c r="B68" s="85">
        <v>0.856073274295722</v>
      </c>
      <c r="C68" s="85">
        <v>0.82443613695351214</v>
      </c>
      <c r="D68" s="85">
        <v>0.60017711473117275</v>
      </c>
      <c r="E68" s="74">
        <v>0.75</v>
      </c>
      <c r="F68" s="74">
        <f t="shared" si="5"/>
        <v>0.99186163640006553</v>
      </c>
      <c r="G68" s="15" t="s">
        <v>189</v>
      </c>
      <c r="H68" s="76" t="s">
        <v>103</v>
      </c>
      <c r="I68" s="76">
        <v>300</v>
      </c>
      <c r="J68" s="76">
        <f t="shared" si="6"/>
        <v>300</v>
      </c>
      <c r="K68" s="76">
        <v>300</v>
      </c>
      <c r="L68" s="79">
        <v>19.95</v>
      </c>
      <c r="M68" s="79">
        <f t="shared" si="4"/>
        <v>19.95</v>
      </c>
      <c r="N68" s="79">
        <v>11.55</v>
      </c>
      <c r="P68" s="75">
        <f t="shared" si="7"/>
        <v>3.1637137342209853E-2</v>
      </c>
    </row>
    <row r="69" spans="1:16" ht="21">
      <c r="A69" s="85">
        <v>0.97094580084000337</v>
      </c>
      <c r="B69" s="85">
        <v>0.74822590636570929</v>
      </c>
      <c r="C69" s="85">
        <v>0.71546240619376666</v>
      </c>
      <c r="D69" s="85">
        <v>0.60017711473117275</v>
      </c>
      <c r="E69" s="74">
        <v>1</v>
      </c>
      <c r="F69" s="74">
        <f t="shared" si="5"/>
        <v>0.98482505718835411</v>
      </c>
      <c r="G69" s="15" t="s">
        <v>190</v>
      </c>
      <c r="H69" s="76" t="s">
        <v>104</v>
      </c>
      <c r="I69" s="76">
        <v>300</v>
      </c>
      <c r="J69" s="76">
        <f t="shared" si="6"/>
        <v>300</v>
      </c>
      <c r="K69" s="76">
        <v>300</v>
      </c>
      <c r="L69" s="79">
        <v>19.95</v>
      </c>
      <c r="M69" s="79">
        <f t="shared" si="4"/>
        <v>19.95</v>
      </c>
      <c r="N69" s="79">
        <v>11.55</v>
      </c>
      <c r="P69" s="75">
        <f t="shared" si="7"/>
        <v>3.2763500171942628E-2</v>
      </c>
    </row>
    <row r="70" spans="1:16" ht="21">
      <c r="A70" s="85">
        <v>0.97094580084000337</v>
      </c>
      <c r="B70" s="85">
        <v>0.51283093602072116</v>
      </c>
      <c r="C70" s="85">
        <v>0.50000346820478114</v>
      </c>
      <c r="D70" s="85">
        <v>0.60017711473117275</v>
      </c>
      <c r="E70" s="74">
        <v>1.33</v>
      </c>
      <c r="F70" s="74">
        <f t="shared" si="5"/>
        <v>1.0041620709536518</v>
      </c>
      <c r="G70" s="15" t="s">
        <v>191</v>
      </c>
      <c r="H70" s="76" t="s">
        <v>105</v>
      </c>
      <c r="I70" s="76">
        <v>300</v>
      </c>
      <c r="J70" s="76">
        <f t="shared" si="6"/>
        <v>300</v>
      </c>
      <c r="K70" s="76">
        <v>300</v>
      </c>
      <c r="L70" s="79">
        <v>19.95</v>
      </c>
      <c r="M70" s="79">
        <f t="shared" si="4"/>
        <v>19.95</v>
      </c>
      <c r="N70" s="79">
        <v>11.55</v>
      </c>
      <c r="P70" s="75">
        <f t="shared" si="7"/>
        <v>1.2827467815940019E-2</v>
      </c>
    </row>
    <row r="71" spans="1:16" ht="21">
      <c r="A71" s="85">
        <v>0.97094580084000337</v>
      </c>
      <c r="B71" s="85">
        <v>0.34257880343929148</v>
      </c>
      <c r="C71" s="85">
        <v>0.33565974992264708</v>
      </c>
      <c r="D71" s="85">
        <v>0.60017711473117275</v>
      </c>
      <c r="E71" s="74">
        <v>1.67</v>
      </c>
      <c r="F71" s="74">
        <f t="shared" si="5"/>
        <v>1.0091222702907678</v>
      </c>
      <c r="G71" s="15" t="s">
        <v>192</v>
      </c>
      <c r="H71" s="76" t="s">
        <v>106</v>
      </c>
      <c r="I71" s="76">
        <v>300</v>
      </c>
      <c r="J71" s="76">
        <f t="shared" si="6"/>
        <v>300</v>
      </c>
      <c r="K71" s="76">
        <v>300</v>
      </c>
      <c r="L71" s="79">
        <v>19.95</v>
      </c>
      <c r="M71" s="79">
        <f t="shared" si="4"/>
        <v>19.95</v>
      </c>
      <c r="N71" s="79">
        <v>11.55</v>
      </c>
      <c r="P71" s="75">
        <f t="shared" si="7"/>
        <v>6.9190535166444023E-3</v>
      </c>
    </row>
    <row r="72" spans="1:16" ht="21">
      <c r="A72" s="85">
        <v>0.97094580084000337</v>
      </c>
      <c r="B72" s="85">
        <v>0.24390668635338844</v>
      </c>
      <c r="C72" s="85">
        <v>0.2393681184455809</v>
      </c>
      <c r="D72" s="85">
        <v>0.60017711473117275</v>
      </c>
      <c r="E72" s="74">
        <v>2</v>
      </c>
      <c r="F72" s="74">
        <f t="shared" si="5"/>
        <v>1.0107589885719299</v>
      </c>
      <c r="G72" s="15" t="s">
        <v>193</v>
      </c>
      <c r="H72" s="76" t="s">
        <v>107</v>
      </c>
      <c r="I72" s="76">
        <v>300</v>
      </c>
      <c r="J72" s="76">
        <f t="shared" si="6"/>
        <v>300</v>
      </c>
      <c r="K72" s="76">
        <v>300</v>
      </c>
      <c r="L72" s="79">
        <v>19.95</v>
      </c>
      <c r="M72" s="79">
        <f t="shared" si="4"/>
        <v>19.95</v>
      </c>
      <c r="N72" s="79">
        <v>11.55</v>
      </c>
      <c r="P72" s="75">
        <f t="shared" si="7"/>
        <v>4.5385679078075447E-3</v>
      </c>
    </row>
    <row r="73" spans="1:16" ht="21">
      <c r="A73" s="85">
        <v>0.97094580084000337</v>
      </c>
      <c r="B73" s="85">
        <v>0.15763196814682243</v>
      </c>
      <c r="C73" s="85">
        <v>0.15525741360999298</v>
      </c>
      <c r="D73" s="85">
        <v>0.60017711473117275</v>
      </c>
      <c r="E73" s="74">
        <v>2.5</v>
      </c>
      <c r="F73" s="74">
        <f t="shared" si="5"/>
        <v>1.0144089241179186</v>
      </c>
      <c r="G73" s="15" t="s">
        <v>194</v>
      </c>
      <c r="H73" s="76" t="s">
        <v>108</v>
      </c>
      <c r="I73" s="76">
        <v>300</v>
      </c>
      <c r="J73" s="76">
        <f t="shared" si="6"/>
        <v>300</v>
      </c>
      <c r="K73" s="76">
        <v>300</v>
      </c>
      <c r="L73" s="79">
        <v>19.95</v>
      </c>
      <c r="M73" s="79">
        <f t="shared" si="4"/>
        <v>19.95</v>
      </c>
      <c r="N73" s="79">
        <v>11.55</v>
      </c>
      <c r="P73" s="75">
        <f t="shared" si="7"/>
        <v>2.374554536829443E-3</v>
      </c>
    </row>
    <row r="74" spans="1:16" ht="21">
      <c r="A74" s="88">
        <v>0.81482727293442681</v>
      </c>
      <c r="B74" s="88">
        <v>1.055709313589839</v>
      </c>
      <c r="C74" s="88">
        <v>0.86843821756746331</v>
      </c>
      <c r="D74" s="88">
        <v>0.80073751797666637</v>
      </c>
      <c r="E74" s="90">
        <v>0.3</v>
      </c>
      <c r="F74" s="90">
        <f t="shared" si="5"/>
        <v>1.0095527533479247</v>
      </c>
      <c r="G74" s="15" t="s">
        <v>195</v>
      </c>
      <c r="H74" s="76" t="s">
        <v>109</v>
      </c>
      <c r="I74" s="76">
        <v>300</v>
      </c>
      <c r="J74" s="76">
        <f t="shared" si="6"/>
        <v>300</v>
      </c>
      <c r="K74" s="76">
        <v>300</v>
      </c>
      <c r="L74" s="78">
        <v>15.010000000000002</v>
      </c>
      <c r="M74" s="78">
        <f t="shared" si="4"/>
        <v>15.010000000000002</v>
      </c>
      <c r="N74" s="78">
        <v>8.6900000000000013</v>
      </c>
      <c r="P74" s="88">
        <f t="shared" si="7"/>
        <v>0.18727109602237568</v>
      </c>
    </row>
    <row r="75" spans="1:16" ht="21">
      <c r="A75" s="75">
        <v>0.81482727293442681</v>
      </c>
      <c r="B75" s="75">
        <v>0.95395468152325491</v>
      </c>
      <c r="C75" s="75">
        <v>0.83496903496968833</v>
      </c>
      <c r="D75" s="75">
        <v>0.80073751797666637</v>
      </c>
      <c r="E75">
        <v>0.5</v>
      </c>
      <c r="F75">
        <f t="shared" si="5"/>
        <v>1.0741800183280819</v>
      </c>
      <c r="G75" s="15" t="s">
        <v>196</v>
      </c>
      <c r="H75" s="76" t="s">
        <v>110</v>
      </c>
      <c r="I75" s="76">
        <v>300</v>
      </c>
      <c r="J75" s="76">
        <f t="shared" si="6"/>
        <v>300</v>
      </c>
      <c r="K75" s="76">
        <v>300</v>
      </c>
      <c r="L75" s="78">
        <v>15.010000000000002</v>
      </c>
      <c r="M75" s="78">
        <f t="shared" si="4"/>
        <v>15.010000000000002</v>
      </c>
      <c r="N75" s="78">
        <v>8.6900000000000013</v>
      </c>
      <c r="P75" s="92">
        <f t="shared" si="7"/>
        <v>0.11898564655356658</v>
      </c>
    </row>
    <row r="76" spans="1:16" ht="21">
      <c r="A76" s="75">
        <v>0.81482727293442681</v>
      </c>
      <c r="B76" s="75">
        <v>0.85884594245484192</v>
      </c>
      <c r="C76" s="75">
        <v>0.77469678100265393</v>
      </c>
      <c r="D76" s="75">
        <v>0.80073751797666637</v>
      </c>
      <c r="E76">
        <v>0.75</v>
      </c>
      <c r="F76">
        <f t="shared" si="5"/>
        <v>1.1070084257668173</v>
      </c>
      <c r="G76" s="15" t="s">
        <v>197</v>
      </c>
      <c r="H76" s="76" t="s">
        <v>111</v>
      </c>
      <c r="I76" s="76">
        <v>300</v>
      </c>
      <c r="J76" s="76">
        <f t="shared" si="6"/>
        <v>300</v>
      </c>
      <c r="K76" s="76">
        <v>300</v>
      </c>
      <c r="L76" s="78">
        <v>15.010000000000002</v>
      </c>
      <c r="M76" s="78">
        <f t="shared" si="4"/>
        <v>15.010000000000002</v>
      </c>
      <c r="N76" s="78">
        <v>8.6900000000000013</v>
      </c>
      <c r="P76" s="75">
        <f t="shared" si="7"/>
        <v>8.4149161452187982E-2</v>
      </c>
    </row>
    <row r="77" spans="1:16" ht="21">
      <c r="A77" s="75">
        <v>0.81482727293442681</v>
      </c>
      <c r="B77" s="75">
        <v>0.7425424324423664</v>
      </c>
      <c r="C77" s="75">
        <v>0.68010071871453104</v>
      </c>
      <c r="D77" s="75">
        <v>0.80073751797666637</v>
      </c>
      <c r="E77">
        <v>1</v>
      </c>
      <c r="F77">
        <f t="shared" si="5"/>
        <v>1.1240519947733281</v>
      </c>
      <c r="G77" s="15" t="s">
        <v>198</v>
      </c>
      <c r="H77" s="76" t="s">
        <v>112</v>
      </c>
      <c r="I77" s="76">
        <v>300</v>
      </c>
      <c r="J77" s="76">
        <f t="shared" si="6"/>
        <v>300</v>
      </c>
      <c r="K77" s="76">
        <v>300</v>
      </c>
      <c r="L77" s="78">
        <v>15.010000000000002</v>
      </c>
      <c r="M77" s="78">
        <f t="shared" si="4"/>
        <v>15.010000000000002</v>
      </c>
      <c r="N77" s="78">
        <v>8.6900000000000013</v>
      </c>
      <c r="P77" s="75">
        <f t="shared" si="7"/>
        <v>6.2441713727835357E-2</v>
      </c>
    </row>
    <row r="78" spans="1:16" ht="21">
      <c r="A78" s="75">
        <v>0.81482727293442681</v>
      </c>
      <c r="B78" s="75">
        <v>0.51305870682232191</v>
      </c>
      <c r="C78" s="75">
        <v>0.48672765931845702</v>
      </c>
      <c r="D78" s="75">
        <v>0.80073751797666637</v>
      </c>
      <c r="E78">
        <v>1.33</v>
      </c>
      <c r="F78">
        <f t="shared" si="5"/>
        <v>1.1642691975311368</v>
      </c>
      <c r="G78" s="15" t="s">
        <v>199</v>
      </c>
      <c r="H78" s="76" t="s">
        <v>113</v>
      </c>
      <c r="I78" s="76">
        <v>300</v>
      </c>
      <c r="J78" s="76">
        <f t="shared" si="6"/>
        <v>300</v>
      </c>
      <c r="K78" s="76">
        <v>300</v>
      </c>
      <c r="L78" s="78">
        <v>15.010000000000002</v>
      </c>
      <c r="M78" s="78">
        <f t="shared" si="4"/>
        <v>15.010000000000002</v>
      </c>
      <c r="N78" s="78">
        <v>8.6900000000000013</v>
      </c>
      <c r="P78" s="75">
        <f t="shared" si="7"/>
        <v>2.6331047503864891E-2</v>
      </c>
    </row>
    <row r="79" spans="1:16" ht="21">
      <c r="A79" s="75">
        <v>0.81482727293442681</v>
      </c>
      <c r="B79" s="75">
        <v>0.34262167717390868</v>
      </c>
      <c r="C79" s="75">
        <v>0.33008987934597822</v>
      </c>
      <c r="D79" s="75">
        <v>0.80073751797666637</v>
      </c>
      <c r="E79">
        <v>1.67</v>
      </c>
      <c r="F79">
        <f t="shared" si="5"/>
        <v>1.1823656809107386</v>
      </c>
      <c r="G79" s="15" t="s">
        <v>200</v>
      </c>
      <c r="H79" s="76" t="s">
        <v>114</v>
      </c>
      <c r="I79" s="76">
        <v>300</v>
      </c>
      <c r="J79" s="76">
        <f t="shared" si="6"/>
        <v>300</v>
      </c>
      <c r="K79" s="76">
        <v>300</v>
      </c>
      <c r="L79" s="78">
        <v>15.010000000000002</v>
      </c>
      <c r="M79" s="78">
        <f t="shared" si="4"/>
        <v>15.010000000000002</v>
      </c>
      <c r="N79" s="78">
        <v>8.6900000000000013</v>
      </c>
      <c r="P79" s="75">
        <f t="shared" si="7"/>
        <v>1.2531797827930458E-2</v>
      </c>
    </row>
    <row r="80" spans="1:16" ht="21">
      <c r="A80" s="75">
        <v>0.81482727293442681</v>
      </c>
      <c r="B80" s="75">
        <v>0.24388500498809162</v>
      </c>
      <c r="C80" s="75">
        <v>0.23620570209356076</v>
      </c>
      <c r="D80" s="75">
        <v>0.80073751797666637</v>
      </c>
      <c r="E80">
        <v>2</v>
      </c>
      <c r="F80">
        <f t="shared" si="5"/>
        <v>1.188610935836643</v>
      </c>
      <c r="G80" s="15" t="s">
        <v>201</v>
      </c>
      <c r="H80" s="76" t="s">
        <v>115</v>
      </c>
      <c r="I80" s="76">
        <v>300</v>
      </c>
      <c r="J80" s="76">
        <f t="shared" si="6"/>
        <v>300</v>
      </c>
      <c r="K80" s="76">
        <v>300</v>
      </c>
      <c r="L80" s="78">
        <v>15.010000000000002</v>
      </c>
      <c r="M80" s="78">
        <f t="shared" si="4"/>
        <v>15.010000000000002</v>
      </c>
      <c r="N80" s="78">
        <v>8.6900000000000013</v>
      </c>
      <c r="P80" s="75">
        <f t="shared" si="7"/>
        <v>7.679302894530865E-3</v>
      </c>
    </row>
    <row r="81" spans="1:16" ht="21">
      <c r="A81" s="75">
        <v>0.81482727293442681</v>
      </c>
      <c r="B81" s="75">
        <v>0.15821130984103315</v>
      </c>
      <c r="C81" s="75">
        <v>0.15406008376740388</v>
      </c>
      <c r="D81" s="75">
        <v>0.80073751797666637</v>
      </c>
      <c r="E81">
        <v>2.5</v>
      </c>
      <c r="F81">
        <f t="shared" si="5"/>
        <v>1.1950526707499711</v>
      </c>
      <c r="G81" s="15" t="s">
        <v>202</v>
      </c>
      <c r="H81" s="76" t="s">
        <v>116</v>
      </c>
      <c r="I81" s="76">
        <v>300</v>
      </c>
      <c r="J81" s="76">
        <f t="shared" si="6"/>
        <v>300</v>
      </c>
      <c r="K81" s="76">
        <v>300</v>
      </c>
      <c r="L81" s="78">
        <v>15.010000000000002</v>
      </c>
      <c r="M81" s="78">
        <f t="shared" si="4"/>
        <v>15.010000000000002</v>
      </c>
      <c r="N81" s="78">
        <v>8.6900000000000013</v>
      </c>
      <c r="P81" s="75">
        <f t="shared" si="7"/>
        <v>4.1512260736292772E-3</v>
      </c>
    </row>
    <row r="82" spans="1:16" ht="21">
      <c r="A82" s="88">
        <v>0.66862420737717243</v>
      </c>
      <c r="B82" s="88">
        <v>1.0649531671313468</v>
      </c>
      <c r="C82" s="88">
        <v>0.69767283822642301</v>
      </c>
      <c r="D82" s="88">
        <v>1.1133395391615006</v>
      </c>
      <c r="E82" s="90">
        <v>0.3</v>
      </c>
      <c r="F82" s="90">
        <f t="shared" si="5"/>
        <v>0.97980400391029798</v>
      </c>
      <c r="G82" s="15" t="s">
        <v>203</v>
      </c>
      <c r="H82" s="76" t="s">
        <v>117</v>
      </c>
      <c r="I82" s="76">
        <v>300</v>
      </c>
      <c r="J82" s="76">
        <f t="shared" si="6"/>
        <v>300</v>
      </c>
      <c r="K82" s="76">
        <v>300</v>
      </c>
      <c r="L82" s="81">
        <v>10.829999999999998</v>
      </c>
      <c r="M82" s="81">
        <f t="shared" si="4"/>
        <v>10.829999999999998</v>
      </c>
      <c r="N82" s="81">
        <v>6.27</v>
      </c>
      <c r="P82" s="88">
        <f t="shared" si="7"/>
        <v>0.36728032890492379</v>
      </c>
    </row>
    <row r="83" spans="1:16" ht="21">
      <c r="A83" s="88">
        <v>0.66862420737717243</v>
      </c>
      <c r="B83" s="88">
        <v>0.98039199456731752</v>
      </c>
      <c r="C83" s="88">
        <v>0.66901158327801735</v>
      </c>
      <c r="D83" s="88">
        <v>1.1133395391615006</v>
      </c>
      <c r="E83" s="90">
        <v>0.5</v>
      </c>
      <c r="F83" s="90">
        <f t="shared" si="5"/>
        <v>1.0205911188655339</v>
      </c>
      <c r="G83" s="15" t="s">
        <v>204</v>
      </c>
      <c r="H83" s="76" t="s">
        <v>118</v>
      </c>
      <c r="I83" s="76">
        <v>300</v>
      </c>
      <c r="J83" s="76">
        <f t="shared" si="6"/>
        <v>300</v>
      </c>
      <c r="K83" s="76">
        <v>300</v>
      </c>
      <c r="L83" s="81">
        <v>10.829999999999998</v>
      </c>
      <c r="M83" s="81">
        <f t="shared" si="4"/>
        <v>10.829999999999998</v>
      </c>
      <c r="N83" s="81">
        <v>6.27</v>
      </c>
      <c r="P83" s="88">
        <f t="shared" si="7"/>
        <v>0.31138041128930016</v>
      </c>
    </row>
    <row r="84" spans="1:16" ht="21">
      <c r="A84" s="88">
        <v>0.66862420737717243</v>
      </c>
      <c r="B84" s="88">
        <v>0.86410892705775522</v>
      </c>
      <c r="C84" s="88">
        <v>0.61844053064729232</v>
      </c>
      <c r="D84" s="88">
        <v>1.1133395391615006</v>
      </c>
      <c r="E84" s="90">
        <v>0.75</v>
      </c>
      <c r="F84" s="90">
        <f t="shared" si="5"/>
        <v>1.0704030952011978</v>
      </c>
      <c r="G84" s="15" t="s">
        <v>205</v>
      </c>
      <c r="H84" s="76" t="s">
        <v>119</v>
      </c>
      <c r="I84" s="76">
        <v>300</v>
      </c>
      <c r="J84" s="76">
        <f t="shared" si="6"/>
        <v>300</v>
      </c>
      <c r="K84" s="76">
        <v>300</v>
      </c>
      <c r="L84" s="81">
        <v>10.829999999999998</v>
      </c>
      <c r="M84" s="81">
        <f t="shared" si="4"/>
        <v>10.829999999999998</v>
      </c>
      <c r="N84" s="81">
        <v>6.27</v>
      </c>
      <c r="P84" s="88">
        <f t="shared" si="7"/>
        <v>0.2456683964104629</v>
      </c>
    </row>
    <row r="85" spans="1:16" ht="21">
      <c r="A85" s="88">
        <v>0.66862420737717243</v>
      </c>
      <c r="B85" s="88">
        <v>0.74467506580526599</v>
      </c>
      <c r="C85" s="88">
        <v>0.55279345671472691</v>
      </c>
      <c r="D85" s="88">
        <v>1.1133395391615006</v>
      </c>
      <c r="E85" s="90">
        <v>1</v>
      </c>
      <c r="F85" s="90">
        <f t="shared" si="5"/>
        <v>1.1102326249433569</v>
      </c>
      <c r="G85" s="15" t="s">
        <v>206</v>
      </c>
      <c r="H85" s="76" t="s">
        <v>120</v>
      </c>
      <c r="I85" s="76">
        <v>300</v>
      </c>
      <c r="J85" s="76">
        <f t="shared" si="6"/>
        <v>300</v>
      </c>
      <c r="K85" s="76">
        <v>300</v>
      </c>
      <c r="L85" s="81">
        <v>10.829999999999998</v>
      </c>
      <c r="M85" s="81">
        <f t="shared" si="4"/>
        <v>10.829999999999998</v>
      </c>
      <c r="N85" s="81">
        <v>6.27</v>
      </c>
      <c r="P85" s="88">
        <f t="shared" si="7"/>
        <v>0.19188160909053908</v>
      </c>
    </row>
    <row r="86" spans="1:16" ht="21">
      <c r="A86" s="85">
        <v>0.66862420737717243</v>
      </c>
      <c r="B86" s="85">
        <v>0.51417814092323599</v>
      </c>
      <c r="C86" s="85">
        <v>0.42779819126392482</v>
      </c>
      <c r="D86" s="85">
        <v>1.1133395391615006</v>
      </c>
      <c r="E86" s="74">
        <v>1.33</v>
      </c>
      <c r="F86" s="74">
        <f t="shared" si="5"/>
        <v>1.2443519659723461</v>
      </c>
      <c r="G86" s="15" t="s">
        <v>207</v>
      </c>
      <c r="H86" s="76" t="s">
        <v>121</v>
      </c>
      <c r="I86" s="76">
        <v>300</v>
      </c>
      <c r="J86" s="76">
        <f t="shared" si="6"/>
        <v>300</v>
      </c>
      <c r="K86" s="76">
        <v>300</v>
      </c>
      <c r="L86" s="81">
        <v>10.829999999999998</v>
      </c>
      <c r="M86" s="81">
        <f t="shared" si="4"/>
        <v>10.829999999999998</v>
      </c>
      <c r="N86" s="81">
        <v>6.27</v>
      </c>
      <c r="P86" s="75">
        <f t="shared" si="7"/>
        <v>8.6379949659311173E-2</v>
      </c>
    </row>
    <row r="87" spans="1:16" ht="21">
      <c r="A87" s="85">
        <v>0.66862420737717243</v>
      </c>
      <c r="B87" s="85">
        <v>0.34321434913290416</v>
      </c>
      <c r="C87" s="85">
        <v>0.30570883017534423</v>
      </c>
      <c r="D87" s="85">
        <v>1.1133395391615006</v>
      </c>
      <c r="E87" s="74">
        <v>1.67</v>
      </c>
      <c r="F87" s="74">
        <f t="shared" si="5"/>
        <v>1.3321724578481891</v>
      </c>
      <c r="G87" s="15" t="s">
        <v>208</v>
      </c>
      <c r="H87" s="76" t="s">
        <v>122</v>
      </c>
      <c r="I87" s="76">
        <v>300</v>
      </c>
      <c r="J87" s="76">
        <f t="shared" si="6"/>
        <v>300</v>
      </c>
      <c r="K87" s="76">
        <v>300</v>
      </c>
      <c r="L87" s="81">
        <v>10.829999999999998</v>
      </c>
      <c r="M87" s="81">
        <f t="shared" si="4"/>
        <v>10.829999999999998</v>
      </c>
      <c r="N87" s="81">
        <v>6.27</v>
      </c>
      <c r="P87" s="75">
        <f t="shared" si="7"/>
        <v>3.7505518957559936E-2</v>
      </c>
    </row>
    <row r="88" spans="1:16" ht="21">
      <c r="A88" s="85">
        <v>0.66862420737717243</v>
      </c>
      <c r="B88" s="85">
        <v>0.24427596025345175</v>
      </c>
      <c r="C88" s="85">
        <v>0.22351763481439338</v>
      </c>
      <c r="D88" s="85">
        <v>1.1133395391615006</v>
      </c>
      <c r="E88" s="74">
        <v>2</v>
      </c>
      <c r="F88" s="74">
        <f t="shared" si="5"/>
        <v>1.3685131282767748</v>
      </c>
      <c r="G88" s="15" t="s">
        <v>209</v>
      </c>
      <c r="H88" s="76" t="s">
        <v>123</v>
      </c>
      <c r="I88" s="76">
        <v>300</v>
      </c>
      <c r="J88" s="76">
        <f t="shared" si="6"/>
        <v>300</v>
      </c>
      <c r="K88" s="76">
        <v>300</v>
      </c>
      <c r="L88" s="81">
        <v>10.829999999999998</v>
      </c>
      <c r="M88" s="81">
        <f t="shared" si="4"/>
        <v>10.829999999999998</v>
      </c>
      <c r="N88" s="81">
        <v>6.27</v>
      </c>
      <c r="P88" s="75">
        <f t="shared" si="7"/>
        <v>2.0758325439058367E-2</v>
      </c>
    </row>
    <row r="89" spans="1:16" ht="21">
      <c r="A89" s="85">
        <v>0.66862420737717243</v>
      </c>
      <c r="B89" s="85">
        <v>0.15840056781587511</v>
      </c>
      <c r="C89" s="85">
        <v>0.14788722682681468</v>
      </c>
      <c r="D89" s="85">
        <v>1.1133395391615006</v>
      </c>
      <c r="E89" s="74">
        <v>2.5</v>
      </c>
      <c r="F89" s="74">
        <f t="shared" si="5"/>
        <v>1.3963421087933217</v>
      </c>
      <c r="G89" s="15" t="s">
        <v>210</v>
      </c>
      <c r="H89" s="76" t="s">
        <v>124</v>
      </c>
      <c r="I89" s="76">
        <v>300</v>
      </c>
      <c r="J89" s="76">
        <f t="shared" si="6"/>
        <v>300</v>
      </c>
      <c r="K89" s="76">
        <v>300</v>
      </c>
      <c r="L89" s="81">
        <v>10.829999999999998</v>
      </c>
      <c r="M89" s="81">
        <f t="shared" si="4"/>
        <v>10.829999999999998</v>
      </c>
      <c r="N89" s="81">
        <v>6.27</v>
      </c>
      <c r="P89" s="75">
        <f t="shared" si="7"/>
        <v>1.0513340989060427E-2</v>
      </c>
    </row>
    <row r="90" spans="1:16" ht="21">
      <c r="A90" s="88">
        <v>0.58600394911666143</v>
      </c>
      <c r="B90" s="88">
        <v>1.0748632022197855</v>
      </c>
      <c r="C90" s="88">
        <v>0.59377371584786665</v>
      </c>
      <c r="D90" s="88">
        <v>1.5142327300352278</v>
      </c>
      <c r="E90" s="90">
        <v>0.3</v>
      </c>
      <c r="F90" s="90">
        <f t="shared" si="5"/>
        <v>0.94268637734571137</v>
      </c>
      <c r="G90" s="15" t="s">
        <v>211</v>
      </c>
      <c r="H90" s="76" t="s">
        <v>125</v>
      </c>
      <c r="I90" s="76">
        <v>300</v>
      </c>
      <c r="J90" s="76">
        <f t="shared" si="6"/>
        <v>300</v>
      </c>
      <c r="K90" s="76">
        <v>300</v>
      </c>
      <c r="L90" s="78">
        <v>7.9799999999999995</v>
      </c>
      <c r="M90" s="78">
        <f t="shared" si="4"/>
        <v>7.9799999999999995</v>
      </c>
      <c r="N90" s="78">
        <v>4.62</v>
      </c>
      <c r="P90" s="88">
        <f t="shared" si="7"/>
        <v>0.48108948637191884</v>
      </c>
    </row>
    <row r="91" spans="1:16" ht="21">
      <c r="A91" s="88">
        <v>0.58600394911666143</v>
      </c>
      <c r="B91" s="88">
        <v>0.98935251551266434</v>
      </c>
      <c r="C91" s="88">
        <v>0.56525309524492051</v>
      </c>
      <c r="D91" s="88">
        <v>1.5142327300352278</v>
      </c>
      <c r="E91" s="90">
        <v>0.5</v>
      </c>
      <c r="F91" s="90">
        <f t="shared" si="5"/>
        <v>0.97497020534097545</v>
      </c>
      <c r="G91" s="15" t="s">
        <v>212</v>
      </c>
      <c r="H91" s="76" t="s">
        <v>126</v>
      </c>
      <c r="I91" s="76">
        <v>300</v>
      </c>
      <c r="J91" s="76">
        <f t="shared" si="6"/>
        <v>300</v>
      </c>
      <c r="K91" s="76">
        <v>300</v>
      </c>
      <c r="L91" s="78">
        <v>7.9799999999999995</v>
      </c>
      <c r="M91" s="78">
        <f t="shared" si="4"/>
        <v>7.9799999999999995</v>
      </c>
      <c r="N91" s="78">
        <v>4.62</v>
      </c>
      <c r="P91" s="88">
        <f t="shared" si="7"/>
        <v>0.42409942026774383</v>
      </c>
    </row>
    <row r="92" spans="1:16" ht="21">
      <c r="A92" s="88">
        <v>0.58600394911666143</v>
      </c>
      <c r="B92" s="88">
        <v>0.87043852692303869</v>
      </c>
      <c r="C92" s="88">
        <v>0.50184396322631442</v>
      </c>
      <c r="D92" s="88">
        <v>1.5142327300352278</v>
      </c>
      <c r="E92" s="90">
        <v>0.75</v>
      </c>
      <c r="F92" s="90">
        <f t="shared" si="5"/>
        <v>0.98385264208557266</v>
      </c>
      <c r="G92" s="15" t="s">
        <v>213</v>
      </c>
      <c r="H92" s="76" t="s">
        <v>127</v>
      </c>
      <c r="I92" s="76">
        <v>300</v>
      </c>
      <c r="J92" s="76">
        <f t="shared" si="6"/>
        <v>300</v>
      </c>
      <c r="K92" s="76">
        <v>300</v>
      </c>
      <c r="L92" s="78">
        <v>7.9799999999999995</v>
      </c>
      <c r="M92" s="78">
        <f t="shared" si="4"/>
        <v>7.9799999999999995</v>
      </c>
      <c r="N92" s="78">
        <v>4.62</v>
      </c>
      <c r="P92" s="88">
        <f t="shared" si="7"/>
        <v>0.36859456369672428</v>
      </c>
    </row>
    <row r="93" spans="1:16" ht="21">
      <c r="A93" s="88">
        <v>0.58600394911666143</v>
      </c>
      <c r="B93" s="88">
        <v>0.74787218636230246</v>
      </c>
      <c r="C93" s="88">
        <v>0.42676820348459149</v>
      </c>
      <c r="D93" s="88">
        <v>1.5142327300352278</v>
      </c>
      <c r="E93" s="90">
        <v>1</v>
      </c>
      <c r="F93" s="90">
        <f t="shared" si="5"/>
        <v>0.97378735322300991</v>
      </c>
      <c r="G93" s="15" t="s">
        <v>214</v>
      </c>
      <c r="H93" s="76" t="s">
        <v>128</v>
      </c>
      <c r="I93" s="76">
        <v>300</v>
      </c>
      <c r="J93" s="76">
        <f t="shared" si="6"/>
        <v>300</v>
      </c>
      <c r="K93" s="76">
        <v>300</v>
      </c>
      <c r="L93" s="78">
        <v>7.9799999999999995</v>
      </c>
      <c r="M93" s="78">
        <f t="shared" si="4"/>
        <v>7.9799999999999995</v>
      </c>
      <c r="N93" s="78">
        <v>4.62</v>
      </c>
      <c r="P93" s="88">
        <f t="shared" si="7"/>
        <v>0.32110398287771097</v>
      </c>
    </row>
    <row r="94" spans="1:16" ht="21">
      <c r="A94" s="88">
        <v>0.58600394911666143</v>
      </c>
      <c r="B94" s="88">
        <v>0.51577244778626485</v>
      </c>
      <c r="C94" s="88">
        <v>0.32726898356734857</v>
      </c>
      <c r="D94" s="88">
        <v>1.5142327300352278</v>
      </c>
      <c r="E94" s="90">
        <v>1.33</v>
      </c>
      <c r="F94" s="90">
        <f t="shared" si="5"/>
        <v>1.0827948117655137</v>
      </c>
      <c r="G94" s="15" t="s">
        <v>215</v>
      </c>
      <c r="H94" s="76" t="s">
        <v>129</v>
      </c>
      <c r="I94" s="76">
        <v>300</v>
      </c>
      <c r="J94" s="76">
        <f t="shared" si="6"/>
        <v>300</v>
      </c>
      <c r="K94" s="76">
        <v>300</v>
      </c>
      <c r="L94" s="78">
        <v>7.9799999999999995</v>
      </c>
      <c r="M94" s="78">
        <f t="shared" si="4"/>
        <v>7.9799999999999995</v>
      </c>
      <c r="N94" s="78">
        <v>4.62</v>
      </c>
      <c r="P94" s="88">
        <f t="shared" si="7"/>
        <v>0.18850346421891628</v>
      </c>
    </row>
    <row r="95" spans="1:16" ht="21">
      <c r="A95" s="75">
        <v>0.58600394911666143</v>
      </c>
      <c r="B95" s="75">
        <v>0.34429861824517893</v>
      </c>
      <c r="C95" s="75">
        <v>0.24588840019378524</v>
      </c>
      <c r="D95" s="75">
        <v>1.5142327300352278</v>
      </c>
      <c r="E95">
        <v>1.67</v>
      </c>
      <c r="F95">
        <f t="shared" si="5"/>
        <v>1.218715174879007</v>
      </c>
      <c r="G95" s="15" t="s">
        <v>216</v>
      </c>
      <c r="H95" s="76" t="s">
        <v>130</v>
      </c>
      <c r="I95" s="76">
        <v>300</v>
      </c>
      <c r="J95" s="76">
        <f t="shared" si="6"/>
        <v>300</v>
      </c>
      <c r="K95" s="76">
        <v>300</v>
      </c>
      <c r="L95" s="78">
        <v>7.9799999999999995</v>
      </c>
      <c r="M95" s="78">
        <f t="shared" si="4"/>
        <v>7.9799999999999995</v>
      </c>
      <c r="N95" s="78">
        <v>4.62</v>
      </c>
      <c r="P95" s="75">
        <f t="shared" si="7"/>
        <v>9.8410218051393689E-2</v>
      </c>
    </row>
    <row r="96" spans="1:16" ht="21">
      <c r="A96" s="75">
        <v>0.58600394911666143</v>
      </c>
      <c r="B96" s="75">
        <v>0.24500861628081685</v>
      </c>
      <c r="C96" s="75">
        <v>0.18855726168213463</v>
      </c>
      <c r="D96" s="75">
        <v>1.5142327300352278</v>
      </c>
      <c r="E96">
        <v>2</v>
      </c>
      <c r="F96">
        <f t="shared" si="5"/>
        <v>1.3132921918665295</v>
      </c>
      <c r="G96" s="31" t="s">
        <v>217</v>
      </c>
      <c r="H96" s="76" t="s">
        <v>131</v>
      </c>
      <c r="I96" s="76">
        <v>300</v>
      </c>
      <c r="J96" s="76">
        <f t="shared" si="6"/>
        <v>300</v>
      </c>
      <c r="K96" s="76">
        <v>300</v>
      </c>
      <c r="L96" s="78">
        <v>7.9799999999999995</v>
      </c>
      <c r="M96" s="78">
        <f t="shared" si="4"/>
        <v>7.9799999999999995</v>
      </c>
      <c r="N96" s="78">
        <v>4.62</v>
      </c>
      <c r="P96" s="75">
        <f t="shared" si="7"/>
        <v>5.6451354598682224E-2</v>
      </c>
    </row>
    <row r="97" spans="1:16" ht="21.75" thickBot="1">
      <c r="A97" s="75">
        <v>0.58600394911666143</v>
      </c>
      <c r="B97" s="75">
        <v>0.15882874384918752</v>
      </c>
      <c r="C97" s="75">
        <v>0.13074854265391256</v>
      </c>
      <c r="D97" s="75">
        <v>1.5142327300352278</v>
      </c>
      <c r="E97">
        <v>2.5</v>
      </c>
      <c r="F97">
        <f t="shared" si="5"/>
        <v>1.4047764335741024</v>
      </c>
      <c r="G97" s="42" t="s">
        <v>226</v>
      </c>
      <c r="H97" s="76" t="s">
        <v>132</v>
      </c>
      <c r="I97" s="76">
        <v>300</v>
      </c>
      <c r="J97" s="76">
        <f t="shared" si="6"/>
        <v>300</v>
      </c>
      <c r="K97" s="76">
        <v>300</v>
      </c>
      <c r="L97" s="78">
        <v>7.9799999999999995</v>
      </c>
      <c r="M97" s="78">
        <f t="shared" si="4"/>
        <v>7.9799999999999995</v>
      </c>
      <c r="N97" s="78">
        <v>4.62</v>
      </c>
      <c r="P97" s="75">
        <f t="shared" si="7"/>
        <v>2.8080201195274962E-2</v>
      </c>
    </row>
    <row r="98" spans="1:16" ht="21">
      <c r="A98" s="85">
        <v>1.1097256933415107</v>
      </c>
      <c r="B98" s="85">
        <v>1.1341320917606239</v>
      </c>
      <c r="C98" s="85">
        <v>0.99204633672278386</v>
      </c>
      <c r="D98" s="85">
        <v>0.3550200773318104</v>
      </c>
      <c r="E98" s="74">
        <v>0.3</v>
      </c>
      <c r="F98" s="74">
        <f t="shared" si="5"/>
        <v>0.78822948602151488</v>
      </c>
      <c r="G98" s="36" t="s">
        <v>323</v>
      </c>
      <c r="H98" s="82" t="s">
        <v>227</v>
      </c>
      <c r="I98" s="82">
        <v>180</v>
      </c>
      <c r="J98" s="82">
        <v>180</v>
      </c>
      <c r="K98" s="82">
        <v>400</v>
      </c>
      <c r="L98" s="82">
        <v>13.5</v>
      </c>
      <c r="M98" s="82">
        <v>13.5</v>
      </c>
      <c r="N98" s="82">
        <v>28.35</v>
      </c>
      <c r="P98" s="75">
        <f t="shared" si="7"/>
        <v>0.14208575503784004</v>
      </c>
    </row>
    <row r="99" spans="1:16" ht="21">
      <c r="A99" s="85">
        <v>1.1097256933415107</v>
      </c>
      <c r="B99" s="85">
        <v>1.0567559483299949</v>
      </c>
      <c r="C99" s="85">
        <v>0.91978716587063902</v>
      </c>
      <c r="D99" s="85">
        <v>0.3550200773318104</v>
      </c>
      <c r="E99" s="74">
        <v>0.5</v>
      </c>
      <c r="F99" s="74">
        <f t="shared" si="5"/>
        <v>0.78432670634655777</v>
      </c>
      <c r="G99" s="15" t="s">
        <v>324</v>
      </c>
      <c r="H99" s="76" t="s">
        <v>228</v>
      </c>
      <c r="I99" s="76">
        <v>180</v>
      </c>
      <c r="J99" s="76">
        <v>180</v>
      </c>
      <c r="K99" s="76">
        <v>400</v>
      </c>
      <c r="L99" s="76">
        <v>13.5</v>
      </c>
      <c r="M99" s="76">
        <v>13.5</v>
      </c>
      <c r="N99" s="77">
        <v>28.35</v>
      </c>
      <c r="P99" s="75">
        <f t="shared" si="7"/>
        <v>0.13696878245935584</v>
      </c>
    </row>
    <row r="100" spans="1:16" ht="21">
      <c r="A100" s="85">
        <v>1.1097256933415107</v>
      </c>
      <c r="B100" s="85">
        <v>0.90153884682400254</v>
      </c>
      <c r="C100" s="85">
        <v>0.82324649753127521</v>
      </c>
      <c r="D100" s="85">
        <v>0.3550200773318104</v>
      </c>
      <c r="E100" s="74">
        <v>0.75</v>
      </c>
      <c r="F100" s="74">
        <f t="shared" si="5"/>
        <v>0.8228673022855062</v>
      </c>
      <c r="G100" s="15" t="s">
        <v>325</v>
      </c>
      <c r="H100" s="76" t="s">
        <v>229</v>
      </c>
      <c r="I100" s="76">
        <v>180</v>
      </c>
      <c r="J100" s="76">
        <v>180</v>
      </c>
      <c r="K100" s="76">
        <v>400</v>
      </c>
      <c r="L100" s="76">
        <v>13.5</v>
      </c>
      <c r="M100" s="76">
        <v>13.5</v>
      </c>
      <c r="N100" s="77">
        <v>28.35</v>
      </c>
      <c r="P100" s="75">
        <f t="shared" si="7"/>
        <v>7.8292349292727326E-2</v>
      </c>
    </row>
    <row r="101" spans="1:16" ht="21">
      <c r="A101" s="85">
        <v>1.1097256933415107</v>
      </c>
      <c r="B101" s="85">
        <v>0.74953548211251608</v>
      </c>
      <c r="C101" s="85">
        <v>0.69270481454377986</v>
      </c>
      <c r="D101" s="85">
        <v>0.3550200773318104</v>
      </c>
      <c r="E101" s="74">
        <v>1</v>
      </c>
      <c r="F101" s="74">
        <f t="shared" si="5"/>
        <v>0.83279933205598267</v>
      </c>
      <c r="G101" s="15" t="s">
        <v>326</v>
      </c>
      <c r="H101" s="76" t="s">
        <v>230</v>
      </c>
      <c r="I101" s="76">
        <v>180</v>
      </c>
      <c r="J101" s="76">
        <v>180</v>
      </c>
      <c r="K101" s="76">
        <v>400</v>
      </c>
      <c r="L101" s="76">
        <v>13.5</v>
      </c>
      <c r="M101" s="76">
        <v>13.5</v>
      </c>
      <c r="N101" s="77">
        <v>28.35</v>
      </c>
      <c r="P101" s="75">
        <f t="shared" si="7"/>
        <v>5.6830667568736226E-2</v>
      </c>
    </row>
    <row r="102" spans="1:16" ht="21">
      <c r="A102" s="85">
        <v>1.1097256933415107</v>
      </c>
      <c r="B102" s="85">
        <v>0.51122078168800444</v>
      </c>
      <c r="C102" s="85">
        <v>0.49197889560561531</v>
      </c>
      <c r="D102" s="85">
        <v>0.3550200773318104</v>
      </c>
      <c r="E102" s="74">
        <v>1.33</v>
      </c>
      <c r="F102" s="74">
        <f t="shared" si="5"/>
        <v>0.8672061156014953</v>
      </c>
      <c r="G102" s="15" t="s">
        <v>327</v>
      </c>
      <c r="H102" s="76" t="s">
        <v>231</v>
      </c>
      <c r="I102" s="76">
        <v>180</v>
      </c>
      <c r="J102" s="76">
        <v>180</v>
      </c>
      <c r="K102" s="76">
        <v>400</v>
      </c>
      <c r="L102" s="76">
        <v>13.5</v>
      </c>
      <c r="M102" s="76">
        <v>13.5</v>
      </c>
      <c r="N102" s="77">
        <v>28.35</v>
      </c>
      <c r="P102" s="75">
        <f t="shared" si="7"/>
        <v>1.9241886082389137E-2</v>
      </c>
    </row>
    <row r="103" spans="1:16" ht="21">
      <c r="A103" s="85">
        <v>1.1097256933415107</v>
      </c>
      <c r="B103" s="85">
        <v>0.34345258617321206</v>
      </c>
      <c r="C103" s="85">
        <v>0.33129941584081257</v>
      </c>
      <c r="D103" s="85">
        <v>0.3550200773318104</v>
      </c>
      <c r="E103" s="74">
        <v>1.67</v>
      </c>
      <c r="F103" s="74">
        <f t="shared" si="5"/>
        <v>0.8692370672908275</v>
      </c>
      <c r="G103" s="15" t="s">
        <v>328</v>
      </c>
      <c r="H103" s="76" t="s">
        <v>232</v>
      </c>
      <c r="I103" s="76">
        <v>180</v>
      </c>
      <c r="J103" s="76">
        <v>180</v>
      </c>
      <c r="K103" s="76">
        <v>400</v>
      </c>
      <c r="L103" s="76">
        <v>13.5</v>
      </c>
      <c r="M103" s="76">
        <v>13.5</v>
      </c>
      <c r="N103" s="77">
        <v>28.35</v>
      </c>
      <c r="P103" s="75">
        <f t="shared" si="7"/>
        <v>1.2153170332399488E-2</v>
      </c>
    </row>
    <row r="104" spans="1:16" ht="21">
      <c r="A104" s="85">
        <v>1.1097256933415107</v>
      </c>
      <c r="B104" s="85">
        <v>0.2446056861018612</v>
      </c>
      <c r="C104" s="85">
        <v>0.23404951223655335</v>
      </c>
      <c r="D104" s="85">
        <v>0.3550200773318104</v>
      </c>
      <c r="E104" s="74">
        <v>2</v>
      </c>
      <c r="F104" s="74">
        <f t="shared" si="5"/>
        <v>0.86223480703988808</v>
      </c>
      <c r="G104" s="15" t="s">
        <v>329</v>
      </c>
      <c r="H104" s="76" t="s">
        <v>233</v>
      </c>
      <c r="I104" s="76">
        <v>180</v>
      </c>
      <c r="J104" s="76">
        <v>180</v>
      </c>
      <c r="K104" s="76">
        <v>400</v>
      </c>
      <c r="L104" s="76">
        <v>13.5</v>
      </c>
      <c r="M104" s="76">
        <v>13.5</v>
      </c>
      <c r="N104" s="77">
        <v>28.35</v>
      </c>
      <c r="P104" s="75">
        <f t="shared" si="7"/>
        <v>1.0556173865307855E-2</v>
      </c>
    </row>
    <row r="105" spans="1:16" ht="21">
      <c r="A105" s="85">
        <v>1.1097256933415107</v>
      </c>
      <c r="B105" s="85">
        <v>0.15739228831669186</v>
      </c>
      <c r="C105" s="85">
        <v>0.15108412540401975</v>
      </c>
      <c r="D105" s="85">
        <v>0.3550200773318104</v>
      </c>
      <c r="E105" s="74">
        <v>2.5</v>
      </c>
      <c r="F105" s="74">
        <f t="shared" si="5"/>
        <v>0.86500724296577236</v>
      </c>
      <c r="G105" s="15" t="s">
        <v>330</v>
      </c>
      <c r="H105" s="76" t="s">
        <v>234</v>
      </c>
      <c r="I105" s="76">
        <v>180</v>
      </c>
      <c r="J105" s="76">
        <v>180</v>
      </c>
      <c r="K105" s="76">
        <v>400</v>
      </c>
      <c r="L105" s="76">
        <v>13.5</v>
      </c>
      <c r="M105" s="76">
        <v>13.5</v>
      </c>
      <c r="N105" s="77">
        <v>28.35</v>
      </c>
      <c r="P105" s="75">
        <f t="shared" si="7"/>
        <v>6.3081629126721106E-3</v>
      </c>
    </row>
    <row r="106" spans="1:16" ht="21">
      <c r="A106" s="88">
        <v>1.0215187844376274</v>
      </c>
      <c r="B106" s="88">
        <v>1.1363495702894149</v>
      </c>
      <c r="C106" s="88">
        <v>0.98678828448709577</v>
      </c>
      <c r="D106" s="88">
        <v>0.50420742049940981</v>
      </c>
      <c r="E106" s="90">
        <v>0.3</v>
      </c>
      <c r="F106" s="90">
        <f t="shared" si="5"/>
        <v>0.85009150352089891</v>
      </c>
      <c r="G106" s="15" t="s">
        <v>331</v>
      </c>
      <c r="H106" s="76" t="s">
        <v>235</v>
      </c>
      <c r="I106" s="76">
        <v>180</v>
      </c>
      <c r="J106" s="76">
        <v>180</v>
      </c>
      <c r="K106" s="76">
        <v>400</v>
      </c>
      <c r="L106" s="76">
        <v>13.5</v>
      </c>
      <c r="M106" s="76">
        <v>13.5</v>
      </c>
      <c r="N106" s="78">
        <v>18.7</v>
      </c>
      <c r="P106" s="88">
        <f t="shared" si="7"/>
        <v>0.14956128580231909</v>
      </c>
    </row>
    <row r="107" spans="1:16" ht="21">
      <c r="A107" s="88">
        <v>1.0215187844376274</v>
      </c>
      <c r="B107" s="88">
        <v>1.048138918840164</v>
      </c>
      <c r="C107" s="88">
        <v>0.90539886050468188</v>
      </c>
      <c r="D107" s="88">
        <v>0.50420742049940981</v>
      </c>
      <c r="E107" s="90">
        <v>0.5</v>
      </c>
      <c r="F107" s="90">
        <f t="shared" si="5"/>
        <v>0.84561901306650444</v>
      </c>
      <c r="G107" s="15" t="s">
        <v>332</v>
      </c>
      <c r="H107" s="76" t="s">
        <v>236</v>
      </c>
      <c r="I107" s="76">
        <v>180</v>
      </c>
      <c r="J107" s="76">
        <v>180</v>
      </c>
      <c r="K107" s="76">
        <v>400</v>
      </c>
      <c r="L107" s="76">
        <v>13.5</v>
      </c>
      <c r="M107" s="76">
        <v>13.5</v>
      </c>
      <c r="N107" s="78">
        <v>18.7</v>
      </c>
      <c r="P107" s="88">
        <f t="shared" si="7"/>
        <v>0.14274005833548209</v>
      </c>
    </row>
    <row r="108" spans="1:16" ht="21">
      <c r="A108" s="75">
        <v>1.0215187844376274</v>
      </c>
      <c r="B108" s="75">
        <v>0.88856643339239971</v>
      </c>
      <c r="C108" s="75">
        <v>0.80316241112951359</v>
      </c>
      <c r="D108" s="75">
        <v>0.50420742049940981</v>
      </c>
      <c r="E108">
        <v>0.75</v>
      </c>
      <c r="F108">
        <f t="shared" si="5"/>
        <v>0.88484482325131208</v>
      </c>
      <c r="G108" s="15" t="s">
        <v>333</v>
      </c>
      <c r="H108" s="76" t="s">
        <v>237</v>
      </c>
      <c r="I108" s="76">
        <v>180</v>
      </c>
      <c r="J108" s="76">
        <v>180</v>
      </c>
      <c r="K108" s="76">
        <v>400</v>
      </c>
      <c r="L108" s="76">
        <v>13.5</v>
      </c>
      <c r="M108" s="76">
        <v>13.5</v>
      </c>
      <c r="N108" s="78">
        <v>18.7</v>
      </c>
      <c r="P108" s="75">
        <f t="shared" si="7"/>
        <v>8.5404022262886126E-2</v>
      </c>
    </row>
    <row r="109" spans="1:16" ht="21">
      <c r="A109" s="75">
        <v>1.0215187844376274</v>
      </c>
      <c r="B109" s="75">
        <v>0.74632223562401134</v>
      </c>
      <c r="C109" s="75">
        <v>0.68204789382328534</v>
      </c>
      <c r="D109" s="75">
        <v>0.50420742049940981</v>
      </c>
      <c r="E109">
        <v>1</v>
      </c>
      <c r="F109">
        <f t="shared" si="5"/>
        <v>0.89462727368440642</v>
      </c>
      <c r="G109" s="15" t="s">
        <v>334</v>
      </c>
      <c r="H109" s="76" t="s">
        <v>238</v>
      </c>
      <c r="I109" s="76">
        <v>180</v>
      </c>
      <c r="J109" s="76">
        <v>180</v>
      </c>
      <c r="K109" s="76">
        <v>400</v>
      </c>
      <c r="L109" s="76">
        <v>13.5</v>
      </c>
      <c r="M109" s="76">
        <v>13.5</v>
      </c>
      <c r="N109" s="78">
        <v>18.7</v>
      </c>
      <c r="P109" s="75">
        <f t="shared" si="7"/>
        <v>6.4274341800725998E-2</v>
      </c>
    </row>
    <row r="110" spans="1:16" ht="21">
      <c r="A110" s="75">
        <v>1.0215187844376274</v>
      </c>
      <c r="B110" s="75">
        <v>0.5109134833785498</v>
      </c>
      <c r="C110" s="75">
        <v>0.48955910473828135</v>
      </c>
      <c r="D110" s="75">
        <v>0.50420742049940981</v>
      </c>
      <c r="E110">
        <v>1.33</v>
      </c>
      <c r="F110">
        <f t="shared" si="5"/>
        <v>0.93801851460489671</v>
      </c>
      <c r="G110" s="15" t="s">
        <v>335</v>
      </c>
      <c r="H110" s="76" t="s">
        <v>239</v>
      </c>
      <c r="I110" s="76">
        <v>180</v>
      </c>
      <c r="J110" s="76">
        <v>180</v>
      </c>
      <c r="K110" s="76">
        <v>400</v>
      </c>
      <c r="L110" s="76">
        <v>13.5</v>
      </c>
      <c r="M110" s="76">
        <v>13.5</v>
      </c>
      <c r="N110" s="78">
        <v>18.7</v>
      </c>
      <c r="P110" s="75">
        <f t="shared" si="7"/>
        <v>2.1354378640268457E-2</v>
      </c>
    </row>
    <row r="111" spans="1:16" ht="21">
      <c r="A111" s="75">
        <v>1.0215187844376274</v>
      </c>
      <c r="B111" s="75">
        <v>0.34280014038351342</v>
      </c>
      <c r="C111" s="75">
        <v>0.32920383638175538</v>
      </c>
      <c r="D111" s="75">
        <v>0.50420742049940981</v>
      </c>
      <c r="E111">
        <v>1.67</v>
      </c>
      <c r="F111">
        <f t="shared" si="5"/>
        <v>0.94010754749194447</v>
      </c>
      <c r="G111" s="15" t="s">
        <v>336</v>
      </c>
      <c r="H111" s="76" t="s">
        <v>240</v>
      </c>
      <c r="I111" s="76">
        <v>180</v>
      </c>
      <c r="J111" s="76">
        <v>180</v>
      </c>
      <c r="K111" s="76">
        <v>400</v>
      </c>
      <c r="L111" s="76">
        <v>13.5</v>
      </c>
      <c r="M111" s="76">
        <v>13.5</v>
      </c>
      <c r="N111" s="78">
        <v>18.7</v>
      </c>
      <c r="P111" s="75">
        <f t="shared" si="7"/>
        <v>1.3596304001758042E-2</v>
      </c>
    </row>
    <row r="112" spans="1:16" ht="21">
      <c r="A112" s="75">
        <v>1.0215187844376274</v>
      </c>
      <c r="B112" s="75">
        <v>0.24394592307730428</v>
      </c>
      <c r="C112" s="75">
        <v>0.231715836232738</v>
      </c>
      <c r="D112" s="75">
        <v>0.50420742049940981</v>
      </c>
      <c r="E112">
        <v>2</v>
      </c>
      <c r="F112">
        <f t="shared" si="5"/>
        <v>0.92985620685936698</v>
      </c>
      <c r="G112" s="15" t="s">
        <v>337</v>
      </c>
      <c r="H112" s="76" t="s">
        <v>241</v>
      </c>
      <c r="I112" s="76">
        <v>180</v>
      </c>
      <c r="J112" s="76">
        <v>180</v>
      </c>
      <c r="K112" s="76">
        <v>400</v>
      </c>
      <c r="L112" s="76">
        <v>13.5</v>
      </c>
      <c r="M112" s="76">
        <v>13.5</v>
      </c>
      <c r="N112" s="78">
        <v>18.7</v>
      </c>
      <c r="P112" s="75">
        <f t="shared" si="7"/>
        <v>1.2230086844566279E-2</v>
      </c>
    </row>
    <row r="113" spans="1:16" ht="21">
      <c r="A113" s="75">
        <v>1.0215187844376274</v>
      </c>
      <c r="B113" s="75">
        <v>0.15692762546383879</v>
      </c>
      <c r="C113" s="75">
        <v>0.14914011603607302</v>
      </c>
      <c r="D113" s="75">
        <v>0.50420742049940981</v>
      </c>
      <c r="E113">
        <v>2.5</v>
      </c>
      <c r="F113">
        <f t="shared" si="5"/>
        <v>0.93035504322121132</v>
      </c>
      <c r="G113" s="15" t="s">
        <v>338</v>
      </c>
      <c r="H113" s="76" t="s">
        <v>242</v>
      </c>
      <c r="I113" s="76">
        <v>180</v>
      </c>
      <c r="J113" s="76">
        <v>180</v>
      </c>
      <c r="K113" s="76">
        <v>400</v>
      </c>
      <c r="L113" s="76">
        <v>13.5</v>
      </c>
      <c r="M113" s="76">
        <v>13.5</v>
      </c>
      <c r="N113" s="78">
        <v>18.7</v>
      </c>
      <c r="P113" s="75">
        <f t="shared" si="7"/>
        <v>7.7875094277657653E-3</v>
      </c>
    </row>
    <row r="114" spans="1:16" ht="21">
      <c r="A114" s="88">
        <v>0.99455998951003011</v>
      </c>
      <c r="B114" s="88">
        <v>1.1363414347368874</v>
      </c>
      <c r="C114" s="88">
        <v>0.97381207820680871</v>
      </c>
      <c r="D114" s="88">
        <v>0.60172287236842936</v>
      </c>
      <c r="E114" s="90">
        <v>0.3</v>
      </c>
      <c r="F114" s="90">
        <f t="shared" si="5"/>
        <v>0.86165880477826873</v>
      </c>
      <c r="G114" s="15" t="s">
        <v>339</v>
      </c>
      <c r="H114" s="76" t="s">
        <v>243</v>
      </c>
      <c r="I114" s="76">
        <v>180</v>
      </c>
      <c r="J114" s="76">
        <v>180</v>
      </c>
      <c r="K114" s="76">
        <v>400</v>
      </c>
      <c r="L114" s="76">
        <v>13.5</v>
      </c>
      <c r="M114" s="76">
        <v>13.5</v>
      </c>
      <c r="N114" s="77">
        <v>14.7</v>
      </c>
      <c r="P114" s="88">
        <f t="shared" si="7"/>
        <v>0.16252935653007872</v>
      </c>
    </row>
    <row r="115" spans="1:16" ht="21">
      <c r="A115" s="88">
        <v>0.99455998951003011</v>
      </c>
      <c r="B115" s="88">
        <v>1.0421825850749162</v>
      </c>
      <c r="C115" s="88">
        <v>0.89369332791305045</v>
      </c>
      <c r="D115" s="88">
        <v>0.60172287236842936</v>
      </c>
      <c r="E115" s="90">
        <v>0.5</v>
      </c>
      <c r="F115" s="90">
        <f t="shared" si="5"/>
        <v>0.86221131904132309</v>
      </c>
      <c r="G115" s="15" t="s">
        <v>340</v>
      </c>
      <c r="H115" s="76" t="s">
        <v>244</v>
      </c>
      <c r="I115" s="76">
        <v>180</v>
      </c>
      <c r="J115" s="76">
        <v>180</v>
      </c>
      <c r="K115" s="76">
        <v>400</v>
      </c>
      <c r="L115" s="76">
        <v>13.5</v>
      </c>
      <c r="M115" s="76">
        <v>13.5</v>
      </c>
      <c r="N115" s="77">
        <v>14.7</v>
      </c>
      <c r="P115" s="88">
        <f t="shared" si="7"/>
        <v>0.14848925716186578</v>
      </c>
    </row>
    <row r="116" spans="1:16" ht="21">
      <c r="A116" s="75">
        <v>0.99455998951003011</v>
      </c>
      <c r="B116" s="75">
        <v>0.88300823658387562</v>
      </c>
      <c r="C116" s="75">
        <v>0.78945219233515396</v>
      </c>
      <c r="D116" s="75">
        <v>0.60172287236842936</v>
      </c>
      <c r="E116">
        <v>0.75</v>
      </c>
      <c r="F116">
        <f t="shared" si="5"/>
        <v>0.8989387394905255</v>
      </c>
      <c r="G116" s="15" t="s">
        <v>341</v>
      </c>
      <c r="H116" s="76" t="s">
        <v>245</v>
      </c>
      <c r="I116" s="76">
        <v>180</v>
      </c>
      <c r="J116" s="76">
        <v>180</v>
      </c>
      <c r="K116" s="76">
        <v>400</v>
      </c>
      <c r="L116" s="76">
        <v>13.5</v>
      </c>
      <c r="M116" s="76">
        <v>13.5</v>
      </c>
      <c r="N116" s="77">
        <v>14.7</v>
      </c>
      <c r="P116" s="75">
        <f t="shared" si="7"/>
        <v>9.3556044248721659E-2</v>
      </c>
    </row>
    <row r="117" spans="1:16" ht="21">
      <c r="A117" s="75">
        <v>0.99455998951003011</v>
      </c>
      <c r="B117" s="75">
        <v>0.74475486976212746</v>
      </c>
      <c r="C117" s="75">
        <v>0.67529402793418269</v>
      </c>
      <c r="D117" s="75">
        <v>0.60172287236842936</v>
      </c>
      <c r="E117">
        <v>1</v>
      </c>
      <c r="F117">
        <f t="shared" si="5"/>
        <v>0.91169290174034723</v>
      </c>
      <c r="G117" s="15" t="s">
        <v>342</v>
      </c>
      <c r="H117" s="76" t="s">
        <v>246</v>
      </c>
      <c r="I117" s="76">
        <v>180</v>
      </c>
      <c r="J117" s="76">
        <v>180</v>
      </c>
      <c r="K117" s="76">
        <v>400</v>
      </c>
      <c r="L117" s="76">
        <v>13.5</v>
      </c>
      <c r="M117" s="76">
        <v>13.5</v>
      </c>
      <c r="N117" s="77">
        <v>14.7</v>
      </c>
      <c r="P117" s="75">
        <f t="shared" si="7"/>
        <v>6.9460841827944764E-2</v>
      </c>
    </row>
    <row r="118" spans="1:16" ht="21">
      <c r="A118" s="75">
        <v>0.99455998951003011</v>
      </c>
      <c r="B118" s="75">
        <v>0.51024027790799487</v>
      </c>
      <c r="C118" s="75">
        <v>0.48735451813342912</v>
      </c>
      <c r="D118" s="75">
        <v>0.60172287236842936</v>
      </c>
      <c r="E118">
        <v>1.33</v>
      </c>
      <c r="F118">
        <f t="shared" si="5"/>
        <v>0.96037152408315418</v>
      </c>
      <c r="G118" s="15" t="s">
        <v>343</v>
      </c>
      <c r="H118" s="76" t="s">
        <v>247</v>
      </c>
      <c r="I118" s="76">
        <v>180</v>
      </c>
      <c r="J118" s="76">
        <v>180</v>
      </c>
      <c r="K118" s="76">
        <v>400</v>
      </c>
      <c r="L118" s="76">
        <v>13.5</v>
      </c>
      <c r="M118" s="76">
        <v>13.5</v>
      </c>
      <c r="N118" s="77">
        <v>14.7</v>
      </c>
      <c r="P118" s="75">
        <f t="shared" si="7"/>
        <v>2.288575977456575E-2</v>
      </c>
    </row>
    <row r="119" spans="1:16" ht="21">
      <c r="A119" s="75">
        <v>0.99455998951003011</v>
      </c>
      <c r="B119" s="75">
        <v>0.34197012684268036</v>
      </c>
      <c r="C119" s="75">
        <v>0.32763780170106016</v>
      </c>
      <c r="D119" s="75">
        <v>0.60172287236842936</v>
      </c>
      <c r="E119">
        <v>1.67</v>
      </c>
      <c r="F119">
        <f t="shared" si="5"/>
        <v>0.96332947814817604</v>
      </c>
      <c r="G119" s="15" t="s">
        <v>344</v>
      </c>
      <c r="H119" s="76" t="s">
        <v>248</v>
      </c>
      <c r="I119" s="76">
        <v>180</v>
      </c>
      <c r="J119" s="76">
        <v>180</v>
      </c>
      <c r="K119" s="76">
        <v>400</v>
      </c>
      <c r="L119" s="76">
        <v>13.5</v>
      </c>
      <c r="M119" s="76">
        <v>13.5</v>
      </c>
      <c r="N119" s="77">
        <v>14.7</v>
      </c>
      <c r="P119" s="75">
        <f t="shared" si="7"/>
        <v>1.4332325141620195E-2</v>
      </c>
    </row>
    <row r="120" spans="1:16" ht="21">
      <c r="A120" s="75">
        <v>0.99455998951003011</v>
      </c>
      <c r="B120" s="75">
        <v>0.24323349627591812</v>
      </c>
      <c r="C120" s="75">
        <v>0.2300858306163486</v>
      </c>
      <c r="D120" s="75">
        <v>0.60172287236842936</v>
      </c>
      <c r="E120">
        <v>2</v>
      </c>
      <c r="F120">
        <f t="shared" si="5"/>
        <v>0.95112042473177072</v>
      </c>
      <c r="G120" s="15" t="s">
        <v>345</v>
      </c>
      <c r="H120" s="76" t="s">
        <v>249</v>
      </c>
      <c r="I120" s="76">
        <v>180</v>
      </c>
      <c r="J120" s="76">
        <v>180</v>
      </c>
      <c r="K120" s="76">
        <v>400</v>
      </c>
      <c r="L120" s="76">
        <v>13.5</v>
      </c>
      <c r="M120" s="76">
        <v>13.5</v>
      </c>
      <c r="N120" s="77">
        <v>14.7</v>
      </c>
      <c r="P120" s="75">
        <f t="shared" si="7"/>
        <v>1.3147665659569513E-2</v>
      </c>
    </row>
    <row r="121" spans="1:16" ht="21">
      <c r="A121" s="75">
        <v>0.99455998951003011</v>
      </c>
      <c r="B121" s="75">
        <v>0.15644847563221206</v>
      </c>
      <c r="C121" s="75">
        <v>0.14787525131466975</v>
      </c>
      <c r="D121" s="75">
        <v>0.60172287236842936</v>
      </c>
      <c r="E121">
        <v>2.5</v>
      </c>
      <c r="F121">
        <f t="shared" si="5"/>
        <v>0.95037100071941527</v>
      </c>
      <c r="G121" s="15" t="s">
        <v>346</v>
      </c>
      <c r="H121" s="76" t="s">
        <v>250</v>
      </c>
      <c r="I121" s="76">
        <v>180</v>
      </c>
      <c r="J121" s="76">
        <v>180</v>
      </c>
      <c r="K121" s="76">
        <v>400</v>
      </c>
      <c r="L121" s="76">
        <v>13.5</v>
      </c>
      <c r="M121" s="76">
        <v>13.5</v>
      </c>
      <c r="N121" s="77">
        <v>14.7</v>
      </c>
      <c r="P121" s="75">
        <f t="shared" si="7"/>
        <v>8.5732243175423162E-3</v>
      </c>
    </row>
    <row r="122" spans="1:16" ht="21">
      <c r="A122" s="88">
        <v>0.8964760272778769</v>
      </c>
      <c r="B122" s="88">
        <v>1.1351319492612326</v>
      </c>
      <c r="C122" s="88">
        <v>0.88552235033485527</v>
      </c>
      <c r="D122" s="88">
        <v>0.80762280341764636</v>
      </c>
      <c r="E122" s="90">
        <v>0.3</v>
      </c>
      <c r="F122">
        <f t="shared" si="5"/>
        <v>0.87019082342736032</v>
      </c>
      <c r="G122" s="15" t="s">
        <v>347</v>
      </c>
      <c r="H122" s="76" t="s">
        <v>251</v>
      </c>
      <c r="I122" s="76">
        <v>180</v>
      </c>
      <c r="J122" s="76">
        <v>180</v>
      </c>
      <c r="K122" s="76">
        <v>400</v>
      </c>
      <c r="L122" s="76">
        <v>13.5</v>
      </c>
      <c r="M122" s="76">
        <v>13.5</v>
      </c>
      <c r="N122" s="78">
        <v>9.8000000000000007</v>
      </c>
      <c r="P122" s="88">
        <f t="shared" si="7"/>
        <v>0.24960959892637735</v>
      </c>
    </row>
    <row r="123" spans="1:16" ht="21">
      <c r="A123" s="88">
        <v>0.8964760272778769</v>
      </c>
      <c r="B123" s="88">
        <v>1.0328422444596184</v>
      </c>
      <c r="C123" s="88">
        <v>0.83816189593102275</v>
      </c>
      <c r="D123" s="88">
        <v>0.80762280341764636</v>
      </c>
      <c r="E123" s="90">
        <v>0.5</v>
      </c>
      <c r="F123">
        <f t="shared" si="5"/>
        <v>0.90522229116932607</v>
      </c>
      <c r="G123" s="15" t="s">
        <v>348</v>
      </c>
      <c r="H123" s="76" t="s">
        <v>252</v>
      </c>
      <c r="I123" s="76">
        <v>180</v>
      </c>
      <c r="J123" s="76">
        <v>180</v>
      </c>
      <c r="K123" s="76">
        <v>400</v>
      </c>
      <c r="L123" s="76">
        <v>13.5</v>
      </c>
      <c r="M123" s="76">
        <v>13.5</v>
      </c>
      <c r="N123" s="78">
        <v>9.8000000000000007</v>
      </c>
      <c r="P123" s="88">
        <f t="shared" si="7"/>
        <v>0.19468034852859561</v>
      </c>
    </row>
    <row r="124" spans="1:16" ht="21">
      <c r="A124" s="88">
        <v>0.8964760272778769</v>
      </c>
      <c r="B124" s="88">
        <v>0.87611250578399513</v>
      </c>
      <c r="C124" s="88">
        <v>0.7555759240148221</v>
      </c>
      <c r="D124" s="88">
        <v>0.80762280341764636</v>
      </c>
      <c r="E124" s="90">
        <v>0.75</v>
      </c>
      <c r="F124">
        <f t="shared" si="5"/>
        <v>0.96200992089599024</v>
      </c>
      <c r="G124" s="15" t="s">
        <v>349</v>
      </c>
      <c r="H124" s="76" t="s">
        <v>253</v>
      </c>
      <c r="I124" s="76">
        <v>180</v>
      </c>
      <c r="J124" s="76">
        <v>180</v>
      </c>
      <c r="K124" s="76">
        <v>400</v>
      </c>
      <c r="L124" s="76">
        <v>13.5</v>
      </c>
      <c r="M124" s="76">
        <v>13.5</v>
      </c>
      <c r="N124" s="78">
        <v>9.8000000000000007</v>
      </c>
      <c r="P124" s="88">
        <f t="shared" si="7"/>
        <v>0.12053658176917303</v>
      </c>
    </row>
    <row r="125" spans="1:16" ht="21">
      <c r="A125" s="75">
        <v>0.8964760272778769</v>
      </c>
      <c r="B125" s="75">
        <v>0.74309802829001781</v>
      </c>
      <c r="C125" s="75">
        <v>0.66076658273599165</v>
      </c>
      <c r="D125" s="75">
        <v>0.80762280341764636</v>
      </c>
      <c r="E125">
        <v>1</v>
      </c>
      <c r="F125">
        <f t="shared" si="5"/>
        <v>0.99188947409077644</v>
      </c>
      <c r="G125" s="15" t="s">
        <v>350</v>
      </c>
      <c r="H125" s="76" t="s">
        <v>254</v>
      </c>
      <c r="I125" s="76">
        <v>180</v>
      </c>
      <c r="J125" s="76">
        <v>180</v>
      </c>
      <c r="K125" s="76">
        <v>400</v>
      </c>
      <c r="L125" s="76">
        <v>13.5</v>
      </c>
      <c r="M125" s="76">
        <v>13.5</v>
      </c>
      <c r="N125" s="78">
        <v>9.8000000000000007</v>
      </c>
      <c r="P125" s="75">
        <f t="shared" si="7"/>
        <v>8.2331445554026161E-2</v>
      </c>
    </row>
    <row r="126" spans="1:16" ht="21">
      <c r="A126" s="75">
        <v>0.8964760272778769</v>
      </c>
      <c r="B126" s="75">
        <v>0.50923154511026247</v>
      </c>
      <c r="C126" s="75">
        <v>0.48290878104832713</v>
      </c>
      <c r="D126" s="75">
        <v>0.80762280341764636</v>
      </c>
      <c r="E126">
        <v>1.33</v>
      </c>
      <c r="F126">
        <f t="shared" si="5"/>
        <v>1.0578184149745795</v>
      </c>
      <c r="G126" s="15" t="s">
        <v>351</v>
      </c>
      <c r="H126" s="76" t="s">
        <v>255</v>
      </c>
      <c r="I126" s="76">
        <v>180</v>
      </c>
      <c r="J126" s="76">
        <v>180</v>
      </c>
      <c r="K126" s="76">
        <v>400</v>
      </c>
      <c r="L126" s="76">
        <v>13.5</v>
      </c>
      <c r="M126" s="76">
        <v>13.5</v>
      </c>
      <c r="N126" s="78">
        <v>9.8000000000000007</v>
      </c>
      <c r="P126" s="75">
        <f t="shared" si="7"/>
        <v>2.6322764061935344E-2</v>
      </c>
    </row>
    <row r="127" spans="1:16" ht="21">
      <c r="A127" s="75">
        <v>0.8964760272778769</v>
      </c>
      <c r="B127" s="75">
        <v>0.3407406455977201</v>
      </c>
      <c r="C127" s="75">
        <v>0.32527283161211068</v>
      </c>
      <c r="D127" s="75">
        <v>0.80762280341764636</v>
      </c>
      <c r="E127">
        <v>1.67</v>
      </c>
      <c r="F127">
        <f t="shared" si="5"/>
        <v>1.0648419888525475</v>
      </c>
      <c r="G127" s="15" t="s">
        <v>352</v>
      </c>
      <c r="H127" s="76" t="s">
        <v>256</v>
      </c>
      <c r="I127" s="76">
        <v>180</v>
      </c>
      <c r="J127" s="76">
        <v>180</v>
      </c>
      <c r="K127" s="76">
        <v>400</v>
      </c>
      <c r="L127" s="76">
        <v>13.5</v>
      </c>
      <c r="M127" s="76">
        <v>13.5</v>
      </c>
      <c r="N127" s="78">
        <v>9.8000000000000007</v>
      </c>
      <c r="P127" s="75">
        <f t="shared" si="7"/>
        <v>1.5467813985609424E-2</v>
      </c>
    </row>
    <row r="128" spans="1:16" ht="21">
      <c r="A128" s="75">
        <v>0.8964760272778769</v>
      </c>
      <c r="B128" s="75">
        <v>0.24216681791003478</v>
      </c>
      <c r="C128" s="75">
        <v>0.22769855622838367</v>
      </c>
      <c r="D128" s="75">
        <v>0.80762280341764636</v>
      </c>
      <c r="E128">
        <v>2</v>
      </c>
      <c r="F128">
        <f t="shared" si="5"/>
        <v>1.0488344921021784</v>
      </c>
      <c r="G128" s="15" t="s">
        <v>353</v>
      </c>
      <c r="H128" s="76" t="s">
        <v>257</v>
      </c>
      <c r="I128" s="76">
        <v>180</v>
      </c>
      <c r="J128" s="76">
        <v>180</v>
      </c>
      <c r="K128" s="76">
        <v>400</v>
      </c>
      <c r="L128" s="76">
        <v>13.5</v>
      </c>
      <c r="M128" s="76">
        <v>13.5</v>
      </c>
      <c r="N128" s="78">
        <v>9.8000000000000007</v>
      </c>
      <c r="P128" s="75">
        <f t="shared" si="7"/>
        <v>1.4468261681651107E-2</v>
      </c>
    </row>
    <row r="129" spans="1:16" ht="21">
      <c r="A129" s="75">
        <v>0.8964760272778769</v>
      </c>
      <c r="B129" s="75">
        <v>0.1557479177030327</v>
      </c>
      <c r="C129" s="75">
        <v>0.14598590221555394</v>
      </c>
      <c r="D129" s="75">
        <v>0.80762280341764636</v>
      </c>
      <c r="E129">
        <v>2.5</v>
      </c>
      <c r="F129">
        <f t="shared" si="5"/>
        <v>1.0455624762831761</v>
      </c>
      <c r="G129" s="15" t="s">
        <v>354</v>
      </c>
      <c r="H129" s="76" t="s">
        <v>258</v>
      </c>
      <c r="I129" s="76">
        <v>180</v>
      </c>
      <c r="J129" s="76">
        <v>180</v>
      </c>
      <c r="K129" s="76">
        <v>400</v>
      </c>
      <c r="L129" s="76">
        <v>13.5</v>
      </c>
      <c r="M129" s="76">
        <v>13.5</v>
      </c>
      <c r="N129" s="78">
        <v>9.8000000000000007</v>
      </c>
      <c r="P129" s="75">
        <f t="shared" si="7"/>
        <v>9.7620154874787646E-3</v>
      </c>
    </row>
    <row r="130" spans="1:16" ht="21">
      <c r="A130" s="88">
        <v>0.87128800210660096</v>
      </c>
      <c r="B130" s="88">
        <v>1.132620775381286</v>
      </c>
      <c r="C130" s="88">
        <v>0.8526004811096346</v>
      </c>
      <c r="D130" s="88">
        <v>1.1133153135475653</v>
      </c>
      <c r="E130" s="90">
        <v>0.3</v>
      </c>
      <c r="F130">
        <f t="shared" si="5"/>
        <v>0.86397130024629065</v>
      </c>
      <c r="G130" s="15" t="s">
        <v>355</v>
      </c>
      <c r="H130" s="76" t="s">
        <v>259</v>
      </c>
      <c r="I130" s="76">
        <v>180</v>
      </c>
      <c r="J130" s="76">
        <v>180</v>
      </c>
      <c r="K130" s="76">
        <v>400</v>
      </c>
      <c r="L130" s="76">
        <v>13.5</v>
      </c>
      <c r="M130" s="76">
        <v>13.5</v>
      </c>
      <c r="N130" s="77">
        <v>6.8</v>
      </c>
      <c r="P130" s="88">
        <f t="shared" si="7"/>
        <v>0.28002029427165143</v>
      </c>
    </row>
    <row r="131" spans="1:16" ht="21">
      <c r="A131" s="88">
        <v>0.87128800210660096</v>
      </c>
      <c r="B131" s="88">
        <v>1.0245809323630557</v>
      </c>
      <c r="C131" s="88">
        <v>0.78084573151064163</v>
      </c>
      <c r="D131" s="88">
        <v>1.1133153135475653</v>
      </c>
      <c r="E131" s="90">
        <v>0.5</v>
      </c>
      <c r="F131">
        <f t="shared" ref="F131:F194" si="8">C131/(A131*B131)</f>
        <v>0.87469619546463095</v>
      </c>
      <c r="G131" s="15" t="s">
        <v>356</v>
      </c>
      <c r="H131" s="76" t="s">
        <v>260</v>
      </c>
      <c r="I131" s="76">
        <v>180</v>
      </c>
      <c r="J131" s="76">
        <v>180</v>
      </c>
      <c r="K131" s="76">
        <v>400</v>
      </c>
      <c r="L131" s="76">
        <v>13.5</v>
      </c>
      <c r="M131" s="76">
        <v>13.5</v>
      </c>
      <c r="N131" s="77">
        <v>6.8</v>
      </c>
      <c r="P131" s="88">
        <f t="shared" ref="P131:P194" si="9">B131-C131</f>
        <v>0.24373520085241407</v>
      </c>
    </row>
    <row r="132" spans="1:16" ht="21">
      <c r="A132" s="75">
        <v>0.87128800210660096</v>
      </c>
      <c r="B132" s="75">
        <v>0.87122406673706843</v>
      </c>
      <c r="C132" s="75">
        <v>0.69538491287195825</v>
      </c>
      <c r="D132" s="75">
        <v>1.1133153135475653</v>
      </c>
      <c r="E132">
        <v>0.75</v>
      </c>
      <c r="F132">
        <f t="shared" si="8"/>
        <v>0.91608055835076618</v>
      </c>
      <c r="G132" s="15" t="s">
        <v>357</v>
      </c>
      <c r="H132" s="76" t="s">
        <v>261</v>
      </c>
      <c r="I132" s="76">
        <v>180</v>
      </c>
      <c r="J132" s="76">
        <v>180</v>
      </c>
      <c r="K132" s="76">
        <v>400</v>
      </c>
      <c r="L132" s="76">
        <v>13.5</v>
      </c>
      <c r="M132" s="76">
        <v>13.5</v>
      </c>
      <c r="N132" s="77">
        <v>6.8</v>
      </c>
      <c r="P132" s="75">
        <f t="shared" si="9"/>
        <v>0.17583915386511018</v>
      </c>
    </row>
    <row r="133" spans="1:16" ht="21">
      <c r="A133" s="75">
        <v>0.87128800210660096</v>
      </c>
      <c r="B133" s="75">
        <v>0.74221252828537065</v>
      </c>
      <c r="C133" s="75">
        <v>0.62768683256238933</v>
      </c>
      <c r="D133" s="75">
        <v>1.1133153135475653</v>
      </c>
      <c r="E133">
        <v>1</v>
      </c>
      <c r="F133">
        <f t="shared" si="8"/>
        <v>0.97062842091001766</v>
      </c>
      <c r="G133" s="15" t="s">
        <v>358</v>
      </c>
      <c r="H133" s="76" t="s">
        <v>262</v>
      </c>
      <c r="I133" s="76">
        <v>180</v>
      </c>
      <c r="J133" s="76">
        <v>180</v>
      </c>
      <c r="K133" s="76">
        <v>400</v>
      </c>
      <c r="L133" s="76">
        <v>13.5</v>
      </c>
      <c r="M133" s="76">
        <v>13.5</v>
      </c>
      <c r="N133" s="77">
        <v>6.8</v>
      </c>
      <c r="P133" s="75">
        <f t="shared" si="9"/>
        <v>0.11452569572298132</v>
      </c>
    </row>
    <row r="134" spans="1:16" ht="21">
      <c r="A134" s="75">
        <v>0.87128800210660096</v>
      </c>
      <c r="B134" s="75">
        <v>0.50822066149633049</v>
      </c>
      <c r="C134" s="75">
        <v>0.47574226147040766</v>
      </c>
      <c r="D134" s="75">
        <v>1.1133153135475653</v>
      </c>
      <c r="E134">
        <v>1.33</v>
      </c>
      <c r="F134">
        <f t="shared" si="8"/>
        <v>1.0743794227667074</v>
      </c>
      <c r="G134" s="15" t="s">
        <v>359</v>
      </c>
      <c r="H134" s="76" t="s">
        <v>263</v>
      </c>
      <c r="I134" s="76">
        <v>180</v>
      </c>
      <c r="J134" s="76">
        <v>180</v>
      </c>
      <c r="K134" s="76">
        <v>400</v>
      </c>
      <c r="L134" s="76">
        <v>13.5</v>
      </c>
      <c r="M134" s="76">
        <v>13.5</v>
      </c>
      <c r="N134" s="77">
        <v>6.8</v>
      </c>
      <c r="P134" s="75">
        <f t="shared" si="9"/>
        <v>3.2478400025922838E-2</v>
      </c>
    </row>
    <row r="135" spans="1:16" ht="21">
      <c r="A135" s="75">
        <v>0.87128800210660096</v>
      </c>
      <c r="B135" s="75">
        <v>0.33969081111913207</v>
      </c>
      <c r="C135" s="75">
        <v>0.32337327550861483</v>
      </c>
      <c r="D135" s="75">
        <v>1.1133153135475653</v>
      </c>
      <c r="E135">
        <v>1.67</v>
      </c>
      <c r="F135">
        <f t="shared" si="8"/>
        <v>1.0925934508158242</v>
      </c>
      <c r="G135" s="15" t="s">
        <v>360</v>
      </c>
      <c r="H135" s="76" t="s">
        <v>264</v>
      </c>
      <c r="I135" s="76">
        <v>180</v>
      </c>
      <c r="J135" s="76">
        <v>180</v>
      </c>
      <c r="K135" s="76">
        <v>400</v>
      </c>
      <c r="L135" s="76">
        <v>13.5</v>
      </c>
      <c r="M135" s="76">
        <v>13.5</v>
      </c>
      <c r="N135" s="77">
        <v>6.8</v>
      </c>
      <c r="P135" s="75">
        <f t="shared" si="9"/>
        <v>1.6317535610517242E-2</v>
      </c>
    </row>
    <row r="136" spans="1:16" ht="21">
      <c r="A136" s="75">
        <v>0.87128800210660096</v>
      </c>
      <c r="B136" s="75">
        <v>0.24132378887047165</v>
      </c>
      <c r="C136" s="75">
        <v>0.22590655899468468</v>
      </c>
      <c r="D136" s="75">
        <v>1.1133153135475653</v>
      </c>
      <c r="E136">
        <v>2</v>
      </c>
      <c r="F136">
        <f t="shared" si="8"/>
        <v>1.0744024041475393</v>
      </c>
      <c r="G136" s="15" t="s">
        <v>361</v>
      </c>
      <c r="H136" s="76" t="s">
        <v>265</v>
      </c>
      <c r="I136" s="76">
        <v>180</v>
      </c>
      <c r="J136" s="76">
        <v>180</v>
      </c>
      <c r="K136" s="76">
        <v>400</v>
      </c>
      <c r="L136" s="76">
        <v>13.5</v>
      </c>
      <c r="M136" s="76">
        <v>13.5</v>
      </c>
      <c r="N136" s="77">
        <v>6.8</v>
      </c>
      <c r="P136" s="75">
        <f t="shared" si="9"/>
        <v>1.5417229875786975E-2</v>
      </c>
    </row>
    <row r="137" spans="1:16" ht="21">
      <c r="A137" s="75">
        <v>0.87128800210660096</v>
      </c>
      <c r="B137" s="75">
        <v>0.15521615979352593</v>
      </c>
      <c r="C137" s="75">
        <v>0.14458440788181481</v>
      </c>
      <c r="D137" s="75">
        <v>1.1133153135475653</v>
      </c>
      <c r="E137">
        <v>2.5</v>
      </c>
      <c r="F137">
        <f t="shared" si="8"/>
        <v>1.0691109869829696</v>
      </c>
      <c r="G137" s="15" t="s">
        <v>362</v>
      </c>
      <c r="H137" s="76" t="s">
        <v>266</v>
      </c>
      <c r="I137" s="76">
        <v>180</v>
      </c>
      <c r="J137" s="76">
        <v>180</v>
      </c>
      <c r="K137" s="76">
        <v>400</v>
      </c>
      <c r="L137" s="76">
        <v>13.5</v>
      </c>
      <c r="M137" s="76">
        <v>13.5</v>
      </c>
      <c r="N137" s="77">
        <v>6.8</v>
      </c>
      <c r="P137" s="75">
        <f t="shared" si="9"/>
        <v>1.0631751911711118E-2</v>
      </c>
    </row>
    <row r="138" spans="1:16" ht="21">
      <c r="A138" s="88">
        <v>0.86587161690105752</v>
      </c>
      <c r="B138" s="88">
        <v>1.1289082515782114</v>
      </c>
      <c r="C138" s="88">
        <v>0.84254222633563602</v>
      </c>
      <c r="D138" s="88">
        <v>1.5137471488237149</v>
      </c>
      <c r="E138" s="90">
        <v>0.3</v>
      </c>
      <c r="F138" s="90">
        <f t="shared" si="8"/>
        <v>0.86194494040745717</v>
      </c>
      <c r="G138" s="15" t="s">
        <v>363</v>
      </c>
      <c r="H138" s="76" t="s">
        <v>267</v>
      </c>
      <c r="I138" s="76">
        <v>180</v>
      </c>
      <c r="J138" s="76">
        <v>180</v>
      </c>
      <c r="K138" s="76">
        <v>400</v>
      </c>
      <c r="L138" s="76">
        <v>13.5</v>
      </c>
      <c r="M138" s="76">
        <v>13.5</v>
      </c>
      <c r="N138" s="78">
        <v>4.9000000000000004</v>
      </c>
      <c r="P138" s="88">
        <f t="shared" si="9"/>
        <v>0.28636602524257537</v>
      </c>
    </row>
    <row r="139" spans="1:16" ht="21">
      <c r="A139" s="88">
        <v>0.86587161690105752</v>
      </c>
      <c r="B139" s="88">
        <v>1.0160594973200121</v>
      </c>
      <c r="C139" s="88">
        <v>0.75777908837688568</v>
      </c>
      <c r="D139" s="88">
        <v>1.5137471488237149</v>
      </c>
      <c r="E139" s="90">
        <v>0.5</v>
      </c>
      <c r="F139" s="90">
        <f t="shared" si="8"/>
        <v>0.86133079136215129</v>
      </c>
      <c r="G139" s="15" t="s">
        <v>364</v>
      </c>
      <c r="H139" s="76" t="s">
        <v>268</v>
      </c>
      <c r="I139" s="76">
        <v>180</v>
      </c>
      <c r="J139" s="76">
        <v>180</v>
      </c>
      <c r="K139" s="76">
        <v>400</v>
      </c>
      <c r="L139" s="76">
        <v>13.5</v>
      </c>
      <c r="M139" s="76">
        <v>13.5</v>
      </c>
      <c r="N139" s="78">
        <v>4.9000000000000004</v>
      </c>
      <c r="P139" s="88">
        <f t="shared" si="9"/>
        <v>0.25828040894312643</v>
      </c>
    </row>
    <row r="140" spans="1:16" ht="21">
      <c r="A140" s="88">
        <v>0.86587161690105752</v>
      </c>
      <c r="B140" s="88">
        <v>0.86766127249046365</v>
      </c>
      <c r="C140" s="88">
        <v>0.6597371550875194</v>
      </c>
      <c r="D140" s="88">
        <v>1.5137471488237149</v>
      </c>
      <c r="E140" s="90">
        <v>0.75</v>
      </c>
      <c r="F140" s="90">
        <f t="shared" si="8"/>
        <v>0.87814700841647442</v>
      </c>
      <c r="G140" s="15" t="s">
        <v>365</v>
      </c>
      <c r="H140" s="76" t="s">
        <v>269</v>
      </c>
      <c r="I140" s="76">
        <v>180</v>
      </c>
      <c r="J140" s="76">
        <v>180</v>
      </c>
      <c r="K140" s="76">
        <v>400</v>
      </c>
      <c r="L140" s="76">
        <v>13.5</v>
      </c>
      <c r="M140" s="76">
        <v>13.5</v>
      </c>
      <c r="N140" s="78">
        <v>4.9000000000000004</v>
      </c>
      <c r="P140" s="88">
        <f t="shared" si="9"/>
        <v>0.20792411740294425</v>
      </c>
    </row>
    <row r="141" spans="1:16" ht="21">
      <c r="A141" s="88">
        <v>0.86587161690105752</v>
      </c>
      <c r="B141" s="88">
        <v>0.74140107706160008</v>
      </c>
      <c r="C141" s="88">
        <v>0.59830180801793298</v>
      </c>
      <c r="D141" s="88">
        <v>1.5137471488237149</v>
      </c>
      <c r="E141" s="90">
        <v>1</v>
      </c>
      <c r="F141" s="90">
        <f t="shared" si="8"/>
        <v>0.93199503520191707</v>
      </c>
      <c r="G141" s="15" t="s">
        <v>366</v>
      </c>
      <c r="H141" s="76" t="s">
        <v>270</v>
      </c>
      <c r="I141" s="76">
        <v>180</v>
      </c>
      <c r="J141" s="76">
        <v>180</v>
      </c>
      <c r="K141" s="76">
        <v>400</v>
      </c>
      <c r="L141" s="76">
        <v>13.5</v>
      </c>
      <c r="M141" s="76">
        <v>13.5</v>
      </c>
      <c r="N141" s="78">
        <v>4.9000000000000004</v>
      </c>
      <c r="P141" s="88">
        <f t="shared" si="9"/>
        <v>0.1430992690436671</v>
      </c>
    </row>
    <row r="142" spans="1:16" ht="21">
      <c r="A142" s="75">
        <v>0.86587161690105752</v>
      </c>
      <c r="B142" s="75">
        <v>0.50719794839329879</v>
      </c>
      <c r="C142" s="75">
        <v>0.4629524329379649</v>
      </c>
      <c r="D142" s="75">
        <v>1.5137471488237149</v>
      </c>
      <c r="E142">
        <v>1.33</v>
      </c>
      <c r="F142">
        <f t="shared" si="8"/>
        <v>1.0541571986381719</v>
      </c>
      <c r="G142" s="15" t="s">
        <v>367</v>
      </c>
      <c r="H142" s="76" t="s">
        <v>271</v>
      </c>
      <c r="I142" s="76">
        <v>180</v>
      </c>
      <c r="J142" s="76">
        <v>180</v>
      </c>
      <c r="K142" s="76">
        <v>400</v>
      </c>
      <c r="L142" s="76">
        <v>13.5</v>
      </c>
      <c r="M142" s="76">
        <v>13.5</v>
      </c>
      <c r="N142" s="78">
        <v>4.9000000000000004</v>
      </c>
      <c r="P142" s="75">
        <f t="shared" si="9"/>
        <v>4.4245515455333895E-2</v>
      </c>
    </row>
    <row r="143" spans="1:16" ht="21">
      <c r="A143" s="75">
        <v>0.86587161690105752</v>
      </c>
      <c r="B143" s="75">
        <v>0.33876528917086041</v>
      </c>
      <c r="C143" s="75">
        <v>0.32112503791764563</v>
      </c>
      <c r="D143" s="75">
        <v>1.5137471488237149</v>
      </c>
      <c r="E143">
        <v>1.67</v>
      </c>
      <c r="F143">
        <f t="shared" si="8"/>
        <v>1.0947671563347796</v>
      </c>
      <c r="G143" s="15" t="s">
        <v>368</v>
      </c>
      <c r="H143" s="76" t="s">
        <v>272</v>
      </c>
      <c r="I143" s="76">
        <v>180</v>
      </c>
      <c r="J143" s="76">
        <v>180</v>
      </c>
      <c r="K143" s="76">
        <v>400</v>
      </c>
      <c r="L143" s="76">
        <v>13.5</v>
      </c>
      <c r="M143" s="76">
        <v>13.5</v>
      </c>
      <c r="N143" s="78">
        <v>4.9000000000000004</v>
      </c>
      <c r="P143" s="75">
        <f t="shared" si="9"/>
        <v>1.7640251253214778E-2</v>
      </c>
    </row>
    <row r="144" spans="1:16" ht="21">
      <c r="A144" s="75">
        <v>0.86587161690105752</v>
      </c>
      <c r="B144" s="75">
        <v>0.2406197699384961</v>
      </c>
      <c r="C144" s="75">
        <v>0.22445367916054396</v>
      </c>
      <c r="D144" s="75">
        <v>1.5137471488237149</v>
      </c>
      <c r="E144">
        <v>2</v>
      </c>
      <c r="F144">
        <f t="shared" si="8"/>
        <v>1.077313042277523</v>
      </c>
      <c r="G144" s="15" t="s">
        <v>369</v>
      </c>
      <c r="H144" s="76" t="s">
        <v>273</v>
      </c>
      <c r="I144" s="76">
        <v>180</v>
      </c>
      <c r="J144" s="76">
        <v>180</v>
      </c>
      <c r="K144" s="76">
        <v>400</v>
      </c>
      <c r="L144" s="76">
        <v>13.5</v>
      </c>
      <c r="M144" s="76">
        <v>13.5</v>
      </c>
      <c r="N144" s="78">
        <v>4.9000000000000004</v>
      </c>
      <c r="P144" s="75">
        <f t="shared" si="9"/>
        <v>1.6166090777952141E-2</v>
      </c>
    </row>
    <row r="145" spans="1:16" ht="21">
      <c r="A145" s="75">
        <v>0.86587161690105752</v>
      </c>
      <c r="B145" s="75">
        <v>0.15479832297352913</v>
      </c>
      <c r="C145" s="75">
        <v>0.14351370103057309</v>
      </c>
      <c r="D145" s="75">
        <v>1.5137471488237149</v>
      </c>
      <c r="E145">
        <v>2.5</v>
      </c>
      <c r="F145">
        <f t="shared" si="8"/>
        <v>1.070714315594522</v>
      </c>
      <c r="G145" s="15" t="s">
        <v>370</v>
      </c>
      <c r="H145" s="76" t="s">
        <v>274</v>
      </c>
      <c r="I145" s="76">
        <v>180</v>
      </c>
      <c r="J145" s="76">
        <v>180</v>
      </c>
      <c r="K145" s="76">
        <v>400</v>
      </c>
      <c r="L145" s="76">
        <v>13.5</v>
      </c>
      <c r="M145" s="76">
        <v>13.5</v>
      </c>
      <c r="N145" s="78">
        <v>4.9000000000000004</v>
      </c>
      <c r="P145" s="75">
        <f t="shared" si="9"/>
        <v>1.1284621942956041E-2</v>
      </c>
    </row>
    <row r="146" spans="1:16" ht="21">
      <c r="A146" s="75">
        <v>1.0341744345176882</v>
      </c>
      <c r="B146" s="75">
        <v>1.1288594382630501</v>
      </c>
      <c r="C146" s="75">
        <v>0.98863776676152715</v>
      </c>
      <c r="D146" s="75">
        <v>0.35499999999999998</v>
      </c>
      <c r="E146">
        <v>0.3</v>
      </c>
      <c r="F146">
        <f t="shared" si="8"/>
        <v>0.84684422631016165</v>
      </c>
      <c r="G146" s="15" t="s">
        <v>371</v>
      </c>
      <c r="H146" s="76" t="s">
        <v>275</v>
      </c>
      <c r="I146" s="76">
        <v>300</v>
      </c>
      <c r="J146" s="76">
        <v>300</v>
      </c>
      <c r="K146" s="76">
        <v>300</v>
      </c>
      <c r="L146" s="79">
        <v>27.74</v>
      </c>
      <c r="M146" s="79">
        <v>27.74</v>
      </c>
      <c r="N146" s="79">
        <v>16.059999999999999</v>
      </c>
      <c r="P146" s="75">
        <f t="shared" si="9"/>
        <v>0.14022167150152298</v>
      </c>
    </row>
    <row r="147" spans="1:16" ht="21">
      <c r="A147" s="75">
        <v>1.0341744345176882</v>
      </c>
      <c r="B147" s="75">
        <v>1.013708756618483</v>
      </c>
      <c r="C147" s="75">
        <v>0.86436205715155112</v>
      </c>
      <c r="D147" s="75">
        <v>0.35499999999999998</v>
      </c>
      <c r="E147">
        <v>0.5</v>
      </c>
      <c r="F147">
        <f t="shared" si="8"/>
        <v>0.82449627689330829</v>
      </c>
      <c r="G147" s="15" t="s">
        <v>372</v>
      </c>
      <c r="H147" s="76" t="s">
        <v>276</v>
      </c>
      <c r="I147" s="76">
        <v>300</v>
      </c>
      <c r="J147" s="76">
        <v>300</v>
      </c>
      <c r="K147" s="76">
        <v>300</v>
      </c>
      <c r="L147" s="79">
        <v>27.74</v>
      </c>
      <c r="M147" s="79">
        <v>27.74</v>
      </c>
      <c r="N147" s="79">
        <v>16.059999999999999</v>
      </c>
      <c r="P147" s="75">
        <f t="shared" si="9"/>
        <v>0.14934669946693191</v>
      </c>
    </row>
    <row r="148" spans="1:16" ht="21">
      <c r="A148" s="75">
        <v>1.0341744345176882</v>
      </c>
      <c r="B148" s="75">
        <v>0.87829813540246293</v>
      </c>
      <c r="C148" s="75">
        <v>0.73845548892546398</v>
      </c>
      <c r="D148" s="75">
        <v>0.35499999999999998</v>
      </c>
      <c r="E148">
        <v>0.75</v>
      </c>
      <c r="F148">
        <f t="shared" si="8"/>
        <v>0.81299629170261567</v>
      </c>
      <c r="G148" s="15" t="s">
        <v>373</v>
      </c>
      <c r="H148" s="76" t="s">
        <v>277</v>
      </c>
      <c r="I148" s="76">
        <v>300</v>
      </c>
      <c r="J148" s="76">
        <v>300</v>
      </c>
      <c r="K148" s="76">
        <v>300</v>
      </c>
      <c r="L148" s="79">
        <v>27.74</v>
      </c>
      <c r="M148" s="79">
        <v>27.74</v>
      </c>
      <c r="N148" s="79">
        <v>16.059999999999999</v>
      </c>
      <c r="P148" s="75">
        <f t="shared" si="9"/>
        <v>0.13984264647699896</v>
      </c>
    </row>
    <row r="149" spans="1:16" ht="21">
      <c r="A149" s="75">
        <v>1.0341744345176882</v>
      </c>
      <c r="B149" s="75">
        <v>0.7476396868504378</v>
      </c>
      <c r="C149" s="75">
        <v>0.65219389366661218</v>
      </c>
      <c r="D149" s="75">
        <v>0.35499999999999998</v>
      </c>
      <c r="E149">
        <v>1</v>
      </c>
      <c r="F149">
        <f t="shared" si="8"/>
        <v>0.84351067639237653</v>
      </c>
      <c r="G149" s="15" t="s">
        <v>374</v>
      </c>
      <c r="H149" s="76" t="s">
        <v>278</v>
      </c>
      <c r="I149" s="76">
        <v>300</v>
      </c>
      <c r="J149" s="76">
        <v>300</v>
      </c>
      <c r="K149" s="76">
        <v>300</v>
      </c>
      <c r="L149" s="79">
        <v>27.74</v>
      </c>
      <c r="M149" s="79">
        <v>27.74</v>
      </c>
      <c r="N149" s="79">
        <v>16.059999999999999</v>
      </c>
      <c r="P149" s="75">
        <f t="shared" si="9"/>
        <v>9.5445793183825622E-2</v>
      </c>
    </row>
    <row r="150" spans="1:16" ht="21">
      <c r="A150" s="75">
        <v>1.0341744345176882</v>
      </c>
      <c r="B150" s="75">
        <v>0.51010477648740427</v>
      </c>
      <c r="C150" s="75">
        <v>0.48031274589510142</v>
      </c>
      <c r="D150" s="75">
        <v>0.35499999999999998</v>
      </c>
      <c r="E150">
        <v>1.33</v>
      </c>
      <c r="F150">
        <f t="shared" si="8"/>
        <v>0.91048107651651589</v>
      </c>
      <c r="G150" s="15" t="s">
        <v>375</v>
      </c>
      <c r="H150" s="76" t="s">
        <v>279</v>
      </c>
      <c r="I150" s="76">
        <v>300</v>
      </c>
      <c r="J150" s="76">
        <v>300</v>
      </c>
      <c r="K150" s="76">
        <v>300</v>
      </c>
      <c r="L150" s="79">
        <v>27.74</v>
      </c>
      <c r="M150" s="79">
        <v>27.74</v>
      </c>
      <c r="N150" s="79">
        <v>16.059999999999999</v>
      </c>
      <c r="P150" s="75">
        <f t="shared" si="9"/>
        <v>2.9792030592302843E-2</v>
      </c>
    </row>
    <row r="151" spans="1:16" ht="21">
      <c r="A151" s="75">
        <v>1.0341744345176882</v>
      </c>
      <c r="B151" s="75">
        <v>0.34092105036732595</v>
      </c>
      <c r="C151" s="75">
        <v>0.32458001665656599</v>
      </c>
      <c r="D151" s="75">
        <v>0.35499999999999998</v>
      </c>
      <c r="E151">
        <v>1.67</v>
      </c>
      <c r="F151">
        <f t="shared" si="8"/>
        <v>0.92060676694830446</v>
      </c>
      <c r="G151" s="15" t="s">
        <v>376</v>
      </c>
      <c r="H151" s="76" t="s">
        <v>280</v>
      </c>
      <c r="I151" s="76">
        <v>300</v>
      </c>
      <c r="J151" s="76">
        <v>300</v>
      </c>
      <c r="K151" s="76">
        <v>300</v>
      </c>
      <c r="L151" s="79">
        <v>27.74</v>
      </c>
      <c r="M151" s="79">
        <v>27.74</v>
      </c>
      <c r="N151" s="79">
        <v>16.059999999999999</v>
      </c>
      <c r="P151" s="75">
        <f t="shared" si="9"/>
        <v>1.6341033710759956E-2</v>
      </c>
    </row>
    <row r="152" spans="1:16" ht="21">
      <c r="A152" s="75">
        <v>1.0341744345176882</v>
      </c>
      <c r="B152" s="75">
        <v>0.24252106947453211</v>
      </c>
      <c r="C152" s="75">
        <v>0.22608592687544291</v>
      </c>
      <c r="D152" s="75">
        <v>0.35499999999999998</v>
      </c>
      <c r="E152">
        <v>2</v>
      </c>
      <c r="F152">
        <f t="shared" si="8"/>
        <v>0.90142636768629991</v>
      </c>
      <c r="G152" s="15" t="s">
        <v>377</v>
      </c>
      <c r="H152" s="76" t="s">
        <v>281</v>
      </c>
      <c r="I152" s="76">
        <v>300</v>
      </c>
      <c r="J152" s="76">
        <v>300</v>
      </c>
      <c r="K152" s="76">
        <v>300</v>
      </c>
      <c r="L152" s="79">
        <v>27.74</v>
      </c>
      <c r="M152" s="79">
        <v>27.74</v>
      </c>
      <c r="N152" s="79">
        <v>16.059999999999999</v>
      </c>
      <c r="P152" s="75">
        <f t="shared" si="9"/>
        <v>1.6435142599089209E-2</v>
      </c>
    </row>
    <row r="153" spans="1:16" ht="21">
      <c r="A153" s="75">
        <v>1.0341744345176882</v>
      </c>
      <c r="B153" s="75">
        <v>0.15625734556509394</v>
      </c>
      <c r="C153" s="75">
        <v>0.14445042759714194</v>
      </c>
      <c r="D153" s="75">
        <v>0.35499999999999998</v>
      </c>
      <c r="E153">
        <v>2.5</v>
      </c>
      <c r="F153">
        <f t="shared" si="8"/>
        <v>0.89389105588166096</v>
      </c>
      <c r="G153" s="15" t="s">
        <v>378</v>
      </c>
      <c r="H153" s="76" t="s">
        <v>282</v>
      </c>
      <c r="I153" s="76">
        <v>300</v>
      </c>
      <c r="J153" s="76">
        <v>300</v>
      </c>
      <c r="K153" s="76">
        <v>300</v>
      </c>
      <c r="L153" s="79">
        <v>27.74</v>
      </c>
      <c r="M153" s="79">
        <v>27.74</v>
      </c>
      <c r="N153" s="79">
        <v>16.059999999999999</v>
      </c>
      <c r="P153" s="75">
        <f t="shared" si="9"/>
        <v>1.1806917967951996E-2</v>
      </c>
    </row>
    <row r="154" spans="1:16" ht="21">
      <c r="A154" s="87">
        <v>0.99750509680050548</v>
      </c>
      <c r="B154" s="87">
        <v>1.1348065271601597</v>
      </c>
      <c r="C154" s="87">
        <v>0.95975655529129633</v>
      </c>
      <c r="D154" s="87">
        <v>0.50316512905442312</v>
      </c>
      <c r="E154" s="89">
        <v>0.3</v>
      </c>
      <c r="F154">
        <f t="shared" si="8"/>
        <v>0.84785998401553264</v>
      </c>
      <c r="G154" s="15" t="s">
        <v>379</v>
      </c>
      <c r="H154" s="76" t="s">
        <v>283</v>
      </c>
      <c r="I154" s="76">
        <v>300</v>
      </c>
      <c r="J154" s="76">
        <v>300</v>
      </c>
      <c r="K154" s="76">
        <v>300</v>
      </c>
      <c r="L154" s="80">
        <v>19</v>
      </c>
      <c r="M154" s="80">
        <v>19</v>
      </c>
      <c r="N154" s="80">
        <v>11</v>
      </c>
      <c r="P154" s="88">
        <f t="shared" si="9"/>
        <v>0.1750499718688634</v>
      </c>
    </row>
    <row r="155" spans="1:16" ht="21">
      <c r="A155" s="75">
        <v>0.99750509680050548</v>
      </c>
      <c r="B155" s="75">
        <v>1.0182271885406846</v>
      </c>
      <c r="C155" s="75">
        <v>0.85019739929735672</v>
      </c>
      <c r="D155" s="75">
        <v>0.50316512905442312</v>
      </c>
      <c r="E155">
        <v>0.5</v>
      </c>
      <c r="F155">
        <f t="shared" si="8"/>
        <v>0.8370664959912163</v>
      </c>
      <c r="G155" s="15" t="s">
        <v>380</v>
      </c>
      <c r="H155" s="76" t="s">
        <v>284</v>
      </c>
      <c r="I155" s="76">
        <v>300</v>
      </c>
      <c r="J155" s="76">
        <v>300</v>
      </c>
      <c r="K155" s="76">
        <v>300</v>
      </c>
      <c r="L155" s="80">
        <v>19</v>
      </c>
      <c r="M155" s="80">
        <v>19</v>
      </c>
      <c r="N155" s="80">
        <v>11</v>
      </c>
      <c r="P155" s="75">
        <f t="shared" si="9"/>
        <v>0.1680297892433279</v>
      </c>
    </row>
    <row r="156" spans="1:16" ht="21">
      <c r="A156" s="75">
        <v>0.99750509680050548</v>
      </c>
      <c r="B156" s="75">
        <v>0.87849827011820647</v>
      </c>
      <c r="C156" s="75">
        <v>0.72851018062529138</v>
      </c>
      <c r="D156" s="75">
        <v>0.50316512905442312</v>
      </c>
      <c r="E156">
        <v>0.75</v>
      </c>
      <c r="F156">
        <f t="shared" si="8"/>
        <v>0.83134174970147201</v>
      </c>
      <c r="G156" s="15" t="s">
        <v>381</v>
      </c>
      <c r="H156" s="76" t="s">
        <v>285</v>
      </c>
      <c r="I156" s="76">
        <v>300</v>
      </c>
      <c r="J156" s="76">
        <v>300</v>
      </c>
      <c r="K156" s="76">
        <v>300</v>
      </c>
      <c r="L156" s="80">
        <v>19</v>
      </c>
      <c r="M156" s="80">
        <v>19</v>
      </c>
      <c r="N156" s="80">
        <v>11</v>
      </c>
      <c r="P156" s="75">
        <f t="shared" si="9"/>
        <v>0.14998808949291509</v>
      </c>
    </row>
    <row r="157" spans="1:16" ht="21">
      <c r="A157" s="75">
        <v>0.99750509680050548</v>
      </c>
      <c r="B157" s="75">
        <v>0.74608311976909802</v>
      </c>
      <c r="C157" s="75">
        <v>0.6397228448206761</v>
      </c>
      <c r="D157" s="75">
        <v>0.50316512905442312</v>
      </c>
      <c r="E157">
        <v>1</v>
      </c>
      <c r="F157">
        <f t="shared" si="8"/>
        <v>0.8595863736103504</v>
      </c>
      <c r="G157" s="15" t="s">
        <v>382</v>
      </c>
      <c r="H157" s="76" t="s">
        <v>286</v>
      </c>
      <c r="I157" s="76">
        <v>300</v>
      </c>
      <c r="J157" s="76">
        <v>300</v>
      </c>
      <c r="K157" s="76">
        <v>300</v>
      </c>
      <c r="L157" s="80">
        <v>19</v>
      </c>
      <c r="M157" s="80">
        <v>19</v>
      </c>
      <c r="N157" s="80">
        <v>11</v>
      </c>
      <c r="P157" s="75">
        <f t="shared" si="9"/>
        <v>0.10636027494842193</v>
      </c>
    </row>
    <row r="158" spans="1:16" ht="21">
      <c r="A158" s="75">
        <v>0.99750509680050548</v>
      </c>
      <c r="B158" s="75">
        <v>0.50925412868036102</v>
      </c>
      <c r="C158" s="75">
        <v>0.47313117060378251</v>
      </c>
      <c r="D158" s="75">
        <v>0.50316512905442312</v>
      </c>
      <c r="E158">
        <v>1.33</v>
      </c>
      <c r="F158">
        <f t="shared" si="8"/>
        <v>0.93139066087684375</v>
      </c>
      <c r="G158" s="15" t="s">
        <v>383</v>
      </c>
      <c r="H158" s="76" t="s">
        <v>287</v>
      </c>
      <c r="I158" s="76">
        <v>300</v>
      </c>
      <c r="J158" s="76">
        <v>300</v>
      </c>
      <c r="K158" s="76">
        <v>300</v>
      </c>
      <c r="L158" s="80">
        <v>19</v>
      </c>
      <c r="M158" s="80">
        <v>19</v>
      </c>
      <c r="N158" s="80">
        <v>11</v>
      </c>
      <c r="P158" s="75">
        <f t="shared" si="9"/>
        <v>3.6122958076578504E-2</v>
      </c>
    </row>
    <row r="159" spans="1:16" ht="21">
      <c r="A159" s="75">
        <v>0.99750509680050548</v>
      </c>
      <c r="B159" s="75">
        <v>0.34020170529860377</v>
      </c>
      <c r="C159" s="75">
        <v>0.32138351702031603</v>
      </c>
      <c r="D159" s="75">
        <v>0.50316512905442312</v>
      </c>
      <c r="E159">
        <v>1.67</v>
      </c>
      <c r="F159">
        <f t="shared" si="8"/>
        <v>0.94704799604412504</v>
      </c>
      <c r="G159" s="15" t="s">
        <v>384</v>
      </c>
      <c r="H159" s="76" t="s">
        <v>288</v>
      </c>
      <c r="I159" s="76">
        <v>300</v>
      </c>
      <c r="J159" s="76">
        <v>300</v>
      </c>
      <c r="K159" s="76">
        <v>300</v>
      </c>
      <c r="L159" s="80">
        <v>19</v>
      </c>
      <c r="M159" s="80">
        <v>19</v>
      </c>
      <c r="N159" s="80">
        <v>11</v>
      </c>
      <c r="P159" s="75">
        <f t="shared" si="9"/>
        <v>1.881818827828774E-2</v>
      </c>
    </row>
    <row r="160" spans="1:16" ht="21">
      <c r="A160" s="75">
        <v>0.99750509680050548</v>
      </c>
      <c r="B160" s="75">
        <v>0.24186077146349108</v>
      </c>
      <c r="C160" s="75">
        <v>0.22407868818483392</v>
      </c>
      <c r="D160" s="75">
        <v>0.50316512905442312</v>
      </c>
      <c r="E160">
        <v>2</v>
      </c>
      <c r="F160">
        <f t="shared" si="8"/>
        <v>0.92879527232714976</v>
      </c>
      <c r="G160" s="15" t="s">
        <v>385</v>
      </c>
      <c r="H160" s="76" t="s">
        <v>289</v>
      </c>
      <c r="I160" s="76">
        <v>300</v>
      </c>
      <c r="J160" s="76">
        <v>300</v>
      </c>
      <c r="K160" s="76">
        <v>300</v>
      </c>
      <c r="L160" s="80">
        <v>19</v>
      </c>
      <c r="M160" s="80">
        <v>19</v>
      </c>
      <c r="N160" s="80">
        <v>11</v>
      </c>
      <c r="P160" s="75">
        <f t="shared" si="9"/>
        <v>1.7782083278657157E-2</v>
      </c>
    </row>
    <row r="161" spans="1:16" ht="21">
      <c r="A161" s="75">
        <v>0.99750509680050548</v>
      </c>
      <c r="B161" s="75">
        <v>0.15573429258933713</v>
      </c>
      <c r="C161" s="75">
        <v>0.14320789292318417</v>
      </c>
      <c r="D161" s="75">
        <v>0.50316512905442312</v>
      </c>
      <c r="E161">
        <v>2.5</v>
      </c>
      <c r="F161">
        <f t="shared" si="8"/>
        <v>0.92186553134495353</v>
      </c>
      <c r="G161" s="15" t="s">
        <v>386</v>
      </c>
      <c r="H161" s="76" t="s">
        <v>290</v>
      </c>
      <c r="I161" s="76">
        <v>300</v>
      </c>
      <c r="J161" s="76">
        <v>300</v>
      </c>
      <c r="K161" s="76">
        <v>300</v>
      </c>
      <c r="L161" s="80">
        <v>19</v>
      </c>
      <c r="M161" s="80">
        <v>19</v>
      </c>
      <c r="N161" s="80">
        <v>11</v>
      </c>
      <c r="P161" s="75">
        <f t="shared" si="9"/>
        <v>1.252639966615296E-2</v>
      </c>
    </row>
    <row r="162" spans="1:16" ht="21">
      <c r="A162" s="88">
        <v>0.9426544378140097</v>
      </c>
      <c r="B162" s="88">
        <v>1.1393624365751818</v>
      </c>
      <c r="C162" s="88">
        <v>0.90976629686479527</v>
      </c>
      <c r="D162" s="88">
        <v>0.60092698120307431</v>
      </c>
      <c r="E162" s="90">
        <v>0.3</v>
      </c>
      <c r="F162">
        <f t="shared" si="8"/>
        <v>0.84706245057966556</v>
      </c>
      <c r="G162" s="15" t="s">
        <v>387</v>
      </c>
      <c r="H162" s="76" t="s">
        <v>291</v>
      </c>
      <c r="I162" s="76">
        <v>300</v>
      </c>
      <c r="J162" s="76">
        <v>300</v>
      </c>
      <c r="K162" s="76">
        <v>300</v>
      </c>
      <c r="L162" s="79">
        <v>15.959999999999999</v>
      </c>
      <c r="M162" s="79">
        <v>15.959999999999999</v>
      </c>
      <c r="N162" s="79">
        <v>9.24</v>
      </c>
      <c r="P162" s="88">
        <f t="shared" si="9"/>
        <v>0.2295961397103865</v>
      </c>
    </row>
    <row r="163" spans="1:16" ht="21">
      <c r="A163" s="88">
        <v>0.9426544378140097</v>
      </c>
      <c r="B163" s="91">
        <v>1.021748482501377</v>
      </c>
      <c r="C163" s="91">
        <v>0.82414415937067409</v>
      </c>
      <c r="D163" s="91">
        <v>0.60092698120307431</v>
      </c>
      <c r="E163" s="90">
        <v>0.5</v>
      </c>
      <c r="F163">
        <f t="shared" si="8"/>
        <v>0.85567071240966586</v>
      </c>
      <c r="G163" s="15" t="s">
        <v>388</v>
      </c>
      <c r="H163" s="76" t="s">
        <v>292</v>
      </c>
      <c r="I163" s="76">
        <v>300</v>
      </c>
      <c r="J163" s="76">
        <v>300</v>
      </c>
      <c r="K163" s="76">
        <v>300</v>
      </c>
      <c r="L163" s="79">
        <v>15.959999999999999</v>
      </c>
      <c r="M163" s="79">
        <v>15.959999999999999</v>
      </c>
      <c r="N163" s="79">
        <v>9.24</v>
      </c>
      <c r="P163" s="88">
        <f t="shared" si="9"/>
        <v>0.19760432313070286</v>
      </c>
    </row>
    <row r="164" spans="1:16" ht="21">
      <c r="A164" s="75">
        <v>0.9426544378140097</v>
      </c>
      <c r="B164" s="75">
        <v>0.87982193338668913</v>
      </c>
      <c r="C164" s="75">
        <v>0.7175721248737571</v>
      </c>
      <c r="D164" s="75">
        <v>0.60092698120307431</v>
      </c>
      <c r="E164">
        <v>0.75</v>
      </c>
      <c r="F164">
        <f t="shared" si="8"/>
        <v>0.86520348219316823</v>
      </c>
      <c r="G164" s="15" t="s">
        <v>389</v>
      </c>
      <c r="H164" s="76" t="s">
        <v>293</v>
      </c>
      <c r="I164" s="76">
        <v>300</v>
      </c>
      <c r="J164" s="76">
        <v>300</v>
      </c>
      <c r="K164" s="76">
        <v>300</v>
      </c>
      <c r="L164" s="79">
        <v>15.959999999999999</v>
      </c>
      <c r="M164" s="79">
        <v>15.959999999999999</v>
      </c>
      <c r="N164" s="79">
        <v>9.24</v>
      </c>
      <c r="P164" s="75">
        <f t="shared" si="9"/>
        <v>0.16224980851293203</v>
      </c>
    </row>
    <row r="165" spans="1:16" ht="21">
      <c r="A165" s="75">
        <v>0.9426544378140097</v>
      </c>
      <c r="B165" s="75">
        <v>0.74612631489127557</v>
      </c>
      <c r="C165" s="75">
        <v>0.62867260695780613</v>
      </c>
      <c r="D165" s="75">
        <v>0.60092698120307431</v>
      </c>
      <c r="E165">
        <v>1</v>
      </c>
      <c r="F165">
        <f t="shared" si="8"/>
        <v>0.89383974865964633</v>
      </c>
      <c r="G165" s="15" t="s">
        <v>390</v>
      </c>
      <c r="H165" s="76" t="s">
        <v>294</v>
      </c>
      <c r="I165" s="76">
        <v>300</v>
      </c>
      <c r="J165" s="76">
        <v>300</v>
      </c>
      <c r="K165" s="76">
        <v>300</v>
      </c>
      <c r="L165" s="79">
        <v>15.959999999999999</v>
      </c>
      <c r="M165" s="79">
        <v>15.959999999999999</v>
      </c>
      <c r="N165" s="79">
        <v>9.24</v>
      </c>
      <c r="P165" s="75">
        <f t="shared" si="9"/>
        <v>0.11745370793346943</v>
      </c>
    </row>
    <row r="166" spans="1:16" ht="21">
      <c r="A166" s="75">
        <v>0.9426544378140097</v>
      </c>
      <c r="B166" s="75">
        <v>0.50923907296696169</v>
      </c>
      <c r="C166" s="75">
        <v>0.46739817002306661</v>
      </c>
      <c r="D166" s="75">
        <v>0.60092698120307431</v>
      </c>
      <c r="E166">
        <v>1.33</v>
      </c>
      <c r="F166">
        <f t="shared" si="8"/>
        <v>0.97367220460602155</v>
      </c>
      <c r="G166" s="15" t="s">
        <v>391</v>
      </c>
      <c r="H166" s="76" t="s">
        <v>295</v>
      </c>
      <c r="I166" s="76">
        <v>300</v>
      </c>
      <c r="J166" s="76">
        <v>300</v>
      </c>
      <c r="K166" s="76">
        <v>300</v>
      </c>
      <c r="L166" s="79">
        <v>15.959999999999999</v>
      </c>
      <c r="M166" s="79">
        <v>15.959999999999999</v>
      </c>
      <c r="N166" s="79">
        <v>9.24</v>
      </c>
      <c r="P166" s="75">
        <f t="shared" si="9"/>
        <v>4.1840902943895086E-2</v>
      </c>
    </row>
    <row r="167" spans="1:16" ht="21">
      <c r="A167" s="75">
        <v>0.9426544378140097</v>
      </c>
      <c r="B167" s="75">
        <v>0.34012590497523976</v>
      </c>
      <c r="C167" s="75">
        <v>0.31926489798229868</v>
      </c>
      <c r="D167" s="75">
        <v>0.60092698120307431</v>
      </c>
      <c r="E167">
        <v>1.67</v>
      </c>
      <c r="F167">
        <f t="shared" si="8"/>
        <v>0.99576978757300949</v>
      </c>
      <c r="G167" s="15" t="s">
        <v>392</v>
      </c>
      <c r="H167" s="76" t="s">
        <v>296</v>
      </c>
      <c r="I167" s="76">
        <v>300</v>
      </c>
      <c r="J167" s="76">
        <v>300</v>
      </c>
      <c r="K167" s="76">
        <v>300</v>
      </c>
      <c r="L167" s="79">
        <v>15.959999999999999</v>
      </c>
      <c r="M167" s="79">
        <v>15.959999999999999</v>
      </c>
      <c r="N167" s="79">
        <v>9.24</v>
      </c>
      <c r="P167" s="75">
        <f t="shared" si="9"/>
        <v>2.0861006992941078E-2</v>
      </c>
    </row>
    <row r="168" spans="1:16" ht="21">
      <c r="A168" s="75">
        <v>0.9426544378140097</v>
      </c>
      <c r="B168" s="75">
        <v>0.2417340928977057</v>
      </c>
      <c r="C168" s="75">
        <v>0.22289093649943881</v>
      </c>
      <c r="D168" s="75">
        <v>0.60092698120307431</v>
      </c>
      <c r="E168">
        <v>2</v>
      </c>
      <c r="F168">
        <f t="shared" si="8"/>
        <v>0.97814217998978514</v>
      </c>
      <c r="G168" s="15" t="s">
        <v>393</v>
      </c>
      <c r="H168" s="76" t="s">
        <v>297</v>
      </c>
      <c r="I168" s="76">
        <v>300</v>
      </c>
      <c r="J168" s="76">
        <v>300</v>
      </c>
      <c r="K168" s="76">
        <v>300</v>
      </c>
      <c r="L168" s="79">
        <v>15.959999999999999</v>
      </c>
      <c r="M168" s="79">
        <v>15.959999999999999</v>
      </c>
      <c r="N168" s="79">
        <v>9.24</v>
      </c>
      <c r="P168" s="75">
        <f t="shared" si="9"/>
        <v>1.8843156398266891E-2</v>
      </c>
    </row>
    <row r="169" spans="1:16" ht="21">
      <c r="A169" s="75">
        <v>0.9426544378140097</v>
      </c>
      <c r="B169" s="75">
        <v>0.15563021185971823</v>
      </c>
      <c r="C169" s="75">
        <v>0.14250960584628727</v>
      </c>
      <c r="D169" s="75">
        <v>0.60092698120307431</v>
      </c>
      <c r="E169">
        <v>2.5</v>
      </c>
      <c r="F169">
        <f t="shared" si="8"/>
        <v>0.97139913814416157</v>
      </c>
      <c r="G169" s="15" t="s">
        <v>394</v>
      </c>
      <c r="H169" s="76" t="s">
        <v>298</v>
      </c>
      <c r="I169" s="76">
        <v>300</v>
      </c>
      <c r="J169" s="76">
        <v>300</v>
      </c>
      <c r="K169" s="76">
        <v>300</v>
      </c>
      <c r="L169" s="79">
        <v>15.959999999999999</v>
      </c>
      <c r="M169" s="79">
        <v>15.959999999999999</v>
      </c>
      <c r="N169" s="79">
        <v>9.24</v>
      </c>
      <c r="P169" s="75">
        <f t="shared" si="9"/>
        <v>1.3120606013430958E-2</v>
      </c>
    </row>
    <row r="170" spans="1:16" ht="21">
      <c r="A170" s="88">
        <v>0.79953283252729768</v>
      </c>
      <c r="B170" s="88">
        <v>1.1472152963185571</v>
      </c>
      <c r="C170" s="88">
        <v>0.77594938448660944</v>
      </c>
      <c r="D170" s="88">
        <v>0.80062012685654171</v>
      </c>
      <c r="E170" s="90">
        <v>0.3</v>
      </c>
      <c r="F170">
        <f t="shared" si="8"/>
        <v>0.84596454413262578</v>
      </c>
      <c r="G170" s="15" t="s">
        <v>395</v>
      </c>
      <c r="H170" s="76" t="s">
        <v>299</v>
      </c>
      <c r="I170" s="76">
        <v>300</v>
      </c>
      <c r="J170" s="76">
        <v>300</v>
      </c>
      <c r="K170" s="76">
        <v>300</v>
      </c>
      <c r="L170" s="78">
        <v>12.16</v>
      </c>
      <c r="M170" s="78">
        <v>12.16</v>
      </c>
      <c r="N170" s="78">
        <v>7.04</v>
      </c>
      <c r="P170" s="88">
        <f t="shared" si="9"/>
        <v>0.37126591183194768</v>
      </c>
    </row>
    <row r="171" spans="1:16" ht="21">
      <c r="A171" s="88">
        <v>0.79953283252729768</v>
      </c>
      <c r="B171" s="88">
        <v>1.0287905475805508</v>
      </c>
      <c r="C171" s="88">
        <v>0.72596727132918815</v>
      </c>
      <c r="D171" s="88">
        <v>0.80062012685654171</v>
      </c>
      <c r="E171" s="90">
        <v>0.5</v>
      </c>
      <c r="F171">
        <f t="shared" si="8"/>
        <v>0.88257937452915725</v>
      </c>
      <c r="G171" s="15" t="s">
        <v>396</v>
      </c>
      <c r="H171" s="76" t="s">
        <v>300</v>
      </c>
      <c r="I171" s="76">
        <v>300</v>
      </c>
      <c r="J171" s="76">
        <v>300</v>
      </c>
      <c r="K171" s="76">
        <v>300</v>
      </c>
      <c r="L171" s="78">
        <v>12.16</v>
      </c>
      <c r="M171" s="78">
        <v>12.16</v>
      </c>
      <c r="N171" s="78">
        <v>7.04</v>
      </c>
      <c r="P171" s="88">
        <f t="shared" si="9"/>
        <v>0.30282327625136263</v>
      </c>
    </row>
    <row r="172" spans="1:16" ht="21">
      <c r="A172" s="88">
        <v>0.79953283252729768</v>
      </c>
      <c r="B172" s="88">
        <v>0.88330492091573898</v>
      </c>
      <c r="C172" s="88">
        <v>0.66086386119846385</v>
      </c>
      <c r="D172" s="88">
        <v>0.80062012685654171</v>
      </c>
      <c r="E172" s="90">
        <v>0.75</v>
      </c>
      <c r="F172">
        <f t="shared" si="8"/>
        <v>0.93576123694296987</v>
      </c>
      <c r="G172" s="15" t="s">
        <v>397</v>
      </c>
      <c r="H172" s="76" t="s">
        <v>301</v>
      </c>
      <c r="I172" s="76">
        <v>300</v>
      </c>
      <c r="J172" s="76">
        <v>300</v>
      </c>
      <c r="K172" s="76">
        <v>300</v>
      </c>
      <c r="L172" s="78">
        <v>12.16</v>
      </c>
      <c r="M172" s="78">
        <v>12.16</v>
      </c>
      <c r="N172" s="78">
        <v>7.04</v>
      </c>
      <c r="P172" s="88">
        <f t="shared" si="9"/>
        <v>0.22244105971727512</v>
      </c>
    </row>
    <row r="173" spans="1:16" ht="21">
      <c r="A173" s="88">
        <v>0.79953283252729768</v>
      </c>
      <c r="B173" s="88">
        <v>0.7471066233190895</v>
      </c>
      <c r="C173" s="88">
        <v>0.5868153346435282</v>
      </c>
      <c r="D173" s="88">
        <v>0.80062012685654171</v>
      </c>
      <c r="E173" s="90">
        <v>1</v>
      </c>
      <c r="F173">
        <f t="shared" si="8"/>
        <v>0.98238690576220455</v>
      </c>
      <c r="G173" s="15" t="s">
        <v>398</v>
      </c>
      <c r="H173" s="76" t="s">
        <v>302</v>
      </c>
      <c r="I173" s="76">
        <v>300</v>
      </c>
      <c r="J173" s="76">
        <v>300</v>
      </c>
      <c r="K173" s="76">
        <v>300</v>
      </c>
      <c r="L173" s="78">
        <v>12.16</v>
      </c>
      <c r="M173" s="78">
        <v>12.16</v>
      </c>
      <c r="N173" s="78">
        <v>7.04</v>
      </c>
      <c r="P173" s="88">
        <f t="shared" si="9"/>
        <v>0.16029128867556131</v>
      </c>
    </row>
    <row r="174" spans="1:16" ht="21">
      <c r="A174" s="75">
        <v>0.79953283252729768</v>
      </c>
      <c r="B174" s="75">
        <v>0.50972482009077624</v>
      </c>
      <c r="C174" s="75">
        <v>0.44725594227117693</v>
      </c>
      <c r="D174" s="75">
        <v>0.80062012685654171</v>
      </c>
      <c r="E174">
        <v>1.33</v>
      </c>
      <c r="F174">
        <f t="shared" si="8"/>
        <v>1.0974482125569518</v>
      </c>
      <c r="G174" s="15" t="s">
        <v>399</v>
      </c>
      <c r="H174" s="76" t="s">
        <v>303</v>
      </c>
      <c r="I174" s="76">
        <v>300</v>
      </c>
      <c r="J174" s="76">
        <v>300</v>
      </c>
      <c r="K174" s="76">
        <v>300</v>
      </c>
      <c r="L174" s="78">
        <v>12.16</v>
      </c>
      <c r="M174" s="78">
        <v>12.16</v>
      </c>
      <c r="N174" s="78">
        <v>7.04</v>
      </c>
      <c r="P174" s="75">
        <f t="shared" si="9"/>
        <v>6.2468877819599311E-2</v>
      </c>
    </row>
    <row r="175" spans="1:16" ht="21">
      <c r="A175" s="75">
        <v>0.79953283252729768</v>
      </c>
      <c r="B175" s="75">
        <v>0.34035318903088446</v>
      </c>
      <c r="C175" s="75">
        <v>0.31240354570851969</v>
      </c>
      <c r="D175" s="75">
        <v>0.80062012685654171</v>
      </c>
      <c r="E175">
        <v>1.67</v>
      </c>
      <c r="F175">
        <f t="shared" si="8"/>
        <v>1.1480209872637253</v>
      </c>
      <c r="G175" s="15" t="s">
        <v>400</v>
      </c>
      <c r="H175" s="76" t="s">
        <v>304</v>
      </c>
      <c r="I175" s="76">
        <v>300</v>
      </c>
      <c r="J175" s="76">
        <v>300</v>
      </c>
      <c r="K175" s="76">
        <v>300</v>
      </c>
      <c r="L175" s="78">
        <v>12.16</v>
      </c>
      <c r="M175" s="78">
        <v>12.16</v>
      </c>
      <c r="N175" s="78">
        <v>7.04</v>
      </c>
      <c r="P175" s="75">
        <f t="shared" si="9"/>
        <v>2.794964332236477E-2</v>
      </c>
    </row>
    <row r="176" spans="1:16" ht="21">
      <c r="A176" s="75">
        <v>0.79953283252729768</v>
      </c>
      <c r="B176" s="75">
        <v>0.24178946291098924</v>
      </c>
      <c r="C176" s="75">
        <v>0.2195595692214031</v>
      </c>
      <c r="D176" s="75">
        <v>0.80062012685654171</v>
      </c>
      <c r="E176">
        <v>2</v>
      </c>
      <c r="F176">
        <f t="shared" si="8"/>
        <v>1.1357394122621103</v>
      </c>
      <c r="G176" s="15" t="s">
        <v>401</v>
      </c>
      <c r="H176" s="76" t="s">
        <v>305</v>
      </c>
      <c r="I176" s="76">
        <v>300</v>
      </c>
      <c r="J176" s="76">
        <v>300</v>
      </c>
      <c r="K176" s="76">
        <v>300</v>
      </c>
      <c r="L176" s="78">
        <v>12.16</v>
      </c>
      <c r="M176" s="78">
        <v>12.16</v>
      </c>
      <c r="N176" s="78">
        <v>7.04</v>
      </c>
      <c r="P176" s="75">
        <f t="shared" si="9"/>
        <v>2.2229893689586139E-2</v>
      </c>
    </row>
    <row r="177" spans="1:16" ht="21">
      <c r="A177" s="75">
        <v>0.79953283252729768</v>
      </c>
      <c r="B177" s="75">
        <v>0.15564472947856078</v>
      </c>
      <c r="C177" s="75">
        <v>0.14068000772650124</v>
      </c>
      <c r="D177" s="75">
        <v>0.80062012685654171</v>
      </c>
      <c r="E177">
        <v>2.5</v>
      </c>
      <c r="F177">
        <f t="shared" si="8"/>
        <v>1.1304768205433189</v>
      </c>
      <c r="G177" s="15" t="s">
        <v>402</v>
      </c>
      <c r="H177" s="76" t="s">
        <v>306</v>
      </c>
      <c r="I177" s="76">
        <v>300</v>
      </c>
      <c r="J177" s="76">
        <v>300</v>
      </c>
      <c r="K177" s="76">
        <v>300</v>
      </c>
      <c r="L177" s="78">
        <v>12.16</v>
      </c>
      <c r="M177" s="78">
        <v>12.16</v>
      </c>
      <c r="N177" s="78">
        <v>7.04</v>
      </c>
      <c r="P177" s="75">
        <f t="shared" si="9"/>
        <v>1.496472175205954E-2</v>
      </c>
    </row>
    <row r="178" spans="1:16" ht="21">
      <c r="A178" s="88">
        <v>0.66206942736160623</v>
      </c>
      <c r="B178" s="88">
        <v>1.1604893665115708</v>
      </c>
      <c r="C178" s="88">
        <v>0.64012924799119097</v>
      </c>
      <c r="D178" s="88">
        <v>1.1026699208821982</v>
      </c>
      <c r="E178" s="90">
        <v>0.3</v>
      </c>
      <c r="F178">
        <f t="shared" si="8"/>
        <v>0.83314956468108226</v>
      </c>
      <c r="G178" s="15" t="s">
        <v>403</v>
      </c>
      <c r="H178" s="76" t="s">
        <v>307</v>
      </c>
      <c r="I178" s="76">
        <v>300</v>
      </c>
      <c r="J178" s="76">
        <v>300</v>
      </c>
      <c r="K178" s="76">
        <v>300</v>
      </c>
      <c r="L178" s="81">
        <v>8.74</v>
      </c>
      <c r="M178" s="81">
        <v>8.74</v>
      </c>
      <c r="N178" s="81">
        <v>5.0600000000000005</v>
      </c>
      <c r="P178" s="88">
        <f t="shared" si="9"/>
        <v>0.52036011852037978</v>
      </c>
    </row>
    <row r="179" spans="1:16" ht="21">
      <c r="A179" s="88">
        <v>0.66206942736160623</v>
      </c>
      <c r="B179" s="88">
        <v>1.0388483998377638</v>
      </c>
      <c r="C179" s="88">
        <v>0.58704305741581353</v>
      </c>
      <c r="D179" s="88">
        <v>1.1026699208821982</v>
      </c>
      <c r="E179" s="90">
        <v>0.5</v>
      </c>
      <c r="F179">
        <f t="shared" si="8"/>
        <v>0.85352107158563217</v>
      </c>
      <c r="G179" s="15" t="s">
        <v>404</v>
      </c>
      <c r="H179" s="76" t="s">
        <v>308</v>
      </c>
      <c r="I179" s="76">
        <v>300</v>
      </c>
      <c r="J179" s="76">
        <v>300</v>
      </c>
      <c r="K179" s="76">
        <v>300</v>
      </c>
      <c r="L179" s="81">
        <v>8.74</v>
      </c>
      <c r="M179" s="81">
        <v>8.74</v>
      </c>
      <c r="N179" s="81">
        <v>5.0600000000000005</v>
      </c>
      <c r="P179" s="88">
        <f t="shared" si="9"/>
        <v>0.45180534242195025</v>
      </c>
    </row>
    <row r="180" spans="1:16" ht="21">
      <c r="A180" s="88">
        <v>0.66206942736160623</v>
      </c>
      <c r="B180" s="88">
        <v>0.88932312692639359</v>
      </c>
      <c r="C180" s="88">
        <v>0.51658621284952344</v>
      </c>
      <c r="D180" s="88">
        <v>1.1026699208821982</v>
      </c>
      <c r="E180" s="90">
        <v>0.75</v>
      </c>
      <c r="F180">
        <f t="shared" si="8"/>
        <v>0.87736375873089634</v>
      </c>
      <c r="G180" s="15" t="s">
        <v>405</v>
      </c>
      <c r="H180" s="76" t="s">
        <v>309</v>
      </c>
      <c r="I180" s="76">
        <v>300</v>
      </c>
      <c r="J180" s="76">
        <v>300</v>
      </c>
      <c r="K180" s="76">
        <v>300</v>
      </c>
      <c r="L180" s="81">
        <v>8.74</v>
      </c>
      <c r="M180" s="81">
        <v>8.74</v>
      </c>
      <c r="N180" s="81">
        <v>5.0600000000000005</v>
      </c>
      <c r="P180" s="88">
        <f t="shared" si="9"/>
        <v>0.37273691407687015</v>
      </c>
    </row>
    <row r="181" spans="1:16" ht="21">
      <c r="A181" s="88">
        <v>0.66206942736160623</v>
      </c>
      <c r="B181" s="88">
        <v>0.74968425806393879</v>
      </c>
      <c r="C181" s="88">
        <v>0.45924471279968981</v>
      </c>
      <c r="D181" s="88">
        <v>1.1026699208821982</v>
      </c>
      <c r="E181" s="90">
        <v>1</v>
      </c>
      <c r="F181">
        <f t="shared" si="8"/>
        <v>0.92525670234520063</v>
      </c>
      <c r="G181" s="15" t="s">
        <v>406</v>
      </c>
      <c r="H181" s="76" t="s">
        <v>310</v>
      </c>
      <c r="I181" s="76">
        <v>300</v>
      </c>
      <c r="J181" s="76">
        <v>300</v>
      </c>
      <c r="K181" s="76">
        <v>300</v>
      </c>
      <c r="L181" s="81">
        <v>8.74</v>
      </c>
      <c r="M181" s="81">
        <v>8.74</v>
      </c>
      <c r="N181" s="81">
        <v>5.0600000000000005</v>
      </c>
      <c r="P181" s="88">
        <f t="shared" si="9"/>
        <v>0.29043954526424898</v>
      </c>
    </row>
    <row r="182" spans="1:16" ht="21">
      <c r="A182" s="88">
        <v>0.66206942736160623</v>
      </c>
      <c r="B182" s="88">
        <v>0.51095172964281299</v>
      </c>
      <c r="C182" s="88">
        <v>0.36931586521031101</v>
      </c>
      <c r="D182" s="88">
        <v>1.1026699208821982</v>
      </c>
      <c r="E182" s="90">
        <v>1.33</v>
      </c>
      <c r="F182">
        <f t="shared" si="8"/>
        <v>1.0917282721502326</v>
      </c>
      <c r="G182" s="15" t="s">
        <v>407</v>
      </c>
      <c r="H182" s="76" t="s">
        <v>311</v>
      </c>
      <c r="I182" s="76">
        <v>300</v>
      </c>
      <c r="J182" s="76">
        <v>300</v>
      </c>
      <c r="K182" s="76">
        <v>300</v>
      </c>
      <c r="L182" s="81">
        <v>8.74</v>
      </c>
      <c r="M182" s="81">
        <v>8.74</v>
      </c>
      <c r="N182" s="81">
        <v>5.0600000000000005</v>
      </c>
      <c r="P182" s="88">
        <f t="shared" si="9"/>
        <v>0.14163586443250198</v>
      </c>
    </row>
    <row r="183" spans="1:16" ht="21">
      <c r="A183" s="75">
        <v>0.66206942736160623</v>
      </c>
      <c r="B183" s="75">
        <v>0.34115683835467658</v>
      </c>
      <c r="C183" s="75">
        <v>0.27609102810626718</v>
      </c>
      <c r="D183" s="75">
        <v>1.1026699208821982</v>
      </c>
      <c r="E183">
        <v>1.67</v>
      </c>
      <c r="F183">
        <f t="shared" si="8"/>
        <v>1.2223474736185891</v>
      </c>
      <c r="G183" s="15" t="s">
        <v>408</v>
      </c>
      <c r="H183" s="76" t="s">
        <v>312</v>
      </c>
      <c r="I183" s="76">
        <v>300</v>
      </c>
      <c r="J183" s="76">
        <v>300</v>
      </c>
      <c r="K183" s="76">
        <v>300</v>
      </c>
      <c r="L183" s="81">
        <v>8.74</v>
      </c>
      <c r="M183" s="81">
        <v>8.74</v>
      </c>
      <c r="N183" s="81">
        <v>5.0600000000000005</v>
      </c>
      <c r="P183" s="75">
        <f t="shared" si="9"/>
        <v>6.5065810248409406E-2</v>
      </c>
    </row>
    <row r="184" spans="1:16" ht="21">
      <c r="A184" s="75">
        <v>0.66206942736160623</v>
      </c>
      <c r="B184" s="75">
        <v>0.24225476482573904</v>
      </c>
      <c r="C184" s="75">
        <v>0.20357250905384758</v>
      </c>
      <c r="D184" s="75">
        <v>1.1026699208821982</v>
      </c>
      <c r="E184">
        <v>2</v>
      </c>
      <c r="F184">
        <f t="shared" si="8"/>
        <v>1.2692385897168403</v>
      </c>
      <c r="G184" s="15" t="s">
        <v>409</v>
      </c>
      <c r="H184" s="76" t="s">
        <v>313</v>
      </c>
      <c r="I184" s="76">
        <v>300</v>
      </c>
      <c r="J184" s="76">
        <v>300</v>
      </c>
      <c r="K184" s="76">
        <v>300</v>
      </c>
      <c r="L184" s="81">
        <v>8.74</v>
      </c>
      <c r="M184" s="81">
        <v>8.74</v>
      </c>
      <c r="N184" s="81">
        <v>5.0600000000000005</v>
      </c>
      <c r="P184" s="75">
        <f t="shared" si="9"/>
        <v>3.8682255771891466E-2</v>
      </c>
    </row>
    <row r="185" spans="1:16" ht="21">
      <c r="A185" s="75">
        <v>0.66206942736160623</v>
      </c>
      <c r="B185" s="75">
        <v>0.15592593543012154</v>
      </c>
      <c r="C185" s="75">
        <v>0.13323622499439741</v>
      </c>
      <c r="D185" s="75">
        <v>1.1026699208821982</v>
      </c>
      <c r="E185">
        <v>2.5</v>
      </c>
      <c r="F185">
        <f t="shared" si="8"/>
        <v>1.2906260520306219</v>
      </c>
      <c r="G185" s="15" t="s">
        <v>410</v>
      </c>
      <c r="H185" s="76" t="s">
        <v>314</v>
      </c>
      <c r="I185" s="76">
        <v>300</v>
      </c>
      <c r="J185" s="76">
        <v>300</v>
      </c>
      <c r="K185" s="76">
        <v>300</v>
      </c>
      <c r="L185" s="81">
        <v>8.74</v>
      </c>
      <c r="M185" s="81">
        <v>8.74</v>
      </c>
      <c r="N185" s="81">
        <v>5.0600000000000005</v>
      </c>
      <c r="P185" s="75">
        <f t="shared" si="9"/>
        <v>2.2689710435724125E-2</v>
      </c>
    </row>
    <row r="186" spans="1:16" ht="21">
      <c r="A186" s="88">
        <v>0.58036876948907201</v>
      </c>
      <c r="B186" s="88">
        <v>1.171181802391589</v>
      </c>
      <c r="C186" s="88">
        <v>0.55827783451373203</v>
      </c>
      <c r="D186" s="88">
        <v>1.5093980321271014</v>
      </c>
      <c r="E186" s="90">
        <v>0.3</v>
      </c>
      <c r="F186">
        <f t="shared" si="8"/>
        <v>0.82133822462154926</v>
      </c>
      <c r="G186" s="15" t="s">
        <v>411</v>
      </c>
      <c r="H186" s="76" t="s">
        <v>315</v>
      </c>
      <c r="I186" s="76">
        <v>300</v>
      </c>
      <c r="J186" s="76">
        <v>300</v>
      </c>
      <c r="K186" s="76">
        <v>300</v>
      </c>
      <c r="L186" s="78">
        <v>6.4600000000000009</v>
      </c>
      <c r="M186" s="78">
        <v>6.4600000000000009</v>
      </c>
      <c r="N186" s="78">
        <v>3.74</v>
      </c>
      <c r="P186" s="88">
        <f t="shared" si="9"/>
        <v>0.61290396787785695</v>
      </c>
    </row>
    <row r="187" spans="1:16" ht="21">
      <c r="A187" s="88">
        <v>0.58036876948907201</v>
      </c>
      <c r="B187" s="88">
        <v>1.0485559542163709</v>
      </c>
      <c r="C187" s="88">
        <v>0.51408639686053481</v>
      </c>
      <c r="D187" s="88">
        <v>1.5093980321271014</v>
      </c>
      <c r="E187" s="90">
        <v>0.5</v>
      </c>
      <c r="F187">
        <f t="shared" si="8"/>
        <v>0.84477386040973035</v>
      </c>
      <c r="G187" s="15" t="s">
        <v>412</v>
      </c>
      <c r="H187" s="76" t="s">
        <v>316</v>
      </c>
      <c r="I187" s="76">
        <v>300</v>
      </c>
      <c r="J187" s="76">
        <v>300</v>
      </c>
      <c r="K187" s="76">
        <v>300</v>
      </c>
      <c r="L187" s="78">
        <v>6.4600000000000009</v>
      </c>
      <c r="M187" s="78">
        <v>6.4600000000000009</v>
      </c>
      <c r="N187" s="78">
        <v>3.74</v>
      </c>
      <c r="P187" s="88">
        <f t="shared" si="9"/>
        <v>0.53446955735583612</v>
      </c>
    </row>
    <row r="188" spans="1:16" ht="21">
      <c r="A188" s="88">
        <v>0.58036876948907201</v>
      </c>
      <c r="B188" s="88">
        <v>0.89607657884985892</v>
      </c>
      <c r="C188" s="88">
        <v>0.43092763660477462</v>
      </c>
      <c r="D188" s="88">
        <v>1.5093980321271014</v>
      </c>
      <c r="E188" s="90">
        <v>0.75</v>
      </c>
      <c r="F188">
        <f t="shared" si="8"/>
        <v>0.8286195718191105</v>
      </c>
      <c r="G188" s="15" t="s">
        <v>413</v>
      </c>
      <c r="H188" s="76" t="s">
        <v>317</v>
      </c>
      <c r="I188" s="76">
        <v>300</v>
      </c>
      <c r="J188" s="76">
        <v>300</v>
      </c>
      <c r="K188" s="76">
        <v>300</v>
      </c>
      <c r="L188" s="78">
        <v>6.4600000000000009</v>
      </c>
      <c r="M188" s="78">
        <v>6.4600000000000009</v>
      </c>
      <c r="N188" s="78">
        <v>3.74</v>
      </c>
      <c r="P188" s="88">
        <f t="shared" si="9"/>
        <v>0.4651489422450843</v>
      </c>
    </row>
    <row r="189" spans="1:16" ht="21">
      <c r="A189" s="88">
        <v>0.58036876948907201</v>
      </c>
      <c r="B189" s="88">
        <v>0.75338774772404538</v>
      </c>
      <c r="C189" s="88">
        <v>0.35958246514949044</v>
      </c>
      <c r="D189" s="88">
        <v>1.5093980321271014</v>
      </c>
      <c r="E189" s="90">
        <v>1</v>
      </c>
      <c r="F189">
        <f t="shared" si="8"/>
        <v>0.8223863969000359</v>
      </c>
      <c r="G189" s="15" t="s">
        <v>414</v>
      </c>
      <c r="H189" s="76" t="s">
        <v>318</v>
      </c>
      <c r="I189" s="76">
        <v>300</v>
      </c>
      <c r="J189" s="76">
        <v>300</v>
      </c>
      <c r="K189" s="76">
        <v>300</v>
      </c>
      <c r="L189" s="78">
        <v>6.4600000000000009</v>
      </c>
      <c r="M189" s="78">
        <v>6.4600000000000009</v>
      </c>
      <c r="N189" s="78">
        <v>3.74</v>
      </c>
      <c r="P189" s="88">
        <f t="shared" si="9"/>
        <v>0.39380528257455494</v>
      </c>
    </row>
    <row r="190" spans="1:16" ht="21">
      <c r="A190" s="88">
        <v>0.58036876948907201</v>
      </c>
      <c r="B190" s="88">
        <v>0.5128394270725648</v>
      </c>
      <c r="C190" s="88">
        <v>0.27766836041023263</v>
      </c>
      <c r="D190" s="88">
        <v>1.5093980321271014</v>
      </c>
      <c r="E190" s="90">
        <v>1.33</v>
      </c>
      <c r="F190">
        <f t="shared" si="8"/>
        <v>0.93291259228828505</v>
      </c>
      <c r="G190" s="15" t="s">
        <v>415</v>
      </c>
      <c r="H190" s="76" t="s">
        <v>319</v>
      </c>
      <c r="I190" s="76">
        <v>300</v>
      </c>
      <c r="J190" s="76">
        <v>300</v>
      </c>
      <c r="K190" s="76">
        <v>300</v>
      </c>
      <c r="L190" s="78">
        <v>6.4600000000000009</v>
      </c>
      <c r="M190" s="78">
        <v>6.4600000000000009</v>
      </c>
      <c r="N190" s="78">
        <v>3.74</v>
      </c>
      <c r="P190" s="88">
        <f t="shared" si="9"/>
        <v>0.23517106666233217</v>
      </c>
    </row>
    <row r="191" spans="1:16" ht="21">
      <c r="A191" s="75">
        <v>0.58036876948907201</v>
      </c>
      <c r="B191" s="94">
        <v>0.34231417657122359</v>
      </c>
      <c r="C191" s="94">
        <v>0.21004550363729052</v>
      </c>
      <c r="D191" s="75">
        <v>1.5093980321271014</v>
      </c>
      <c r="E191">
        <v>1.67</v>
      </c>
      <c r="F191">
        <f t="shared" si="8"/>
        <v>1.0572664948872892</v>
      </c>
      <c r="G191" s="15" t="s">
        <v>416</v>
      </c>
      <c r="H191" s="76" t="s">
        <v>320</v>
      </c>
      <c r="I191" s="76">
        <v>300</v>
      </c>
      <c r="J191" s="76">
        <v>300</v>
      </c>
      <c r="K191" s="76">
        <v>300</v>
      </c>
      <c r="L191" s="78">
        <v>6.4600000000000009</v>
      </c>
      <c r="M191" s="78">
        <v>6.4600000000000009</v>
      </c>
      <c r="N191" s="78">
        <v>3.74</v>
      </c>
      <c r="P191" s="75">
        <f t="shared" si="9"/>
        <v>0.13226867293393307</v>
      </c>
    </row>
    <row r="192" spans="1:16" ht="21">
      <c r="A192" s="75">
        <v>0.58036876948907201</v>
      </c>
      <c r="B192" s="92">
        <v>0.24303021306316197</v>
      </c>
      <c r="C192" s="92">
        <v>0.16055226270390693</v>
      </c>
      <c r="D192" s="75">
        <v>1.5093980321271014</v>
      </c>
      <c r="E192">
        <v>2</v>
      </c>
      <c r="F192">
        <f t="shared" si="8"/>
        <v>1.1382879242426307</v>
      </c>
      <c r="G192" s="15" t="s">
        <v>417</v>
      </c>
      <c r="H192" s="76" t="s">
        <v>321</v>
      </c>
      <c r="I192" s="76">
        <v>300</v>
      </c>
      <c r="J192" s="76">
        <v>300</v>
      </c>
      <c r="K192" s="76">
        <v>300</v>
      </c>
      <c r="L192" s="78">
        <v>6.4600000000000009</v>
      </c>
      <c r="M192" s="78">
        <v>6.4600000000000009</v>
      </c>
      <c r="N192" s="78">
        <v>3.74</v>
      </c>
      <c r="P192" s="75">
        <f t="shared" si="9"/>
        <v>8.2477950359255037E-2</v>
      </c>
    </row>
    <row r="193" spans="1:16" ht="21.75" thickBot="1">
      <c r="A193" s="75">
        <v>0.58036876948907201</v>
      </c>
      <c r="B193" s="92">
        <v>0.15642704316798575</v>
      </c>
      <c r="C193" s="92">
        <v>0.1104096889307592</v>
      </c>
      <c r="D193" s="75">
        <v>1.5093980321271014</v>
      </c>
      <c r="E193">
        <v>2.5</v>
      </c>
      <c r="F193">
        <f t="shared" si="8"/>
        <v>1.2161616816880965</v>
      </c>
      <c r="G193" s="42" t="s">
        <v>418</v>
      </c>
      <c r="H193" s="76" t="s">
        <v>322</v>
      </c>
      <c r="I193" s="76">
        <v>300</v>
      </c>
      <c r="J193" s="76">
        <v>300</v>
      </c>
      <c r="K193" s="76">
        <v>300</v>
      </c>
      <c r="L193" s="78">
        <v>6.4600000000000009</v>
      </c>
      <c r="M193" s="78">
        <v>6.4600000000000009</v>
      </c>
      <c r="N193" s="78">
        <v>3.74</v>
      </c>
      <c r="P193" s="75">
        <f t="shared" si="9"/>
        <v>4.6017354237226554E-2</v>
      </c>
    </row>
    <row r="194" spans="1:16" ht="21">
      <c r="A194" s="75">
        <v>1.0598341778761915</v>
      </c>
      <c r="B194" s="93">
        <v>1.0379988757926202</v>
      </c>
      <c r="C194" s="93">
        <v>0.98558693456396751</v>
      </c>
      <c r="D194" s="75">
        <v>0.3550200773318104</v>
      </c>
      <c r="E194">
        <v>0.3</v>
      </c>
      <c r="F194">
        <f t="shared" si="8"/>
        <v>0.89590123199620175</v>
      </c>
      <c r="G194" s="49" t="s">
        <v>528</v>
      </c>
      <c r="H194" s="76" t="s">
        <v>419</v>
      </c>
      <c r="I194" s="76">
        <v>180</v>
      </c>
      <c r="J194" s="76">
        <v>180</v>
      </c>
      <c r="K194" s="76">
        <v>400</v>
      </c>
      <c r="L194" s="76">
        <v>13.5</v>
      </c>
      <c r="M194" s="76">
        <v>13.5</v>
      </c>
      <c r="N194" s="77">
        <v>24.7</v>
      </c>
      <c r="P194" s="75">
        <f t="shared" si="9"/>
        <v>5.241194122865267E-2</v>
      </c>
    </row>
    <row r="195" spans="1:16" ht="21">
      <c r="A195" s="75">
        <v>1.0598341778761915</v>
      </c>
      <c r="B195" s="75">
        <v>0.96411920712689858</v>
      </c>
      <c r="C195" s="75">
        <v>0.91070006981212637</v>
      </c>
      <c r="D195" s="75">
        <v>0.3550200773318104</v>
      </c>
      <c r="E195">
        <v>0.5</v>
      </c>
      <c r="F195">
        <f t="shared" ref="F195:F258" si="10">C195/(A195*B195)</f>
        <v>0.89126471711312738</v>
      </c>
      <c r="G195" s="25" t="s">
        <v>529</v>
      </c>
      <c r="H195" s="76" t="s">
        <v>420</v>
      </c>
      <c r="I195" s="76">
        <v>180</v>
      </c>
      <c r="J195" s="76">
        <v>180</v>
      </c>
      <c r="K195" s="76">
        <v>400</v>
      </c>
      <c r="L195" s="76">
        <v>13.5</v>
      </c>
      <c r="M195" s="76">
        <v>13.5</v>
      </c>
      <c r="N195" s="77">
        <v>24.7</v>
      </c>
      <c r="P195" s="75">
        <f t="shared" ref="P195:P258" si="11">B195-C195</f>
        <v>5.3419137314772214E-2</v>
      </c>
    </row>
    <row r="196" spans="1:16" ht="21">
      <c r="A196" s="75">
        <v>1.0598341778761915</v>
      </c>
      <c r="B196" s="75">
        <v>0.77809603336558075</v>
      </c>
      <c r="C196" s="75">
        <v>0.80944783012296773</v>
      </c>
      <c r="D196" s="75">
        <v>0.3550200773318104</v>
      </c>
      <c r="E196">
        <v>0.75</v>
      </c>
      <c r="F196">
        <f t="shared" si="10"/>
        <v>0.98156200977668562</v>
      </c>
      <c r="G196" s="25" t="s">
        <v>530</v>
      </c>
      <c r="H196" s="76" t="s">
        <v>421</v>
      </c>
      <c r="I196" s="76">
        <v>180</v>
      </c>
      <c r="J196" s="76">
        <v>180</v>
      </c>
      <c r="K196" s="76">
        <v>400</v>
      </c>
      <c r="L196" s="76">
        <v>13.5</v>
      </c>
      <c r="M196" s="76">
        <v>13.5</v>
      </c>
      <c r="N196" s="77">
        <v>24.7</v>
      </c>
      <c r="P196" s="75">
        <f t="shared" si="11"/>
        <v>-3.1351796757386974E-2</v>
      </c>
    </row>
    <row r="197" spans="1:16" ht="21">
      <c r="A197" s="75">
        <v>1.0598341778761915</v>
      </c>
      <c r="B197" s="75">
        <v>0.64419662533195954</v>
      </c>
      <c r="C197" s="75">
        <v>0.67878203405004889</v>
      </c>
      <c r="D197" s="75">
        <v>0.3550200773318104</v>
      </c>
      <c r="E197">
        <v>1</v>
      </c>
      <c r="F197">
        <f t="shared" si="10"/>
        <v>0.99420048998826227</v>
      </c>
      <c r="G197" s="25" t="s">
        <v>531</v>
      </c>
      <c r="H197" s="76" t="s">
        <v>422</v>
      </c>
      <c r="I197" s="76">
        <v>180</v>
      </c>
      <c r="J197" s="76">
        <v>180</v>
      </c>
      <c r="K197" s="76">
        <v>400</v>
      </c>
      <c r="L197" s="76">
        <v>13.5</v>
      </c>
      <c r="M197" s="76">
        <v>13.5</v>
      </c>
      <c r="N197" s="77">
        <v>24.7</v>
      </c>
      <c r="P197" s="75">
        <f t="shared" si="11"/>
        <v>-3.458540871808935E-2</v>
      </c>
    </row>
    <row r="198" spans="1:16" ht="21">
      <c r="A198" s="75">
        <v>1.0598341778761915</v>
      </c>
      <c r="B198" s="75">
        <v>0.47310858703368386</v>
      </c>
      <c r="C198" s="75">
        <v>0.48373146824477181</v>
      </c>
      <c r="D198" s="75">
        <v>0.3550200773318104</v>
      </c>
      <c r="E198">
        <v>1.33</v>
      </c>
      <c r="F198">
        <f t="shared" si="10"/>
        <v>0.96472956746318728</v>
      </c>
      <c r="G198" s="25" t="s">
        <v>532</v>
      </c>
      <c r="H198" s="76" t="s">
        <v>423</v>
      </c>
      <c r="I198" s="76">
        <v>180</v>
      </c>
      <c r="J198" s="76">
        <v>180</v>
      </c>
      <c r="K198" s="76">
        <v>400</v>
      </c>
      <c r="L198" s="76">
        <v>13.5</v>
      </c>
      <c r="M198" s="76">
        <v>13.5</v>
      </c>
      <c r="N198" s="77">
        <v>24.7</v>
      </c>
      <c r="P198" s="75">
        <f t="shared" si="11"/>
        <v>-1.0622881211087953E-2</v>
      </c>
    </row>
    <row r="199" spans="1:16" ht="21">
      <c r="A199" s="75">
        <v>1.0598341778761915</v>
      </c>
      <c r="B199" s="75">
        <v>0.32042767494269897</v>
      </c>
      <c r="C199" s="75">
        <v>0.32695408278431892</v>
      </c>
      <c r="D199" s="75">
        <v>0.3550200773318104</v>
      </c>
      <c r="E199">
        <v>1.67</v>
      </c>
      <c r="F199">
        <f t="shared" si="10"/>
        <v>0.96276174571254514</v>
      </c>
      <c r="G199" s="25" t="s">
        <v>533</v>
      </c>
      <c r="H199" s="76" t="s">
        <v>424</v>
      </c>
      <c r="I199" s="76">
        <v>180</v>
      </c>
      <c r="J199" s="76">
        <v>180</v>
      </c>
      <c r="K199" s="76">
        <v>400</v>
      </c>
      <c r="L199" s="76">
        <v>13.5</v>
      </c>
      <c r="M199" s="76">
        <v>13.5</v>
      </c>
      <c r="N199" s="77">
        <v>24.7</v>
      </c>
      <c r="P199" s="75">
        <f t="shared" si="11"/>
        <v>-6.5264078416199522E-3</v>
      </c>
    </row>
    <row r="200" spans="1:16" ht="21">
      <c r="A200" s="75">
        <v>1.0598341778761915</v>
      </c>
      <c r="B200" s="75">
        <v>0.21888654856151413</v>
      </c>
      <c r="C200" s="75">
        <v>0.23151684999002192</v>
      </c>
      <c r="D200" s="75">
        <v>0.3550200773318104</v>
      </c>
      <c r="E200">
        <v>2</v>
      </c>
      <c r="F200">
        <f t="shared" si="10"/>
        <v>0.99798867004350666</v>
      </c>
      <c r="G200" s="25" t="s">
        <v>534</v>
      </c>
      <c r="H200" s="76" t="s">
        <v>425</v>
      </c>
      <c r="I200" s="76">
        <v>180</v>
      </c>
      <c r="J200" s="76">
        <v>180</v>
      </c>
      <c r="K200" s="76">
        <v>400</v>
      </c>
      <c r="L200" s="76">
        <v>13.5</v>
      </c>
      <c r="M200" s="76">
        <v>13.5</v>
      </c>
      <c r="N200" s="77">
        <v>24.7</v>
      </c>
      <c r="P200" s="75">
        <f t="shared" si="11"/>
        <v>-1.2630301428507795E-2</v>
      </c>
    </row>
    <row r="201" spans="1:16" ht="21">
      <c r="A201" s="75">
        <v>1.0598341778761915</v>
      </c>
      <c r="B201" s="75">
        <v>0.13785322324083435</v>
      </c>
      <c r="C201" s="75">
        <v>0.14970290892677518</v>
      </c>
      <c r="D201" s="75">
        <v>0.3550200773318104</v>
      </c>
      <c r="E201">
        <v>2.5</v>
      </c>
      <c r="F201">
        <f t="shared" si="10"/>
        <v>1.0246496441711375</v>
      </c>
      <c r="G201" s="25" t="s">
        <v>535</v>
      </c>
      <c r="H201" s="76" t="s">
        <v>426</v>
      </c>
      <c r="I201" s="76">
        <v>180</v>
      </c>
      <c r="J201" s="76">
        <v>180</v>
      </c>
      <c r="K201" s="76">
        <v>400</v>
      </c>
      <c r="L201" s="76">
        <v>13.5</v>
      </c>
      <c r="M201" s="76">
        <v>13.5</v>
      </c>
      <c r="N201" s="77">
        <v>24.7</v>
      </c>
      <c r="P201" s="75">
        <f t="shared" si="11"/>
        <v>-1.1849685685940831E-2</v>
      </c>
    </row>
    <row r="202" spans="1:16" ht="21">
      <c r="A202" s="75">
        <v>1.0163686273422265</v>
      </c>
      <c r="B202" s="75">
        <v>1.039978526907481</v>
      </c>
      <c r="C202" s="75">
        <v>0.97841137723530747</v>
      </c>
      <c r="D202" s="75">
        <v>0.50420742049940981</v>
      </c>
      <c r="E202">
        <v>0.3</v>
      </c>
      <c r="F202">
        <f t="shared" si="10"/>
        <v>0.92564800800691716</v>
      </c>
      <c r="G202" s="15" t="s">
        <v>536</v>
      </c>
      <c r="H202" s="83" t="s">
        <v>427</v>
      </c>
      <c r="I202" s="83">
        <v>180</v>
      </c>
      <c r="J202" s="83">
        <v>180</v>
      </c>
      <c r="K202" s="83">
        <v>400</v>
      </c>
      <c r="L202" s="83">
        <v>13.5</v>
      </c>
      <c r="M202" s="83">
        <v>13.5</v>
      </c>
      <c r="N202" s="83">
        <v>16</v>
      </c>
      <c r="P202" s="75">
        <f t="shared" si="11"/>
        <v>6.1567149672173582E-2</v>
      </c>
    </row>
    <row r="203" spans="1:16" ht="21">
      <c r="A203" s="75">
        <v>1.0163686273422265</v>
      </c>
      <c r="B203" s="75">
        <v>0.94406565478987736</v>
      </c>
      <c r="C203" s="75">
        <v>0.89463025222954107</v>
      </c>
      <c r="D203" s="75">
        <v>0.50420742049940981</v>
      </c>
      <c r="E203">
        <v>0.5</v>
      </c>
      <c r="F203">
        <f t="shared" si="10"/>
        <v>0.932373949017272</v>
      </c>
      <c r="G203" s="15" t="s">
        <v>537</v>
      </c>
      <c r="H203" s="76" t="s">
        <v>428</v>
      </c>
      <c r="I203" s="76">
        <v>180</v>
      </c>
      <c r="J203" s="76">
        <v>180</v>
      </c>
      <c r="K203" s="76">
        <v>400</v>
      </c>
      <c r="L203" s="76">
        <v>13.5</v>
      </c>
      <c r="M203" s="76">
        <v>13.5</v>
      </c>
      <c r="N203" s="78">
        <v>16</v>
      </c>
      <c r="P203" s="75">
        <f t="shared" si="11"/>
        <v>4.9435402560336295E-2</v>
      </c>
    </row>
    <row r="204" spans="1:16" ht="21">
      <c r="A204" s="75">
        <v>1.0163686273422265</v>
      </c>
      <c r="B204" s="75">
        <v>0.761470981235984</v>
      </c>
      <c r="C204" s="75">
        <v>0.78771637044414944</v>
      </c>
      <c r="D204" s="75">
        <v>0.50420742049940981</v>
      </c>
      <c r="E204">
        <v>0.75</v>
      </c>
      <c r="F204">
        <f t="shared" si="10"/>
        <v>1.0178065995708749</v>
      </c>
      <c r="G204" s="15" t="s">
        <v>538</v>
      </c>
      <c r="H204" s="76" t="s">
        <v>429</v>
      </c>
      <c r="I204" s="76">
        <v>180</v>
      </c>
      <c r="J204" s="76">
        <v>180</v>
      </c>
      <c r="K204" s="76">
        <v>400</v>
      </c>
      <c r="L204" s="76">
        <v>13.5</v>
      </c>
      <c r="M204" s="76">
        <v>13.5</v>
      </c>
      <c r="N204" s="78">
        <v>16</v>
      </c>
      <c r="P204" s="75">
        <f t="shared" si="11"/>
        <v>-2.6245389208165437E-2</v>
      </c>
    </row>
    <row r="205" spans="1:16" ht="21">
      <c r="A205" s="75">
        <v>1.0163686273422265</v>
      </c>
      <c r="B205" s="75">
        <v>0.63938036920912278</v>
      </c>
      <c r="C205" s="75">
        <v>0.66678458886513503</v>
      </c>
      <c r="D205" s="75">
        <v>0.50420742049940981</v>
      </c>
      <c r="E205">
        <v>1</v>
      </c>
      <c r="F205">
        <f t="shared" si="10"/>
        <v>1.0260653090109737</v>
      </c>
      <c r="G205" s="15" t="s">
        <v>539</v>
      </c>
      <c r="H205" s="76" t="s">
        <v>430</v>
      </c>
      <c r="I205" s="76">
        <v>180</v>
      </c>
      <c r="J205" s="76">
        <v>180</v>
      </c>
      <c r="K205" s="76">
        <v>400</v>
      </c>
      <c r="L205" s="76">
        <v>13.5</v>
      </c>
      <c r="M205" s="76">
        <v>13.5</v>
      </c>
      <c r="N205" s="78">
        <v>16</v>
      </c>
      <c r="P205" s="75">
        <f t="shared" si="11"/>
        <v>-2.7404219656012252E-2</v>
      </c>
    </row>
    <row r="206" spans="1:16" ht="21">
      <c r="A206" s="75">
        <v>1.0163686273422265</v>
      </c>
      <c r="B206" s="75">
        <v>0.47184498251626883</v>
      </c>
      <c r="C206" s="75">
        <v>0.48022026079850733</v>
      </c>
      <c r="D206" s="75">
        <v>0.50420742049940981</v>
      </c>
      <c r="E206">
        <v>1.33</v>
      </c>
      <c r="F206">
        <f t="shared" si="10"/>
        <v>1.0013591878646939</v>
      </c>
      <c r="G206" s="15" t="s">
        <v>540</v>
      </c>
      <c r="H206" s="76" t="s">
        <v>431</v>
      </c>
      <c r="I206" s="76">
        <v>180</v>
      </c>
      <c r="J206" s="76">
        <v>180</v>
      </c>
      <c r="K206" s="76">
        <v>400</v>
      </c>
      <c r="L206" s="76">
        <v>13.5</v>
      </c>
      <c r="M206" s="76">
        <v>13.5</v>
      </c>
      <c r="N206" s="78">
        <v>16</v>
      </c>
      <c r="P206" s="75">
        <f t="shared" si="11"/>
        <v>-8.3752782822384964E-3</v>
      </c>
    </row>
    <row r="207" spans="1:16" ht="21">
      <c r="A207" s="75">
        <v>1.0163686273422265</v>
      </c>
      <c r="B207" s="75">
        <v>0.32032079648675615</v>
      </c>
      <c r="C207" s="75">
        <v>0.32410247461937425</v>
      </c>
      <c r="D207" s="75">
        <v>0.50420742049940981</v>
      </c>
      <c r="E207">
        <v>1.67</v>
      </c>
      <c r="F207">
        <f t="shared" si="10"/>
        <v>0.99551076415674766</v>
      </c>
      <c r="G207" s="15" t="s">
        <v>541</v>
      </c>
      <c r="H207" s="76" t="s">
        <v>432</v>
      </c>
      <c r="I207" s="76">
        <v>180</v>
      </c>
      <c r="J207" s="76">
        <v>180</v>
      </c>
      <c r="K207" s="76">
        <v>400</v>
      </c>
      <c r="L207" s="76">
        <v>13.5</v>
      </c>
      <c r="M207" s="76">
        <v>13.5</v>
      </c>
      <c r="N207" s="78">
        <v>16</v>
      </c>
      <c r="P207" s="75">
        <f t="shared" si="11"/>
        <v>-3.7816781326180937E-3</v>
      </c>
    </row>
    <row r="208" spans="1:16" ht="21">
      <c r="A208" s="75">
        <v>1.0163686273422265</v>
      </c>
      <c r="B208" s="75">
        <v>0.2197553617339362</v>
      </c>
      <c r="C208" s="75">
        <v>0.22858138251648999</v>
      </c>
      <c r="D208" s="75">
        <v>0.50420742049940981</v>
      </c>
      <c r="E208">
        <v>2</v>
      </c>
      <c r="F208">
        <f t="shared" si="10"/>
        <v>1.0234111022040302</v>
      </c>
      <c r="G208" s="15" t="s">
        <v>542</v>
      </c>
      <c r="H208" s="76" t="s">
        <v>433</v>
      </c>
      <c r="I208" s="76">
        <v>180</v>
      </c>
      <c r="J208" s="76">
        <v>180</v>
      </c>
      <c r="K208" s="76">
        <v>400</v>
      </c>
      <c r="L208" s="76">
        <v>13.5</v>
      </c>
      <c r="M208" s="76">
        <v>13.5</v>
      </c>
      <c r="N208" s="78">
        <v>16</v>
      </c>
      <c r="P208" s="75">
        <f t="shared" si="11"/>
        <v>-8.8260207825537895E-3</v>
      </c>
    </row>
    <row r="209" spans="1:16" ht="21">
      <c r="A209" s="75">
        <v>1.0163686273422265</v>
      </c>
      <c r="B209" s="75">
        <v>0.13889478748778278</v>
      </c>
      <c r="C209" s="75">
        <v>0.14735636156809767</v>
      </c>
      <c r="D209" s="75">
        <v>0.50420742049940981</v>
      </c>
      <c r="E209">
        <v>2.5</v>
      </c>
      <c r="F209">
        <f t="shared" si="10"/>
        <v>1.0438346064004513</v>
      </c>
      <c r="G209" s="15" t="s">
        <v>543</v>
      </c>
      <c r="H209" s="76" t="s">
        <v>434</v>
      </c>
      <c r="I209" s="76">
        <v>180</v>
      </c>
      <c r="J209" s="76">
        <v>180</v>
      </c>
      <c r="K209" s="76">
        <v>400</v>
      </c>
      <c r="L209" s="76">
        <v>13.5</v>
      </c>
      <c r="M209" s="76">
        <v>13.5</v>
      </c>
      <c r="N209" s="78">
        <v>16</v>
      </c>
      <c r="P209" s="75">
        <f t="shared" si="11"/>
        <v>-8.4615740803148931E-3</v>
      </c>
    </row>
    <row r="210" spans="1:16" ht="21">
      <c r="A210" s="75">
        <v>0.98460415584026495</v>
      </c>
      <c r="B210" s="75">
        <v>1.0403608978762415</v>
      </c>
      <c r="C210" s="75">
        <v>0.96118027698349062</v>
      </c>
      <c r="D210" s="75">
        <v>0.60172287236842936</v>
      </c>
      <c r="E210">
        <v>0.3</v>
      </c>
      <c r="F210">
        <f t="shared" si="10"/>
        <v>0.93833769965854541</v>
      </c>
      <c r="G210" s="25" t="s">
        <v>544</v>
      </c>
      <c r="H210" s="76" t="s">
        <v>435</v>
      </c>
      <c r="I210" s="76">
        <v>180</v>
      </c>
      <c r="J210" s="76">
        <v>180</v>
      </c>
      <c r="K210" s="76">
        <v>400</v>
      </c>
      <c r="L210" s="76">
        <v>13.5</v>
      </c>
      <c r="M210" s="76">
        <v>13.5</v>
      </c>
      <c r="N210" s="77">
        <v>12</v>
      </c>
      <c r="P210" s="75">
        <f t="shared" si="11"/>
        <v>7.9180620892750908E-2</v>
      </c>
    </row>
    <row r="211" spans="1:16" ht="21">
      <c r="A211" s="75">
        <v>0.98460415584026495</v>
      </c>
      <c r="B211" s="75">
        <v>0.92792117228746873</v>
      </c>
      <c r="C211" s="75">
        <v>0.88054507638677126</v>
      </c>
      <c r="D211" s="75">
        <v>0.60172287236842936</v>
      </c>
      <c r="E211">
        <v>0.5</v>
      </c>
      <c r="F211">
        <f t="shared" si="10"/>
        <v>0.96378207424253393</v>
      </c>
      <c r="G211" s="25" t="s">
        <v>545</v>
      </c>
      <c r="H211" s="76" t="s">
        <v>436</v>
      </c>
      <c r="I211" s="76">
        <v>180</v>
      </c>
      <c r="J211" s="76">
        <v>180</v>
      </c>
      <c r="K211" s="76">
        <v>400</v>
      </c>
      <c r="L211" s="76">
        <v>13.5</v>
      </c>
      <c r="M211" s="76">
        <v>13.5</v>
      </c>
      <c r="N211" s="77">
        <v>12</v>
      </c>
      <c r="P211" s="75">
        <f t="shared" si="11"/>
        <v>4.7376095900697468E-2</v>
      </c>
    </row>
    <row r="212" spans="1:16" ht="21">
      <c r="A212" s="75">
        <v>0.98460415584026495</v>
      </c>
      <c r="B212" s="75">
        <v>0.75087374896076575</v>
      </c>
      <c r="C212" s="75">
        <v>0.77118643184282709</v>
      </c>
      <c r="D212" s="75">
        <v>0.60172287236842936</v>
      </c>
      <c r="E212">
        <v>0.75</v>
      </c>
      <c r="F212">
        <f t="shared" si="10"/>
        <v>1.04311164590338</v>
      </c>
      <c r="G212" s="25" t="s">
        <v>546</v>
      </c>
      <c r="H212" s="76" t="s">
        <v>437</v>
      </c>
      <c r="I212" s="76">
        <v>180</v>
      </c>
      <c r="J212" s="76">
        <v>180</v>
      </c>
      <c r="K212" s="76">
        <v>400</v>
      </c>
      <c r="L212" s="76">
        <v>13.5</v>
      </c>
      <c r="M212" s="76">
        <v>13.5</v>
      </c>
      <c r="N212" s="77">
        <v>12</v>
      </c>
      <c r="P212" s="75">
        <f t="shared" si="11"/>
        <v>-2.0312682882061339E-2</v>
      </c>
    </row>
    <row r="213" spans="1:16" ht="21">
      <c r="A213" s="75">
        <v>0.98460415584026495</v>
      </c>
      <c r="B213" s="75">
        <v>0.63711416797771725</v>
      </c>
      <c r="C213" s="75">
        <v>0.65891999126288581</v>
      </c>
      <c r="D213" s="75">
        <v>0.60172287236842936</v>
      </c>
      <c r="E213">
        <v>1</v>
      </c>
      <c r="F213">
        <f t="shared" si="10"/>
        <v>1.0503976865290658</v>
      </c>
      <c r="G213" s="25" t="s">
        <v>547</v>
      </c>
      <c r="H213" s="76" t="s">
        <v>438</v>
      </c>
      <c r="I213" s="76">
        <v>180</v>
      </c>
      <c r="J213" s="76">
        <v>180</v>
      </c>
      <c r="K213" s="76">
        <v>400</v>
      </c>
      <c r="L213" s="76">
        <v>13.5</v>
      </c>
      <c r="M213" s="76">
        <v>13.5</v>
      </c>
      <c r="N213" s="77">
        <v>12</v>
      </c>
      <c r="P213" s="75">
        <f t="shared" si="11"/>
        <v>-2.1805823285168557E-2</v>
      </c>
    </row>
    <row r="214" spans="1:16" ht="21">
      <c r="A214" s="75">
        <v>0.98460415584026495</v>
      </c>
      <c r="B214" s="75">
        <v>0.47167399262838017</v>
      </c>
      <c r="C214" s="75">
        <v>0.47761132074808216</v>
      </c>
      <c r="D214" s="75">
        <v>0.60172287236842936</v>
      </c>
      <c r="E214">
        <v>1.33</v>
      </c>
      <c r="F214">
        <f t="shared" si="10"/>
        <v>1.0284211916956814</v>
      </c>
      <c r="G214" s="25" t="s">
        <v>548</v>
      </c>
      <c r="H214" s="76" t="s">
        <v>439</v>
      </c>
      <c r="I214" s="76">
        <v>180</v>
      </c>
      <c r="J214" s="76">
        <v>180</v>
      </c>
      <c r="K214" s="76">
        <v>400</v>
      </c>
      <c r="L214" s="76">
        <v>13.5</v>
      </c>
      <c r="M214" s="76">
        <v>13.5</v>
      </c>
      <c r="N214" s="77">
        <v>12</v>
      </c>
      <c r="P214" s="75">
        <f t="shared" si="11"/>
        <v>-5.93732811970199E-3</v>
      </c>
    </row>
    <row r="215" spans="1:16" ht="21">
      <c r="A215" s="75">
        <v>0.98460415584026495</v>
      </c>
      <c r="B215" s="75">
        <v>0.3202791063089061</v>
      </c>
      <c r="C215" s="75">
        <v>0.32245836560561431</v>
      </c>
      <c r="D215" s="75">
        <v>0.60172287236842936</v>
      </c>
      <c r="E215">
        <v>1.67</v>
      </c>
      <c r="F215">
        <f t="shared" si="10"/>
        <v>1.0225472283595498</v>
      </c>
      <c r="G215" s="25" t="s">
        <v>549</v>
      </c>
      <c r="H215" s="76" t="s">
        <v>440</v>
      </c>
      <c r="I215" s="76">
        <v>180</v>
      </c>
      <c r="J215" s="76">
        <v>180</v>
      </c>
      <c r="K215" s="76">
        <v>400</v>
      </c>
      <c r="L215" s="76">
        <v>13.5</v>
      </c>
      <c r="M215" s="76">
        <v>13.5</v>
      </c>
      <c r="N215" s="77">
        <v>12</v>
      </c>
      <c r="P215" s="75">
        <f t="shared" si="11"/>
        <v>-2.1792592967082025E-3</v>
      </c>
    </row>
    <row r="216" spans="1:16" ht="21">
      <c r="A216" s="75">
        <v>0.98460415584026495</v>
      </c>
      <c r="B216" s="75">
        <v>0.22027384701425254</v>
      </c>
      <c r="C216" s="75">
        <v>0.2268325456790983</v>
      </c>
      <c r="D216" s="75">
        <v>0.60172287236842936</v>
      </c>
      <c r="E216">
        <v>2</v>
      </c>
      <c r="F216">
        <f t="shared" si="10"/>
        <v>1.0458773686793514</v>
      </c>
      <c r="G216" s="25" t="s">
        <v>550</v>
      </c>
      <c r="H216" s="76" t="s">
        <v>441</v>
      </c>
      <c r="I216" s="76">
        <v>180</v>
      </c>
      <c r="J216" s="76">
        <v>180</v>
      </c>
      <c r="K216" s="76">
        <v>400</v>
      </c>
      <c r="L216" s="76">
        <v>13.5</v>
      </c>
      <c r="M216" s="76">
        <v>13.5</v>
      </c>
      <c r="N216" s="77">
        <v>12</v>
      </c>
      <c r="P216" s="75">
        <f t="shared" si="11"/>
        <v>-6.5586986648457635E-3</v>
      </c>
    </row>
    <row r="217" spans="1:16" ht="21">
      <c r="A217" s="75">
        <v>0.98460415584026495</v>
      </c>
      <c r="B217" s="75">
        <v>0.13948255975359344</v>
      </c>
      <c r="C217" s="75">
        <v>0.14596357216810849</v>
      </c>
      <c r="D217" s="75">
        <v>0.60172287236842936</v>
      </c>
      <c r="E217">
        <v>2.5</v>
      </c>
      <c r="F217">
        <f t="shared" si="10"/>
        <v>1.062827810696759</v>
      </c>
      <c r="G217" s="25" t="s">
        <v>551</v>
      </c>
      <c r="H217" s="76" t="s">
        <v>442</v>
      </c>
      <c r="I217" s="76">
        <v>180</v>
      </c>
      <c r="J217" s="76">
        <v>180</v>
      </c>
      <c r="K217" s="76">
        <v>400</v>
      </c>
      <c r="L217" s="76">
        <v>13.5</v>
      </c>
      <c r="M217" s="76">
        <v>13.5</v>
      </c>
      <c r="N217" s="77">
        <v>12</v>
      </c>
      <c r="P217" s="75">
        <f t="shared" si="11"/>
        <v>-6.4810124145150416E-3</v>
      </c>
    </row>
    <row r="218" spans="1:16" ht="21">
      <c r="A218" s="88">
        <v>0.90992969508953903</v>
      </c>
      <c r="B218" s="88">
        <v>1.0389941250517352</v>
      </c>
      <c r="C218" s="88">
        <v>0.89200638569873536</v>
      </c>
      <c r="D218" s="88">
        <v>0.80762280341764636</v>
      </c>
      <c r="E218" s="90">
        <v>0.3</v>
      </c>
      <c r="F218">
        <f t="shared" si="10"/>
        <v>0.94351114235224676</v>
      </c>
      <c r="G218" s="15" t="s">
        <v>552</v>
      </c>
      <c r="H218" s="76" t="s">
        <v>443</v>
      </c>
      <c r="I218" s="76">
        <v>180</v>
      </c>
      <c r="J218" s="76">
        <v>180</v>
      </c>
      <c r="K218" s="76">
        <v>400</v>
      </c>
      <c r="L218" s="76">
        <v>13.5</v>
      </c>
      <c r="M218" s="76">
        <v>13.5</v>
      </c>
      <c r="N218" s="78">
        <v>8.3000000000000007</v>
      </c>
      <c r="P218" s="88">
        <f t="shared" si="11"/>
        <v>0.1469877393529998</v>
      </c>
    </row>
    <row r="219" spans="1:16" ht="21">
      <c r="A219" s="75">
        <v>0.90992969508953903</v>
      </c>
      <c r="B219" s="75">
        <v>0.90216418349427829</v>
      </c>
      <c r="C219" s="75">
        <v>0.83134330276910751</v>
      </c>
      <c r="D219" s="75">
        <v>0.80762280341764636</v>
      </c>
      <c r="E219">
        <v>0.5</v>
      </c>
      <c r="F219">
        <f t="shared" si="10"/>
        <v>1.012714394352777</v>
      </c>
      <c r="G219" s="15" t="s">
        <v>553</v>
      </c>
      <c r="H219" s="76" t="s">
        <v>444</v>
      </c>
      <c r="I219" s="76">
        <v>180</v>
      </c>
      <c r="J219" s="76">
        <v>180</v>
      </c>
      <c r="K219" s="76">
        <v>400</v>
      </c>
      <c r="L219" s="76">
        <v>13.5</v>
      </c>
      <c r="M219" s="76">
        <v>13.5</v>
      </c>
      <c r="N219" s="78">
        <v>8.3000000000000007</v>
      </c>
      <c r="P219" s="75">
        <f t="shared" si="11"/>
        <v>7.0820880725170787E-2</v>
      </c>
    </row>
    <row r="220" spans="1:16" ht="21">
      <c r="A220" s="75">
        <v>0.90992969508953903</v>
      </c>
      <c r="B220" s="75">
        <v>0.7379779397522539</v>
      </c>
      <c r="C220" s="75">
        <v>0.74002288061014942</v>
      </c>
      <c r="D220" s="75">
        <v>0.80762280341764636</v>
      </c>
      <c r="E220">
        <v>0.75</v>
      </c>
      <c r="F220">
        <f t="shared" si="10"/>
        <v>1.1020313006750611</v>
      </c>
      <c r="G220" s="15" t="s">
        <v>554</v>
      </c>
      <c r="H220" s="76" t="s">
        <v>445</v>
      </c>
      <c r="I220" s="76">
        <v>180</v>
      </c>
      <c r="J220" s="76">
        <v>180</v>
      </c>
      <c r="K220" s="76">
        <v>400</v>
      </c>
      <c r="L220" s="76">
        <v>13.5</v>
      </c>
      <c r="M220" s="76">
        <v>13.5</v>
      </c>
      <c r="N220" s="78">
        <v>8.3000000000000007</v>
      </c>
      <c r="P220" s="75">
        <f t="shared" si="11"/>
        <v>-2.0449408578955275E-3</v>
      </c>
    </row>
    <row r="221" spans="1:16" ht="21">
      <c r="A221" s="75">
        <v>0.90992969508953903</v>
      </c>
      <c r="B221" s="75">
        <v>0.63502228991795895</v>
      </c>
      <c r="C221" s="75">
        <v>0.64601853387810626</v>
      </c>
      <c r="D221" s="75">
        <v>0.80762280341764636</v>
      </c>
      <c r="E221">
        <v>1</v>
      </c>
      <c r="F221">
        <f t="shared" si="10"/>
        <v>1.118016388816679</v>
      </c>
      <c r="G221" s="15" t="s">
        <v>555</v>
      </c>
      <c r="H221" s="76" t="s">
        <v>446</v>
      </c>
      <c r="I221" s="76">
        <v>180</v>
      </c>
      <c r="J221" s="76">
        <v>180</v>
      </c>
      <c r="K221" s="76">
        <v>400</v>
      </c>
      <c r="L221" s="76">
        <v>13.5</v>
      </c>
      <c r="M221" s="76">
        <v>13.5</v>
      </c>
      <c r="N221" s="78">
        <v>8.3000000000000007</v>
      </c>
      <c r="P221" s="75">
        <f t="shared" si="11"/>
        <v>-1.0996243960147312E-2</v>
      </c>
    </row>
    <row r="222" spans="1:16" ht="21">
      <c r="A222" s="75">
        <v>0.90992969508953903</v>
      </c>
      <c r="B222" s="75">
        <v>0.47162990089628326</v>
      </c>
      <c r="C222" s="75">
        <v>0.47395385780022747</v>
      </c>
      <c r="D222" s="75">
        <v>0.80762280341764636</v>
      </c>
      <c r="E222">
        <v>1.33</v>
      </c>
      <c r="F222">
        <f t="shared" si="10"/>
        <v>1.1044012593785235</v>
      </c>
      <c r="G222" s="15" t="s">
        <v>556</v>
      </c>
      <c r="H222" s="76" t="s">
        <v>447</v>
      </c>
      <c r="I222" s="76">
        <v>180</v>
      </c>
      <c r="J222" s="76">
        <v>180</v>
      </c>
      <c r="K222" s="76">
        <v>400</v>
      </c>
      <c r="L222" s="76">
        <v>13.5</v>
      </c>
      <c r="M222" s="76">
        <v>13.5</v>
      </c>
      <c r="N222" s="78">
        <v>8.3000000000000007</v>
      </c>
      <c r="P222" s="75">
        <f t="shared" si="11"/>
        <v>-2.3239569039442132E-3</v>
      </c>
    </row>
    <row r="223" spans="1:16" ht="21">
      <c r="A223" s="75">
        <v>0.90992969508953903</v>
      </c>
      <c r="B223" s="75">
        <v>0.32019420994673858</v>
      </c>
      <c r="C223" s="75">
        <v>0.32060732170907114</v>
      </c>
      <c r="D223" s="75">
        <v>0.80762280341764636</v>
      </c>
      <c r="E223">
        <v>1.67</v>
      </c>
      <c r="F223">
        <f t="shared" si="10"/>
        <v>1.1004039066269315</v>
      </c>
      <c r="G223" s="15" t="s">
        <v>557</v>
      </c>
      <c r="H223" s="76" t="s">
        <v>448</v>
      </c>
      <c r="I223" s="76">
        <v>180</v>
      </c>
      <c r="J223" s="76">
        <v>180</v>
      </c>
      <c r="K223" s="76">
        <v>400</v>
      </c>
      <c r="L223" s="76">
        <v>13.5</v>
      </c>
      <c r="M223" s="76">
        <v>13.5</v>
      </c>
      <c r="N223" s="78">
        <v>8.3000000000000007</v>
      </c>
      <c r="P223" s="75">
        <f t="shared" si="11"/>
        <v>-4.1311176233255198E-4</v>
      </c>
    </row>
    <row r="224" spans="1:16" ht="21">
      <c r="A224" s="75">
        <v>0.90992969508953903</v>
      </c>
      <c r="B224" s="75">
        <v>0.22079569544233327</v>
      </c>
      <c r="C224" s="75">
        <v>0.22493516981545406</v>
      </c>
      <c r="D224" s="75">
        <v>0.80762280341764636</v>
      </c>
      <c r="E224">
        <v>2</v>
      </c>
      <c r="F224">
        <f t="shared" si="10"/>
        <v>1.1195897775821431</v>
      </c>
      <c r="G224" s="15" t="s">
        <v>558</v>
      </c>
      <c r="H224" s="76" t="s">
        <v>449</v>
      </c>
      <c r="I224" s="76">
        <v>180</v>
      </c>
      <c r="J224" s="76">
        <v>180</v>
      </c>
      <c r="K224" s="76">
        <v>400</v>
      </c>
      <c r="L224" s="76">
        <v>13.5</v>
      </c>
      <c r="M224" s="76">
        <v>13.5</v>
      </c>
      <c r="N224" s="78">
        <v>8.3000000000000007</v>
      </c>
      <c r="P224" s="75">
        <f t="shared" si="11"/>
        <v>-4.1394743731207884E-3</v>
      </c>
    </row>
    <row r="225" spans="1:16" ht="21">
      <c r="A225" s="75">
        <v>0.90992969508953903</v>
      </c>
      <c r="B225" s="75">
        <v>0.14009682529603437</v>
      </c>
      <c r="C225" s="75">
        <v>0.14445307692480497</v>
      </c>
      <c r="D225" s="75">
        <v>0.80762280341764636</v>
      </c>
      <c r="E225">
        <v>2.5</v>
      </c>
      <c r="F225">
        <f t="shared" si="10"/>
        <v>1.1331585102993571</v>
      </c>
      <c r="G225" s="15" t="s">
        <v>559</v>
      </c>
      <c r="H225" s="76" t="s">
        <v>450</v>
      </c>
      <c r="I225" s="76">
        <v>180</v>
      </c>
      <c r="J225" s="76">
        <v>180</v>
      </c>
      <c r="K225" s="76">
        <v>400</v>
      </c>
      <c r="L225" s="76">
        <v>13.5</v>
      </c>
      <c r="M225" s="76">
        <v>13.5</v>
      </c>
      <c r="N225" s="78">
        <v>8.3000000000000007</v>
      </c>
      <c r="P225" s="75">
        <f t="shared" si="11"/>
        <v>-4.3562516287705966E-3</v>
      </c>
    </row>
    <row r="226" spans="1:16" ht="21">
      <c r="A226" s="75">
        <v>0.8869245612332064</v>
      </c>
      <c r="B226" s="75">
        <v>1.0355826166921527</v>
      </c>
      <c r="C226" s="75">
        <v>0.8619780613222221</v>
      </c>
      <c r="D226" s="75">
        <v>1.1133153135475653</v>
      </c>
      <c r="E226">
        <v>0.3</v>
      </c>
      <c r="F226">
        <f t="shared" si="10"/>
        <v>0.93847947525215347</v>
      </c>
      <c r="G226" s="25" t="s">
        <v>560</v>
      </c>
      <c r="H226" s="76" t="s">
        <v>451</v>
      </c>
      <c r="I226" s="76">
        <v>180</v>
      </c>
      <c r="J226" s="76">
        <v>180</v>
      </c>
      <c r="K226" s="76">
        <v>400</v>
      </c>
      <c r="L226" s="76">
        <v>13.5</v>
      </c>
      <c r="M226" s="76">
        <v>13.5</v>
      </c>
      <c r="N226" s="77">
        <v>5.8</v>
      </c>
      <c r="P226" s="75">
        <f t="shared" si="11"/>
        <v>0.17360455536993058</v>
      </c>
    </row>
    <row r="227" spans="1:16" ht="21">
      <c r="A227" s="75">
        <v>0.8869245612332064</v>
      </c>
      <c r="B227" s="75">
        <v>0.89159307597479887</v>
      </c>
      <c r="C227" s="75">
        <v>0.78178265582713236</v>
      </c>
      <c r="D227" s="75">
        <v>1.1133153135475653</v>
      </c>
      <c r="E227">
        <v>0.5</v>
      </c>
      <c r="F227">
        <f t="shared" si="10"/>
        <v>0.98862744420548476</v>
      </c>
      <c r="G227" s="25" t="s">
        <v>561</v>
      </c>
      <c r="H227" s="76" t="s">
        <v>452</v>
      </c>
      <c r="I227" s="76">
        <v>180</v>
      </c>
      <c r="J227" s="76">
        <v>180</v>
      </c>
      <c r="K227" s="76">
        <v>400</v>
      </c>
      <c r="L227" s="76">
        <v>13.5</v>
      </c>
      <c r="M227" s="76">
        <v>13.5</v>
      </c>
      <c r="N227" s="77">
        <v>5.8</v>
      </c>
      <c r="P227" s="75">
        <f t="shared" si="11"/>
        <v>0.10981042014766651</v>
      </c>
    </row>
    <row r="228" spans="1:16" ht="21">
      <c r="A228" s="75">
        <v>0.8869245612332064</v>
      </c>
      <c r="B228" s="75">
        <v>0.72668518980152996</v>
      </c>
      <c r="C228" s="75">
        <v>0.68660276376130591</v>
      </c>
      <c r="D228" s="75">
        <v>1.1133153135475653</v>
      </c>
      <c r="E228">
        <v>0.75</v>
      </c>
      <c r="F228">
        <f t="shared" si="10"/>
        <v>1.0653015435735493</v>
      </c>
      <c r="G228" s="25" t="s">
        <v>562</v>
      </c>
      <c r="H228" s="76" t="s">
        <v>453</v>
      </c>
      <c r="I228" s="76">
        <v>180</v>
      </c>
      <c r="J228" s="76">
        <v>180</v>
      </c>
      <c r="K228" s="76">
        <v>400</v>
      </c>
      <c r="L228" s="76">
        <v>13.5</v>
      </c>
      <c r="M228" s="76">
        <v>13.5</v>
      </c>
      <c r="N228" s="77">
        <v>5.8</v>
      </c>
      <c r="P228" s="75">
        <f t="shared" si="11"/>
        <v>4.0082426040224051E-2</v>
      </c>
    </row>
    <row r="229" spans="1:16" ht="21">
      <c r="A229" s="75">
        <v>0.8869245612332064</v>
      </c>
      <c r="B229" s="75">
        <v>0.63365393015468008</v>
      </c>
      <c r="C229" s="75">
        <v>0.61621389957535011</v>
      </c>
      <c r="D229" s="75">
        <v>1.1133153135475653</v>
      </c>
      <c r="E229">
        <v>1</v>
      </c>
      <c r="F229">
        <f t="shared" si="10"/>
        <v>1.0964597040050403</v>
      </c>
      <c r="G229" s="25" t="s">
        <v>563</v>
      </c>
      <c r="H229" s="76" t="s">
        <v>454</v>
      </c>
      <c r="I229" s="76">
        <v>180</v>
      </c>
      <c r="J229" s="76">
        <v>180</v>
      </c>
      <c r="K229" s="76">
        <v>400</v>
      </c>
      <c r="L229" s="76">
        <v>13.5</v>
      </c>
      <c r="M229" s="76">
        <v>13.5</v>
      </c>
      <c r="N229" s="77">
        <v>5.8</v>
      </c>
      <c r="P229" s="75">
        <f t="shared" si="11"/>
        <v>1.7440030579329968E-2</v>
      </c>
    </row>
    <row r="230" spans="1:16" ht="21">
      <c r="A230" s="75">
        <v>0.8869245612332064</v>
      </c>
      <c r="B230" s="75">
        <v>0.47157828130748669</v>
      </c>
      <c r="C230" s="75">
        <v>0.46708415085788796</v>
      </c>
      <c r="D230" s="75">
        <v>1.1133153135475653</v>
      </c>
      <c r="E230">
        <v>1.33</v>
      </c>
      <c r="F230">
        <f t="shared" si="10"/>
        <v>1.1167466385637019</v>
      </c>
      <c r="G230" s="25" t="s">
        <v>564</v>
      </c>
      <c r="H230" s="76" t="s">
        <v>455</v>
      </c>
      <c r="I230" s="76">
        <v>180</v>
      </c>
      <c r="J230" s="76">
        <v>180</v>
      </c>
      <c r="K230" s="76">
        <v>400</v>
      </c>
      <c r="L230" s="76">
        <v>13.5</v>
      </c>
      <c r="M230" s="76">
        <v>13.5</v>
      </c>
      <c r="N230" s="77">
        <v>5.8</v>
      </c>
      <c r="P230" s="75">
        <f t="shared" si="11"/>
        <v>4.4941304495987322E-3</v>
      </c>
    </row>
    <row r="231" spans="1:16" ht="21">
      <c r="A231" s="75">
        <v>0.8869245612332064</v>
      </c>
      <c r="B231" s="75">
        <v>0.32001380517713285</v>
      </c>
      <c r="C231" s="75">
        <v>0.31902612696370308</v>
      </c>
      <c r="D231" s="75">
        <v>1.1133153135475653</v>
      </c>
      <c r="E231">
        <v>1.67</v>
      </c>
      <c r="F231">
        <f t="shared" si="10"/>
        <v>1.1240117618866661</v>
      </c>
      <c r="G231" s="25" t="s">
        <v>565</v>
      </c>
      <c r="H231" s="76" t="s">
        <v>456</v>
      </c>
      <c r="I231" s="76">
        <v>180</v>
      </c>
      <c r="J231" s="76">
        <v>180</v>
      </c>
      <c r="K231" s="76">
        <v>400</v>
      </c>
      <c r="L231" s="76">
        <v>13.5</v>
      </c>
      <c r="M231" s="76">
        <v>13.5</v>
      </c>
      <c r="N231" s="77">
        <v>5.8</v>
      </c>
      <c r="P231" s="75">
        <f t="shared" si="11"/>
        <v>9.8767821342976569E-4</v>
      </c>
    </row>
    <row r="232" spans="1:16" ht="21">
      <c r="A232" s="75">
        <v>0.8869245612332064</v>
      </c>
      <c r="B232" s="75">
        <v>0.22113201021875475</v>
      </c>
      <c r="C232" s="75">
        <v>0.22341726912453858</v>
      </c>
      <c r="D232" s="75">
        <v>1.1133153135475653</v>
      </c>
      <c r="E232">
        <v>2</v>
      </c>
      <c r="F232">
        <f t="shared" si="10"/>
        <v>1.1391435181259117</v>
      </c>
      <c r="G232" s="25" t="s">
        <v>566</v>
      </c>
      <c r="H232" s="76" t="s">
        <v>457</v>
      </c>
      <c r="I232" s="76">
        <v>180</v>
      </c>
      <c r="J232" s="76">
        <v>180</v>
      </c>
      <c r="K232" s="76">
        <v>400</v>
      </c>
      <c r="L232" s="76">
        <v>13.5</v>
      </c>
      <c r="M232" s="76">
        <v>13.5</v>
      </c>
      <c r="N232" s="77">
        <v>5.8</v>
      </c>
      <c r="P232" s="75">
        <f t="shared" si="11"/>
        <v>-2.2852589057838213E-3</v>
      </c>
    </row>
    <row r="233" spans="1:16" ht="21">
      <c r="A233" s="75">
        <v>0.8869245612332064</v>
      </c>
      <c r="B233" s="75">
        <v>0.14053207198353096</v>
      </c>
      <c r="C233" s="75">
        <v>0.1432476328381295</v>
      </c>
      <c r="D233" s="75">
        <v>1.1133153135475653</v>
      </c>
      <c r="E233">
        <v>2.5</v>
      </c>
      <c r="F233">
        <f t="shared" si="10"/>
        <v>1.1492786070576391</v>
      </c>
      <c r="G233" s="25" t="s">
        <v>567</v>
      </c>
      <c r="H233" s="76" t="s">
        <v>458</v>
      </c>
      <c r="I233" s="76">
        <v>180</v>
      </c>
      <c r="J233" s="76">
        <v>180</v>
      </c>
      <c r="K233" s="76">
        <v>400</v>
      </c>
      <c r="L233" s="76">
        <v>13.5</v>
      </c>
      <c r="M233" s="76">
        <v>13.5</v>
      </c>
      <c r="N233" s="77">
        <v>5.8</v>
      </c>
      <c r="P233" s="75">
        <f t="shared" si="11"/>
        <v>-2.7155608545985366E-3</v>
      </c>
    </row>
    <row r="234" spans="1:16" ht="21">
      <c r="A234" s="75">
        <v>0.88162604206864925</v>
      </c>
      <c r="B234" s="75">
        <v>1.0310565376363956</v>
      </c>
      <c r="C234" s="75">
        <v>0.85168387552494562</v>
      </c>
      <c r="D234" s="75">
        <v>1.5137471488237149</v>
      </c>
      <c r="E234">
        <v>0.3</v>
      </c>
      <c r="F234">
        <f t="shared" si="10"/>
        <v>0.93693946977928144</v>
      </c>
      <c r="G234" s="15" t="s">
        <v>568</v>
      </c>
      <c r="H234" s="76" t="s">
        <v>459</v>
      </c>
      <c r="I234" s="76">
        <v>180</v>
      </c>
      <c r="J234" s="76">
        <v>180</v>
      </c>
      <c r="K234" s="76">
        <v>400</v>
      </c>
      <c r="L234" s="76">
        <v>13.5</v>
      </c>
      <c r="M234" s="76">
        <v>13.5</v>
      </c>
      <c r="N234" s="78">
        <v>4.28</v>
      </c>
      <c r="P234" s="75">
        <f t="shared" si="11"/>
        <v>0.17937266211144998</v>
      </c>
    </row>
    <row r="235" spans="1:16" ht="21">
      <c r="A235" s="75">
        <v>0.88162604206864925</v>
      </c>
      <c r="B235" s="75">
        <v>0.88355575863770541</v>
      </c>
      <c r="C235" s="75">
        <v>0.76299840712710487</v>
      </c>
      <c r="D235" s="75">
        <v>1.5137471488237149</v>
      </c>
      <c r="E235">
        <v>0.5</v>
      </c>
      <c r="F235">
        <f t="shared" si="10"/>
        <v>0.97950184719836964</v>
      </c>
      <c r="G235" s="15" t="s">
        <v>569</v>
      </c>
      <c r="H235" s="76" t="s">
        <v>460</v>
      </c>
      <c r="I235" s="76">
        <v>180</v>
      </c>
      <c r="J235" s="76">
        <v>180</v>
      </c>
      <c r="K235" s="76">
        <v>400</v>
      </c>
      <c r="L235" s="76">
        <v>13.5</v>
      </c>
      <c r="M235" s="76">
        <v>13.5</v>
      </c>
      <c r="N235" s="78">
        <v>4.28</v>
      </c>
      <c r="P235" s="75">
        <f t="shared" si="11"/>
        <v>0.12055735151060054</v>
      </c>
    </row>
    <row r="236" spans="1:16" ht="21">
      <c r="A236" s="75">
        <v>0.88162604206864925</v>
      </c>
      <c r="B236" s="75">
        <v>0.71839247905512249</v>
      </c>
      <c r="C236" s="75">
        <v>0.65777147550318571</v>
      </c>
      <c r="D236" s="75">
        <v>1.5137471488237149</v>
      </c>
      <c r="E236">
        <v>0.75</v>
      </c>
      <c r="F236">
        <f t="shared" si="10"/>
        <v>1.0385534410869521</v>
      </c>
      <c r="G236" s="15" t="s">
        <v>570</v>
      </c>
      <c r="H236" s="76" t="s">
        <v>461</v>
      </c>
      <c r="I236" s="76">
        <v>180</v>
      </c>
      <c r="J236" s="76">
        <v>180</v>
      </c>
      <c r="K236" s="76">
        <v>400</v>
      </c>
      <c r="L236" s="76">
        <v>13.5</v>
      </c>
      <c r="M236" s="76">
        <v>13.5</v>
      </c>
      <c r="N236" s="78">
        <v>4.28</v>
      </c>
      <c r="P236" s="75">
        <f t="shared" si="11"/>
        <v>6.0621003551936781E-2</v>
      </c>
    </row>
    <row r="237" spans="1:16" ht="21">
      <c r="A237" s="75">
        <v>0.88162604206864925</v>
      </c>
      <c r="B237" s="75">
        <v>0.63274683258894437</v>
      </c>
      <c r="C237" s="75">
        <v>0.59311530799071432</v>
      </c>
      <c r="D237" s="75">
        <v>1.5137471488237149</v>
      </c>
      <c r="E237">
        <v>1</v>
      </c>
      <c r="F237">
        <f t="shared" si="10"/>
        <v>1.0632239308499436</v>
      </c>
      <c r="G237" s="15" t="s">
        <v>571</v>
      </c>
      <c r="H237" s="76" t="s">
        <v>462</v>
      </c>
      <c r="I237" s="76">
        <v>180</v>
      </c>
      <c r="J237" s="76">
        <v>180</v>
      </c>
      <c r="K237" s="76">
        <v>400</v>
      </c>
      <c r="L237" s="76">
        <v>13.5</v>
      </c>
      <c r="M237" s="76">
        <v>13.5</v>
      </c>
      <c r="N237" s="78">
        <v>4.28</v>
      </c>
      <c r="P237" s="75">
        <f t="shared" si="11"/>
        <v>3.963152459823005E-2</v>
      </c>
    </row>
    <row r="238" spans="1:16" ht="21">
      <c r="A238" s="75">
        <v>0.88162604206864925</v>
      </c>
      <c r="B238" s="75">
        <v>0.47127824244760685</v>
      </c>
      <c r="C238" s="75">
        <v>0.45686777390857286</v>
      </c>
      <c r="D238" s="75">
        <v>1.5137471488237149</v>
      </c>
      <c r="E238">
        <v>1.33</v>
      </c>
      <c r="F238">
        <f t="shared" si="10"/>
        <v>1.0995847929737468</v>
      </c>
      <c r="G238" s="15" t="s">
        <v>572</v>
      </c>
      <c r="H238" s="76" t="s">
        <v>463</v>
      </c>
      <c r="I238" s="76">
        <v>180</v>
      </c>
      <c r="J238" s="76">
        <v>180</v>
      </c>
      <c r="K238" s="76">
        <v>400</v>
      </c>
      <c r="L238" s="76">
        <v>13.5</v>
      </c>
      <c r="M238" s="76">
        <v>13.5</v>
      </c>
      <c r="N238" s="78">
        <v>4.28</v>
      </c>
      <c r="P238" s="75">
        <f t="shared" si="11"/>
        <v>1.4410468539033994E-2</v>
      </c>
    </row>
    <row r="239" spans="1:16" ht="21">
      <c r="A239" s="75">
        <v>0.88162604206864925</v>
      </c>
      <c r="B239" s="75">
        <v>0.31974471402919152</v>
      </c>
      <c r="C239" s="75">
        <v>0.31712657086020712</v>
      </c>
      <c r="D239" s="75">
        <v>1.5137471488237149</v>
      </c>
      <c r="E239">
        <v>1.67</v>
      </c>
      <c r="F239">
        <f t="shared" si="10"/>
        <v>1.124980119639724</v>
      </c>
      <c r="G239" s="15" t="s">
        <v>573</v>
      </c>
      <c r="H239" s="76" t="s">
        <v>464</v>
      </c>
      <c r="I239" s="76">
        <v>180</v>
      </c>
      <c r="J239" s="76">
        <v>180</v>
      </c>
      <c r="K239" s="76">
        <v>400</v>
      </c>
      <c r="L239" s="76">
        <v>13.5</v>
      </c>
      <c r="M239" s="76">
        <v>13.5</v>
      </c>
      <c r="N239" s="78">
        <v>4.28</v>
      </c>
      <c r="P239" s="75">
        <f t="shared" si="11"/>
        <v>2.6181431689843992E-3</v>
      </c>
    </row>
    <row r="240" spans="1:16" ht="21">
      <c r="A240" s="75">
        <v>0.88162604206864925</v>
      </c>
      <c r="B240" s="75">
        <v>0.22126485455544118</v>
      </c>
      <c r="C240" s="75">
        <v>0.22221438327420442</v>
      </c>
      <c r="D240" s="75">
        <v>1.5137471488237149</v>
      </c>
      <c r="E240">
        <v>2</v>
      </c>
      <c r="F240">
        <f t="shared" si="10"/>
        <v>1.1391353240320332</v>
      </c>
      <c r="G240" s="15" t="s">
        <v>574</v>
      </c>
      <c r="H240" s="76" t="s">
        <v>465</v>
      </c>
      <c r="I240" s="76">
        <v>180</v>
      </c>
      <c r="J240" s="76">
        <v>180</v>
      </c>
      <c r="K240" s="76">
        <v>400</v>
      </c>
      <c r="L240" s="76">
        <v>13.5</v>
      </c>
      <c r="M240" s="76">
        <v>13.5</v>
      </c>
      <c r="N240" s="78">
        <v>4.28</v>
      </c>
      <c r="P240" s="75">
        <f t="shared" si="11"/>
        <v>-9.495287187632484E-4</v>
      </c>
    </row>
    <row r="241" spans="1:16" ht="21">
      <c r="A241" s="75">
        <v>0.88162604206864925</v>
      </c>
      <c r="B241" s="75">
        <v>0.14077845945619211</v>
      </c>
      <c r="C241" s="75">
        <v>0.142364649775582</v>
      </c>
      <c r="D241" s="75">
        <v>1.5137471488237149</v>
      </c>
      <c r="E241">
        <v>2.5</v>
      </c>
      <c r="F241">
        <f t="shared" si="10"/>
        <v>1.1470478771454244</v>
      </c>
      <c r="G241" s="15" t="s">
        <v>575</v>
      </c>
      <c r="H241" s="76" t="s">
        <v>466</v>
      </c>
      <c r="I241" s="76">
        <v>180</v>
      </c>
      <c r="J241" s="76">
        <v>180</v>
      </c>
      <c r="K241" s="76">
        <v>400</v>
      </c>
      <c r="L241" s="76">
        <v>13.5</v>
      </c>
      <c r="M241" s="76">
        <v>13.5</v>
      </c>
      <c r="N241" s="78">
        <v>4.28</v>
      </c>
      <c r="P241" s="75">
        <f t="shared" si="11"/>
        <v>-1.5861903193898907E-3</v>
      </c>
    </row>
    <row r="242" spans="1:16" ht="21">
      <c r="A242" s="75">
        <v>1.0238961113393781</v>
      </c>
      <c r="B242" s="75">
        <v>1.0338904217665732</v>
      </c>
      <c r="C242" s="75">
        <v>0.97443038019884742</v>
      </c>
      <c r="D242" s="75">
        <v>0.35499999999999998</v>
      </c>
      <c r="E242">
        <v>0.3</v>
      </c>
      <c r="F242">
        <f t="shared" si="10"/>
        <v>0.92049283031901907</v>
      </c>
      <c r="G242" s="25" t="s">
        <v>576</v>
      </c>
      <c r="H242" s="76" t="s">
        <v>467</v>
      </c>
      <c r="I242" s="76">
        <v>300</v>
      </c>
      <c r="J242" s="76">
        <v>300</v>
      </c>
      <c r="K242" s="76">
        <v>300</v>
      </c>
      <c r="L242" s="79">
        <v>24.32</v>
      </c>
      <c r="M242" s="79">
        <v>24.32</v>
      </c>
      <c r="N242" s="79">
        <v>14.08</v>
      </c>
      <c r="P242" s="75">
        <f t="shared" si="11"/>
        <v>5.9460041567725774E-2</v>
      </c>
    </row>
    <row r="243" spans="1:16" ht="21">
      <c r="A243" s="75">
        <v>1.0238961113393781</v>
      </c>
      <c r="B243" s="75">
        <v>0.89568278674446744</v>
      </c>
      <c r="C243" s="75">
        <v>0.85732669486756818</v>
      </c>
      <c r="D243" s="75">
        <v>0.35499999999999998</v>
      </c>
      <c r="E243">
        <v>0.5</v>
      </c>
      <c r="F243">
        <f t="shared" si="10"/>
        <v>0.93483771478174105</v>
      </c>
      <c r="G243" s="25" t="s">
        <v>577</v>
      </c>
      <c r="H243" s="76" t="s">
        <v>468</v>
      </c>
      <c r="I243" s="76">
        <v>300</v>
      </c>
      <c r="J243" s="76">
        <v>300</v>
      </c>
      <c r="K243" s="76">
        <v>300</v>
      </c>
      <c r="L243" s="79">
        <v>24.32</v>
      </c>
      <c r="M243" s="79">
        <v>24.32</v>
      </c>
      <c r="N243" s="79">
        <v>14.08</v>
      </c>
      <c r="P243" s="75">
        <f t="shared" si="11"/>
        <v>3.8356091876899256E-2</v>
      </c>
    </row>
    <row r="244" spans="1:16" ht="21">
      <c r="A244" s="75">
        <v>1.0238961113393781</v>
      </c>
      <c r="B244" s="75">
        <v>0.72003318741785238</v>
      </c>
      <c r="C244" s="75">
        <v>0.72956435556366406</v>
      </c>
      <c r="D244" s="75">
        <v>0.35499999999999998</v>
      </c>
      <c r="E244">
        <v>0.75</v>
      </c>
      <c r="F244">
        <f t="shared" si="10"/>
        <v>0.98958977592293884</v>
      </c>
      <c r="G244" s="25" t="s">
        <v>578</v>
      </c>
      <c r="H244" s="76" t="s">
        <v>469</v>
      </c>
      <c r="I244" s="76">
        <v>300</v>
      </c>
      <c r="J244" s="76">
        <v>300</v>
      </c>
      <c r="K244" s="76">
        <v>300</v>
      </c>
      <c r="L244" s="79">
        <v>24.32</v>
      </c>
      <c r="M244" s="79">
        <v>24.32</v>
      </c>
      <c r="N244" s="79">
        <v>14.08</v>
      </c>
      <c r="P244" s="75">
        <f t="shared" si="11"/>
        <v>-9.5311681458116748E-3</v>
      </c>
    </row>
    <row r="245" spans="1:16" ht="21">
      <c r="A245" s="75">
        <v>1.0238961113393781</v>
      </c>
      <c r="B245" s="75">
        <v>0.63811999725128876</v>
      </c>
      <c r="C245" s="75">
        <v>0.6396163996981663</v>
      </c>
      <c r="D245" s="75">
        <v>0.35499999999999998</v>
      </c>
      <c r="E245">
        <v>1</v>
      </c>
      <c r="F245">
        <f t="shared" si="10"/>
        <v>0.97895187433665853</v>
      </c>
      <c r="G245" s="25" t="s">
        <v>579</v>
      </c>
      <c r="H245" s="76" t="s">
        <v>470</v>
      </c>
      <c r="I245" s="76">
        <v>300</v>
      </c>
      <c r="J245" s="76">
        <v>300</v>
      </c>
      <c r="K245" s="76">
        <v>300</v>
      </c>
      <c r="L245" s="79">
        <v>24.32</v>
      </c>
      <c r="M245" s="79">
        <v>24.32</v>
      </c>
      <c r="N245" s="79">
        <v>14.08</v>
      </c>
      <c r="P245" s="75">
        <f t="shared" si="11"/>
        <v>-1.4964024468775428E-3</v>
      </c>
    </row>
    <row r="246" spans="1:16" ht="21">
      <c r="A246" s="75">
        <v>1.0238961113393781</v>
      </c>
      <c r="B246" s="75">
        <v>0.47507228222415249</v>
      </c>
      <c r="C246" s="75">
        <v>0.47168152048507977</v>
      </c>
      <c r="D246" s="75">
        <v>0.35499999999999998</v>
      </c>
      <c r="E246">
        <v>1.33</v>
      </c>
      <c r="F246">
        <f t="shared" si="10"/>
        <v>0.9696908010021813</v>
      </c>
      <c r="G246" s="25" t="s">
        <v>580</v>
      </c>
      <c r="H246" s="76" t="s">
        <v>471</v>
      </c>
      <c r="I246" s="76">
        <v>300</v>
      </c>
      <c r="J246" s="76">
        <v>300</v>
      </c>
      <c r="K246" s="76">
        <v>300</v>
      </c>
      <c r="L246" s="79">
        <v>24.32</v>
      </c>
      <c r="M246" s="79">
        <v>24.32</v>
      </c>
      <c r="N246" s="79">
        <v>14.08</v>
      </c>
      <c r="P246" s="75">
        <f t="shared" si="11"/>
        <v>3.3907617390727118E-3</v>
      </c>
    </row>
    <row r="247" spans="1:16" ht="21">
      <c r="A247" s="75">
        <v>1.0238961113393781</v>
      </c>
      <c r="B247" s="75">
        <v>0.32258419414239803</v>
      </c>
      <c r="C247" s="75">
        <v>0.31999182308335739</v>
      </c>
      <c r="D247" s="75">
        <v>0.35499999999999998</v>
      </c>
      <c r="E247">
        <v>1.67</v>
      </c>
      <c r="F247">
        <f t="shared" si="10"/>
        <v>0.96881287773722091</v>
      </c>
      <c r="G247" s="25" t="s">
        <v>581</v>
      </c>
      <c r="H247" s="76" t="s">
        <v>472</v>
      </c>
      <c r="I247" s="76">
        <v>300</v>
      </c>
      <c r="J247" s="76">
        <v>300</v>
      </c>
      <c r="K247" s="76">
        <v>300</v>
      </c>
      <c r="L247" s="79">
        <v>24.32</v>
      </c>
      <c r="M247" s="79">
        <v>24.32</v>
      </c>
      <c r="N247" s="79">
        <v>14.08</v>
      </c>
      <c r="P247" s="75">
        <f t="shared" si="11"/>
        <v>2.5923710590406435E-3</v>
      </c>
    </row>
    <row r="248" spans="1:16" ht="21">
      <c r="A248" s="75">
        <v>1.0238961113393781</v>
      </c>
      <c r="B248" s="75">
        <v>0.22357141339706507</v>
      </c>
      <c r="C248" s="75">
        <v>0.2236454026478778</v>
      </c>
      <c r="D248" s="75">
        <v>0.35499999999999998</v>
      </c>
      <c r="E248">
        <v>2</v>
      </c>
      <c r="F248">
        <f t="shared" si="10"/>
        <v>0.97698480468864501</v>
      </c>
      <c r="G248" s="25" t="s">
        <v>582</v>
      </c>
      <c r="H248" s="76" t="s">
        <v>473</v>
      </c>
      <c r="I248" s="76">
        <v>300</v>
      </c>
      <c r="J248" s="76">
        <v>300</v>
      </c>
      <c r="K248" s="76">
        <v>300</v>
      </c>
      <c r="L248" s="79">
        <v>24.32</v>
      </c>
      <c r="M248" s="79">
        <v>24.32</v>
      </c>
      <c r="N248" s="79">
        <v>14.08</v>
      </c>
      <c r="P248" s="75">
        <f t="shared" si="11"/>
        <v>-7.3989250812728224E-5</v>
      </c>
    </row>
    <row r="249" spans="1:16" ht="21">
      <c r="A249" s="75">
        <v>1.0238961113393781</v>
      </c>
      <c r="B249" s="75">
        <v>0.14234421210503867</v>
      </c>
      <c r="C249" s="75">
        <v>0.14324498351046647</v>
      </c>
      <c r="D249" s="75">
        <v>0.35499999999999998</v>
      </c>
      <c r="E249">
        <v>2.5</v>
      </c>
      <c r="F249">
        <f t="shared" si="10"/>
        <v>0.98284201874430033</v>
      </c>
      <c r="G249" s="25" t="s">
        <v>583</v>
      </c>
      <c r="H249" s="76" t="s">
        <v>474</v>
      </c>
      <c r="I249" s="76">
        <v>300</v>
      </c>
      <c r="J249" s="76">
        <v>300</v>
      </c>
      <c r="K249" s="76">
        <v>300</v>
      </c>
      <c r="L249" s="79">
        <v>24.32</v>
      </c>
      <c r="M249" s="79">
        <v>24.32</v>
      </c>
      <c r="N249" s="79">
        <v>14.08</v>
      </c>
      <c r="P249" s="75">
        <f t="shared" si="11"/>
        <v>-9.007714054277971E-4</v>
      </c>
    </row>
    <row r="250" spans="1:16" ht="21">
      <c r="A250" s="75">
        <v>0.99229698518122766</v>
      </c>
      <c r="B250" s="75">
        <v>1.0414185197047292</v>
      </c>
      <c r="C250" s="75">
        <v>0.9524481172713648</v>
      </c>
      <c r="D250" s="75">
        <v>0.50316512905442312</v>
      </c>
      <c r="E250">
        <v>0.3</v>
      </c>
      <c r="F250">
        <f t="shared" si="10"/>
        <v>0.9216676817859123</v>
      </c>
      <c r="G250" s="15" t="s">
        <v>584</v>
      </c>
      <c r="H250" s="76" t="s">
        <v>475</v>
      </c>
      <c r="I250" s="76">
        <v>300</v>
      </c>
      <c r="J250" s="76">
        <v>300</v>
      </c>
      <c r="K250" s="76">
        <v>300</v>
      </c>
      <c r="L250" s="80">
        <v>17.100000000000001</v>
      </c>
      <c r="M250" s="80">
        <v>17.100000000000001</v>
      </c>
      <c r="N250" s="80">
        <v>9.9</v>
      </c>
      <c r="P250" s="75">
        <f t="shared" si="11"/>
        <v>8.8970402433364404E-2</v>
      </c>
    </row>
    <row r="251" spans="1:16" ht="21">
      <c r="A251" s="75">
        <v>0.99229698518122766</v>
      </c>
      <c r="B251" s="75">
        <v>0.90221717150189484</v>
      </c>
      <c r="C251" s="75">
        <v>0.84371841109334678</v>
      </c>
      <c r="D251" s="75">
        <v>0.50316512905442312</v>
      </c>
      <c r="E251">
        <v>0.5</v>
      </c>
      <c r="F251">
        <f t="shared" si="10"/>
        <v>0.94242058924416183</v>
      </c>
      <c r="G251" s="15" t="s">
        <v>585</v>
      </c>
      <c r="H251" s="76" t="s">
        <v>476</v>
      </c>
      <c r="I251" s="76">
        <v>300</v>
      </c>
      <c r="J251" s="76">
        <v>300</v>
      </c>
      <c r="K251" s="76">
        <v>300</v>
      </c>
      <c r="L251" s="80">
        <v>17.100000000000001</v>
      </c>
      <c r="M251" s="80">
        <v>17.100000000000001</v>
      </c>
      <c r="N251" s="80">
        <v>9.9</v>
      </c>
      <c r="P251" s="75">
        <f t="shared" si="11"/>
        <v>5.8498760408548067E-2</v>
      </c>
    </row>
    <row r="252" spans="1:16" ht="21">
      <c r="A252" s="75">
        <v>0.99229698518122766</v>
      </c>
      <c r="B252" s="75">
        <v>0.72078022492117311</v>
      </c>
      <c r="C252" s="75">
        <v>0.72021548834704496</v>
      </c>
      <c r="D252" s="75">
        <v>0.50316512905442312</v>
      </c>
      <c r="E252">
        <v>0.75</v>
      </c>
      <c r="F252">
        <f t="shared" si="10"/>
        <v>1.006973222345221</v>
      </c>
      <c r="G252" s="15" t="s">
        <v>586</v>
      </c>
      <c r="H252" s="76" t="s">
        <v>477</v>
      </c>
      <c r="I252" s="76">
        <v>300</v>
      </c>
      <c r="J252" s="76">
        <v>300</v>
      </c>
      <c r="K252" s="76">
        <v>300</v>
      </c>
      <c r="L252" s="80">
        <v>17.100000000000001</v>
      </c>
      <c r="M252" s="80">
        <v>17.100000000000001</v>
      </c>
      <c r="N252" s="80">
        <v>9.9</v>
      </c>
      <c r="P252" s="75">
        <f t="shared" si="11"/>
        <v>5.6473657412814404E-4</v>
      </c>
    </row>
    <row r="253" spans="1:16" ht="21">
      <c r="A253" s="75">
        <v>0.99229698518122766</v>
      </c>
      <c r="B253" s="75">
        <v>0.63721444236848779</v>
      </c>
      <c r="C253" s="75">
        <v>0.62774699719685145</v>
      </c>
      <c r="D253" s="75">
        <v>0.50316512905442312</v>
      </c>
      <c r="E253">
        <v>1</v>
      </c>
      <c r="F253">
        <f t="shared" si="10"/>
        <v>0.9927899259297096</v>
      </c>
      <c r="G253" s="15" t="s">
        <v>587</v>
      </c>
      <c r="H253" s="76" t="s">
        <v>478</v>
      </c>
      <c r="I253" s="76">
        <v>300</v>
      </c>
      <c r="J253" s="76">
        <v>300</v>
      </c>
      <c r="K253" s="76">
        <v>300</v>
      </c>
      <c r="L253" s="80">
        <v>17.100000000000001</v>
      </c>
      <c r="M253" s="80">
        <v>17.100000000000001</v>
      </c>
      <c r="N253" s="80">
        <v>9.9</v>
      </c>
      <c r="P253" s="75">
        <f t="shared" si="11"/>
        <v>9.467445171636335E-3</v>
      </c>
    </row>
    <row r="254" spans="1:16" ht="21">
      <c r="A254" s="75">
        <v>0.99229698518122766</v>
      </c>
      <c r="B254" s="75">
        <v>0.47441950950749628</v>
      </c>
      <c r="C254" s="75">
        <v>0.46463222039005242</v>
      </c>
      <c r="D254" s="75">
        <v>0.50316512905442312</v>
      </c>
      <c r="E254">
        <v>1.33</v>
      </c>
      <c r="F254">
        <f t="shared" si="10"/>
        <v>0.98697263397425183</v>
      </c>
      <c r="G254" s="15" t="s">
        <v>588</v>
      </c>
      <c r="H254" s="76" t="s">
        <v>479</v>
      </c>
      <c r="I254" s="76">
        <v>300</v>
      </c>
      <c r="J254" s="76">
        <v>300</v>
      </c>
      <c r="K254" s="76">
        <v>300</v>
      </c>
      <c r="L254" s="80">
        <v>17.100000000000001</v>
      </c>
      <c r="M254" s="80">
        <v>17.100000000000001</v>
      </c>
      <c r="N254" s="80">
        <v>9.9</v>
      </c>
      <c r="P254" s="75">
        <f t="shared" si="11"/>
        <v>9.7872891174438648E-3</v>
      </c>
    </row>
    <row r="255" spans="1:16" ht="21">
      <c r="A255" s="75">
        <v>0.99229698518122766</v>
      </c>
      <c r="B255" s="75">
        <v>0.32190123322889064</v>
      </c>
      <c r="C255" s="75">
        <v>0.31687263977693869</v>
      </c>
      <c r="D255" s="75">
        <v>0.50316512905442312</v>
      </c>
      <c r="E255">
        <v>1.67</v>
      </c>
      <c r="F255">
        <f t="shared" si="10"/>
        <v>0.99202000335418516</v>
      </c>
      <c r="G255" s="15" t="s">
        <v>589</v>
      </c>
      <c r="H255" s="76" t="s">
        <v>480</v>
      </c>
      <c r="I255" s="76">
        <v>300</v>
      </c>
      <c r="J255" s="76">
        <v>300</v>
      </c>
      <c r="K255" s="76">
        <v>300</v>
      </c>
      <c r="L255" s="80">
        <v>17.100000000000001</v>
      </c>
      <c r="M255" s="80">
        <v>17.100000000000001</v>
      </c>
      <c r="N255" s="80">
        <v>9.9</v>
      </c>
      <c r="P255" s="75">
        <f t="shared" si="11"/>
        <v>5.028593451951946E-3</v>
      </c>
    </row>
    <row r="256" spans="1:16" ht="21">
      <c r="A256" s="75">
        <v>0.99229698518122766</v>
      </c>
      <c r="B256" s="75">
        <v>0.22307198595407918</v>
      </c>
      <c r="C256" s="75">
        <v>0.22173289261929444</v>
      </c>
      <c r="D256" s="75">
        <v>0.50316512905442312</v>
      </c>
      <c r="E256">
        <v>2</v>
      </c>
      <c r="F256">
        <f t="shared" si="10"/>
        <v>1.001713246937705</v>
      </c>
      <c r="G256" s="15" t="s">
        <v>590</v>
      </c>
      <c r="H256" s="76" t="s">
        <v>481</v>
      </c>
      <c r="I256" s="76">
        <v>300</v>
      </c>
      <c r="J256" s="76">
        <v>300</v>
      </c>
      <c r="K256" s="76">
        <v>300</v>
      </c>
      <c r="L256" s="80">
        <v>17.100000000000001</v>
      </c>
      <c r="M256" s="80">
        <v>17.100000000000001</v>
      </c>
      <c r="N256" s="80">
        <v>9.9</v>
      </c>
      <c r="P256" s="75">
        <f t="shared" si="11"/>
        <v>1.3390933347847411E-3</v>
      </c>
    </row>
    <row r="257" spans="1:16" ht="21">
      <c r="A257" s="75">
        <v>0.99229698518122766</v>
      </c>
      <c r="B257" s="75">
        <v>0.14205354301286707</v>
      </c>
      <c r="C257" s="75">
        <v>0.14207625153569298</v>
      </c>
      <c r="D257" s="75">
        <v>0.50316512905442312</v>
      </c>
      <c r="E257">
        <v>2.5</v>
      </c>
      <c r="F257">
        <f t="shared" si="10"/>
        <v>1.0079239117261005</v>
      </c>
      <c r="G257" s="15" t="s">
        <v>591</v>
      </c>
      <c r="H257" s="76" t="s">
        <v>482</v>
      </c>
      <c r="I257" s="76">
        <v>300</v>
      </c>
      <c r="J257" s="76">
        <v>300</v>
      </c>
      <c r="K257" s="76">
        <v>300</v>
      </c>
      <c r="L257" s="80">
        <v>17.100000000000001</v>
      </c>
      <c r="M257" s="80">
        <v>17.100000000000001</v>
      </c>
      <c r="N257" s="80">
        <v>9.9</v>
      </c>
      <c r="P257" s="75">
        <f t="shared" si="11"/>
        <v>-2.2708522825903854E-5</v>
      </c>
    </row>
    <row r="258" spans="1:16" ht="21">
      <c r="A258" s="75">
        <v>0.93814976278525242</v>
      </c>
      <c r="B258" s="75">
        <v>1.0466686629353739</v>
      </c>
      <c r="C258" s="75">
        <v>0.90119684820320589</v>
      </c>
      <c r="D258" s="75">
        <v>0.60092698120307431</v>
      </c>
      <c r="E258">
        <v>0.3</v>
      </c>
      <c r="F258">
        <f t="shared" si="10"/>
        <v>0.91777932371063065</v>
      </c>
      <c r="G258" s="15" t="s">
        <v>592</v>
      </c>
      <c r="H258" s="76" t="s">
        <v>483</v>
      </c>
      <c r="I258" s="76">
        <v>300</v>
      </c>
      <c r="J258" s="76">
        <v>300</v>
      </c>
      <c r="K258" s="76">
        <v>300</v>
      </c>
      <c r="L258" s="79">
        <v>14.25</v>
      </c>
      <c r="M258" s="79">
        <v>14.25</v>
      </c>
      <c r="N258" s="79">
        <v>8.25</v>
      </c>
      <c r="P258" s="75">
        <f t="shared" si="11"/>
        <v>0.14547181473216797</v>
      </c>
    </row>
    <row r="259" spans="1:16" ht="21">
      <c r="A259" s="75">
        <v>0.93814976278525242</v>
      </c>
      <c r="B259" s="75">
        <v>0.90651401721042757</v>
      </c>
      <c r="C259" s="75">
        <v>0.8169088877852293</v>
      </c>
      <c r="D259" s="75">
        <v>0.60092698120307431</v>
      </c>
      <c r="E259">
        <v>0.5</v>
      </c>
      <c r="F259">
        <f t="shared" ref="F259:F289" si="12">C259/(A259*B259)</f>
        <v>0.96056536692138583</v>
      </c>
      <c r="G259" s="15" t="s">
        <v>593</v>
      </c>
      <c r="H259" s="76" t="s">
        <v>484</v>
      </c>
      <c r="I259" s="76">
        <v>300</v>
      </c>
      <c r="J259" s="76">
        <v>300</v>
      </c>
      <c r="K259" s="76">
        <v>300</v>
      </c>
      <c r="L259" s="79">
        <v>14.25</v>
      </c>
      <c r="M259" s="79">
        <v>14.25</v>
      </c>
      <c r="N259" s="79">
        <v>8.25</v>
      </c>
      <c r="P259" s="75">
        <f t="shared" ref="P259:P289" si="13">B259-C259</f>
        <v>8.9605129425198271E-2</v>
      </c>
    </row>
    <row r="260" spans="1:16" ht="21">
      <c r="A260" s="75">
        <v>0.93814976278525242</v>
      </c>
      <c r="B260" s="75">
        <v>0.72159265297518183</v>
      </c>
      <c r="C260" s="75">
        <v>0.70858984104736145</v>
      </c>
      <c r="D260" s="75">
        <v>0.60092698120307431</v>
      </c>
      <c r="E260">
        <v>0.75</v>
      </c>
      <c r="F260">
        <f t="shared" si="12"/>
        <v>1.0467202973612959</v>
      </c>
      <c r="G260" s="15" t="s">
        <v>594</v>
      </c>
      <c r="H260" s="76" t="s">
        <v>485</v>
      </c>
      <c r="I260" s="76">
        <v>300</v>
      </c>
      <c r="J260" s="76">
        <v>300</v>
      </c>
      <c r="K260" s="76">
        <v>300</v>
      </c>
      <c r="L260" s="79">
        <v>14.25</v>
      </c>
      <c r="M260" s="79">
        <v>14.25</v>
      </c>
      <c r="N260" s="79">
        <v>8.25</v>
      </c>
      <c r="P260" s="75">
        <f t="shared" si="13"/>
        <v>1.3002811927820379E-2</v>
      </c>
    </row>
    <row r="261" spans="1:16" ht="21">
      <c r="A261" s="75">
        <v>0.93814976278525242</v>
      </c>
      <c r="B261" s="75">
        <v>0.63748441188209959</v>
      </c>
      <c r="C261" s="75">
        <v>0.61601026542794002</v>
      </c>
      <c r="D261" s="75">
        <v>0.60092698120307431</v>
      </c>
      <c r="E261">
        <v>1</v>
      </c>
      <c r="F261">
        <f t="shared" si="12"/>
        <v>1.0300213026055378</v>
      </c>
      <c r="G261" s="15" t="s">
        <v>595</v>
      </c>
      <c r="H261" s="76" t="s">
        <v>486</v>
      </c>
      <c r="I261" s="76">
        <v>300</v>
      </c>
      <c r="J261" s="76">
        <v>300</v>
      </c>
      <c r="K261" s="76">
        <v>300</v>
      </c>
      <c r="L261" s="79">
        <v>14.25</v>
      </c>
      <c r="M261" s="79">
        <v>14.25</v>
      </c>
      <c r="N261" s="79">
        <v>8.25</v>
      </c>
      <c r="P261" s="75">
        <f t="shared" si="13"/>
        <v>2.1474146454159571E-2</v>
      </c>
    </row>
    <row r="262" spans="1:16" ht="21">
      <c r="A262" s="75">
        <v>0.93814976278525242</v>
      </c>
      <c r="B262" s="75">
        <v>0.47447112909629291</v>
      </c>
      <c r="C262" s="75">
        <v>0.45834538463787383</v>
      </c>
      <c r="D262" s="75">
        <v>0.60092698120307431</v>
      </c>
      <c r="E262">
        <v>1.33</v>
      </c>
      <c r="F262">
        <f t="shared" si="12"/>
        <v>1.029700439437472</v>
      </c>
      <c r="G262" s="15" t="s">
        <v>596</v>
      </c>
      <c r="H262" s="76" t="s">
        <v>487</v>
      </c>
      <c r="I262" s="76">
        <v>300</v>
      </c>
      <c r="J262" s="76">
        <v>300</v>
      </c>
      <c r="K262" s="76">
        <v>300</v>
      </c>
      <c r="L262" s="79">
        <v>14.25</v>
      </c>
      <c r="M262" s="79">
        <v>14.25</v>
      </c>
      <c r="N262" s="79">
        <v>8.25</v>
      </c>
      <c r="P262" s="75">
        <f t="shared" si="13"/>
        <v>1.6125744458419078E-2</v>
      </c>
    </row>
    <row r="263" spans="1:16" ht="21">
      <c r="A263" s="75">
        <v>0.93814976278525242</v>
      </c>
      <c r="B263" s="75">
        <v>0.32180875683438676</v>
      </c>
      <c r="C263" s="75">
        <v>0.31442883735169086</v>
      </c>
      <c r="D263" s="75">
        <v>0.60092698120307431</v>
      </c>
      <c r="E263">
        <v>1.67</v>
      </c>
      <c r="F263">
        <f t="shared" si="12"/>
        <v>1.0414833685872376</v>
      </c>
      <c r="G263" s="15" t="s">
        <v>597</v>
      </c>
      <c r="H263" s="76" t="s">
        <v>488</v>
      </c>
      <c r="I263" s="76">
        <v>300</v>
      </c>
      <c r="J263" s="76">
        <v>300</v>
      </c>
      <c r="K263" s="76">
        <v>300</v>
      </c>
      <c r="L263" s="79">
        <v>14.25</v>
      </c>
      <c r="M263" s="79">
        <v>14.25</v>
      </c>
      <c r="N263" s="79">
        <v>8.25</v>
      </c>
      <c r="P263" s="75">
        <f t="shared" si="13"/>
        <v>7.3799194826958958E-3</v>
      </c>
    </row>
    <row r="264" spans="1:16" ht="21">
      <c r="A264" s="75">
        <v>0.93814976278525242</v>
      </c>
      <c r="B264" s="75">
        <v>0.22302938608239906</v>
      </c>
      <c r="C264" s="75">
        <v>0.22036745462702323</v>
      </c>
      <c r="D264" s="75">
        <v>0.60092698120307431</v>
      </c>
      <c r="E264">
        <v>2</v>
      </c>
      <c r="F264">
        <f t="shared" si="12"/>
        <v>1.0532056816853614</v>
      </c>
      <c r="G264" s="15" t="s">
        <v>598</v>
      </c>
      <c r="H264" s="76" t="s">
        <v>489</v>
      </c>
      <c r="I264" s="76">
        <v>300</v>
      </c>
      <c r="J264" s="76">
        <v>300</v>
      </c>
      <c r="K264" s="76">
        <v>300</v>
      </c>
      <c r="L264" s="79">
        <v>14.25</v>
      </c>
      <c r="M264" s="79">
        <v>14.25</v>
      </c>
      <c r="N264" s="79">
        <v>8.25</v>
      </c>
      <c r="P264" s="75">
        <f t="shared" si="13"/>
        <v>2.6619314553758266E-3</v>
      </c>
    </row>
    <row r="265" spans="1:16" ht="21">
      <c r="A265" s="75">
        <v>0.93814976278525242</v>
      </c>
      <c r="B265" s="75">
        <v>0.1420410533253128</v>
      </c>
      <c r="C265" s="75">
        <v>0.14128750884287297</v>
      </c>
      <c r="D265" s="75">
        <v>0.60092698120307431</v>
      </c>
      <c r="E265">
        <v>2.5</v>
      </c>
      <c r="F265">
        <f t="shared" si="12"/>
        <v>1.0602730202836752</v>
      </c>
      <c r="G265" s="15" t="s">
        <v>599</v>
      </c>
      <c r="H265" s="76" t="s">
        <v>490</v>
      </c>
      <c r="I265" s="76">
        <v>300</v>
      </c>
      <c r="J265" s="76">
        <v>300</v>
      </c>
      <c r="K265" s="76">
        <v>300</v>
      </c>
      <c r="L265" s="79">
        <v>14.25</v>
      </c>
      <c r="M265" s="79">
        <v>14.25</v>
      </c>
      <c r="N265" s="79">
        <v>8.25</v>
      </c>
      <c r="P265" s="75">
        <f t="shared" si="13"/>
        <v>7.5354448243983296E-4</v>
      </c>
    </row>
    <row r="266" spans="1:16" ht="21">
      <c r="A266" s="88">
        <v>0.79819398974097666</v>
      </c>
      <c r="B266" s="88">
        <v>1.0557219139250815</v>
      </c>
      <c r="C266" s="88">
        <v>0.77218688296746851</v>
      </c>
      <c r="D266" s="88">
        <v>0.80062012685654171</v>
      </c>
      <c r="E266" s="90">
        <v>0.3</v>
      </c>
      <c r="F266">
        <f t="shared" si="12"/>
        <v>0.9163564272934861</v>
      </c>
      <c r="G266" s="15" t="s">
        <v>600</v>
      </c>
      <c r="H266" s="76" t="s">
        <v>491</v>
      </c>
      <c r="I266" s="76">
        <v>300</v>
      </c>
      <c r="J266" s="76">
        <v>300</v>
      </c>
      <c r="K266" s="76">
        <v>300</v>
      </c>
      <c r="L266" s="78">
        <v>10.792</v>
      </c>
      <c r="M266" s="78">
        <v>10.792</v>
      </c>
      <c r="N266" s="78">
        <v>6.2479999999999993</v>
      </c>
      <c r="P266" s="88">
        <f t="shared" si="13"/>
        <v>0.28353503095761301</v>
      </c>
    </row>
    <row r="267" spans="1:16" ht="21">
      <c r="A267" s="88">
        <v>0.79819398974097666</v>
      </c>
      <c r="B267" s="88">
        <v>0.91435545672360263</v>
      </c>
      <c r="C267" s="88">
        <v>0.71982948143552627</v>
      </c>
      <c r="D267" s="88">
        <v>0.80062012685654171</v>
      </c>
      <c r="E267" s="90">
        <v>0.5</v>
      </c>
      <c r="F267">
        <f t="shared" si="12"/>
        <v>0.98629337369463699</v>
      </c>
      <c r="G267" s="15" t="s">
        <v>601</v>
      </c>
      <c r="H267" s="76" t="s">
        <v>492</v>
      </c>
      <c r="I267" s="76">
        <v>300</v>
      </c>
      <c r="J267" s="76">
        <v>300</v>
      </c>
      <c r="K267" s="76">
        <v>300</v>
      </c>
      <c r="L267" s="78">
        <v>10.792</v>
      </c>
      <c r="M267" s="78">
        <v>10.792</v>
      </c>
      <c r="N267" s="78">
        <v>6.2479999999999993</v>
      </c>
      <c r="P267" s="88">
        <f t="shared" si="13"/>
        <v>0.19452597528807636</v>
      </c>
    </row>
    <row r="268" spans="1:16" ht="21">
      <c r="A268" s="75">
        <v>0.79819398974097666</v>
      </c>
      <c r="B268" s="75">
        <v>0.72619171371937186</v>
      </c>
      <c r="C268" s="75">
        <v>0.65100704167033141</v>
      </c>
      <c r="D268" s="75">
        <v>0.80062012685654171</v>
      </c>
      <c r="E268">
        <v>0.75</v>
      </c>
      <c r="F268">
        <f t="shared" si="12"/>
        <v>1.1231194383044436</v>
      </c>
      <c r="G268" s="15" t="s">
        <v>602</v>
      </c>
      <c r="H268" s="76" t="s">
        <v>493</v>
      </c>
      <c r="I268" s="76">
        <v>300</v>
      </c>
      <c r="J268" s="76">
        <v>300</v>
      </c>
      <c r="K268" s="76">
        <v>300</v>
      </c>
      <c r="L268" s="78">
        <v>10.792</v>
      </c>
      <c r="M268" s="78">
        <v>10.792</v>
      </c>
      <c r="N268" s="78">
        <v>6.2479999999999993</v>
      </c>
      <c r="P268" s="75">
        <f t="shared" si="13"/>
        <v>7.5184672049040446E-2</v>
      </c>
    </row>
    <row r="269" spans="1:16" ht="21">
      <c r="A269" s="75">
        <v>0.79819398974097666</v>
      </c>
      <c r="B269" s="75">
        <v>0.63869896113936353</v>
      </c>
      <c r="C269" s="75">
        <v>0.5731267816076403</v>
      </c>
      <c r="D269" s="75">
        <v>0.80062012685654171</v>
      </c>
      <c r="E269">
        <v>1</v>
      </c>
      <c r="F269">
        <f t="shared" si="12"/>
        <v>1.1242063653776235</v>
      </c>
      <c r="G269" s="15" t="s">
        <v>603</v>
      </c>
      <c r="H269" s="76" t="s">
        <v>494</v>
      </c>
      <c r="I269" s="76">
        <v>300</v>
      </c>
      <c r="J269" s="76">
        <v>300</v>
      </c>
      <c r="K269" s="76">
        <v>300</v>
      </c>
      <c r="L269" s="78">
        <v>10.792</v>
      </c>
      <c r="M269" s="78">
        <v>10.792</v>
      </c>
      <c r="N269" s="78">
        <v>6.2479999999999993</v>
      </c>
      <c r="P269" s="75">
        <f t="shared" si="13"/>
        <v>6.5572179531723229E-2</v>
      </c>
    </row>
    <row r="270" spans="1:16" ht="21">
      <c r="A270" s="75">
        <v>0.79819398974097666</v>
      </c>
      <c r="B270" s="75">
        <v>0.47501053508408175</v>
      </c>
      <c r="C270" s="75">
        <v>0.43678615277142624</v>
      </c>
      <c r="D270" s="75">
        <v>0.80062012685654171</v>
      </c>
      <c r="E270">
        <v>1.33</v>
      </c>
      <c r="F270">
        <f t="shared" si="12"/>
        <v>1.1520124340321163</v>
      </c>
      <c r="G270" s="15" t="s">
        <v>604</v>
      </c>
      <c r="H270" s="76" t="s">
        <v>495</v>
      </c>
      <c r="I270" s="76">
        <v>300</v>
      </c>
      <c r="J270" s="76">
        <v>300</v>
      </c>
      <c r="K270" s="76">
        <v>300</v>
      </c>
      <c r="L270" s="78">
        <v>10.792</v>
      </c>
      <c r="M270" s="78">
        <v>10.792</v>
      </c>
      <c r="N270" s="78">
        <v>6.2479999999999993</v>
      </c>
      <c r="P270" s="75">
        <f t="shared" si="13"/>
        <v>3.8224382312655514E-2</v>
      </c>
    </row>
    <row r="271" spans="1:16" ht="21">
      <c r="A271" s="75">
        <v>0.79819398974097666</v>
      </c>
      <c r="B271" s="75">
        <v>0.32205888788737613</v>
      </c>
      <c r="C271" s="75">
        <v>0.30657624127700928</v>
      </c>
      <c r="D271" s="75">
        <v>0.80062012685654171</v>
      </c>
      <c r="E271">
        <v>1.67</v>
      </c>
      <c r="F271">
        <f t="shared" si="12"/>
        <v>1.1925998574674825</v>
      </c>
      <c r="G271" s="15" t="s">
        <v>605</v>
      </c>
      <c r="H271" s="76" t="s">
        <v>496</v>
      </c>
      <c r="I271" s="76">
        <v>300</v>
      </c>
      <c r="J271" s="76">
        <v>300</v>
      </c>
      <c r="K271" s="76">
        <v>300</v>
      </c>
      <c r="L271" s="78">
        <v>10.792</v>
      </c>
      <c r="M271" s="78">
        <v>10.792</v>
      </c>
      <c r="N271" s="78">
        <v>6.2479999999999993</v>
      </c>
      <c r="P271" s="75">
        <f t="shared" si="13"/>
        <v>1.5482646610366857E-2</v>
      </c>
    </row>
    <row r="272" spans="1:16" ht="21">
      <c r="A272" s="75">
        <v>0.79819398974097666</v>
      </c>
      <c r="B272" s="75">
        <v>0.22322129895775125</v>
      </c>
      <c r="C272" s="75">
        <v>0.21643543276364369</v>
      </c>
      <c r="D272" s="75">
        <v>0.80062012685654171</v>
      </c>
      <c r="E272">
        <v>2</v>
      </c>
      <c r="F272">
        <f t="shared" si="12"/>
        <v>1.2147426403249058</v>
      </c>
      <c r="G272" s="15" t="s">
        <v>606</v>
      </c>
      <c r="H272" s="76" t="s">
        <v>497</v>
      </c>
      <c r="I272" s="76">
        <v>300</v>
      </c>
      <c r="J272" s="76">
        <v>300</v>
      </c>
      <c r="K272" s="76">
        <v>300</v>
      </c>
      <c r="L272" s="78">
        <v>10.792</v>
      </c>
      <c r="M272" s="78">
        <v>10.792</v>
      </c>
      <c r="N272" s="78">
        <v>6.2479999999999993</v>
      </c>
      <c r="P272" s="75">
        <f t="shared" si="13"/>
        <v>6.7858661941075649E-3</v>
      </c>
    </row>
    <row r="273" spans="1:16" ht="21">
      <c r="A273" s="75">
        <v>0.79819398974097666</v>
      </c>
      <c r="B273" s="75">
        <v>0.14220237315996784</v>
      </c>
      <c r="C273" s="75">
        <v>0.13916164324812039</v>
      </c>
      <c r="D273" s="75">
        <v>0.80062012685654171</v>
      </c>
      <c r="E273">
        <v>2.5</v>
      </c>
      <c r="F273">
        <f t="shared" si="12"/>
        <v>1.2260389029208716</v>
      </c>
      <c r="G273" s="15" t="s">
        <v>607</v>
      </c>
      <c r="H273" s="76" t="s">
        <v>498</v>
      </c>
      <c r="I273" s="76">
        <v>300</v>
      </c>
      <c r="J273" s="76">
        <v>300</v>
      </c>
      <c r="K273" s="76">
        <v>300</v>
      </c>
      <c r="L273" s="78">
        <v>10.792</v>
      </c>
      <c r="M273" s="78">
        <v>10.792</v>
      </c>
      <c r="N273" s="78">
        <v>6.2479999999999993</v>
      </c>
      <c r="P273" s="75">
        <f t="shared" si="13"/>
        <v>3.0407299118474507E-3</v>
      </c>
    </row>
    <row r="274" spans="1:16" ht="21">
      <c r="A274" s="88">
        <v>0.66500225422673287</v>
      </c>
      <c r="B274" s="88">
        <v>1.06684190511447</v>
      </c>
      <c r="C274" s="88">
        <v>0.64101316496018812</v>
      </c>
      <c r="D274" s="88">
        <v>1.1026699208821982</v>
      </c>
      <c r="E274" s="90">
        <v>0.3</v>
      </c>
      <c r="F274" s="90">
        <f t="shared" si="12"/>
        <v>0.90353247207118659</v>
      </c>
      <c r="G274" s="15" t="s">
        <v>608</v>
      </c>
      <c r="H274" s="76" t="s">
        <v>499</v>
      </c>
      <c r="I274" s="76">
        <v>300</v>
      </c>
      <c r="J274" s="76">
        <v>300</v>
      </c>
      <c r="K274" s="76">
        <v>300</v>
      </c>
      <c r="L274" s="81">
        <v>7.7899999999999991</v>
      </c>
      <c r="M274" s="81">
        <v>7.7899999999999991</v>
      </c>
      <c r="N274" s="81">
        <v>4.51</v>
      </c>
      <c r="P274" s="88">
        <f t="shared" si="13"/>
        <v>0.42582874015428185</v>
      </c>
    </row>
    <row r="275" spans="1:16" ht="21">
      <c r="A275" s="88">
        <v>0.66500225422673287</v>
      </c>
      <c r="B275" s="88">
        <v>0.92449292062687372</v>
      </c>
      <c r="C275" s="88">
        <v>0.58694609364878614</v>
      </c>
      <c r="D275" s="88">
        <v>1.1026699208821982</v>
      </c>
      <c r="E275" s="90">
        <v>0.5</v>
      </c>
      <c r="F275" s="90">
        <f t="shared" si="12"/>
        <v>0.95471008280857805</v>
      </c>
      <c r="G275" s="15" t="s">
        <v>609</v>
      </c>
      <c r="H275" s="76" t="s">
        <v>500</v>
      </c>
      <c r="I275" s="76">
        <v>300</v>
      </c>
      <c r="J275" s="76">
        <v>300</v>
      </c>
      <c r="K275" s="76">
        <v>300</v>
      </c>
      <c r="L275" s="81">
        <v>7.7899999999999991</v>
      </c>
      <c r="M275" s="81">
        <v>7.7899999999999991</v>
      </c>
      <c r="N275" s="81">
        <v>4.51</v>
      </c>
      <c r="P275" s="88">
        <f t="shared" si="13"/>
        <v>0.33754682697808758</v>
      </c>
    </row>
    <row r="276" spans="1:16" ht="21">
      <c r="A276" s="88">
        <v>0.66500225422673287</v>
      </c>
      <c r="B276" s="88">
        <v>0.7272317936445527</v>
      </c>
      <c r="C276" s="88">
        <v>0.51551474390536689</v>
      </c>
      <c r="D276" s="88">
        <v>1.1026699208821982</v>
      </c>
      <c r="E276" s="90">
        <v>0.75</v>
      </c>
      <c r="F276" s="90">
        <f t="shared" si="12"/>
        <v>1.0659703277222221</v>
      </c>
      <c r="G276" s="15" t="s">
        <v>610</v>
      </c>
      <c r="H276" s="76" t="s">
        <v>501</v>
      </c>
      <c r="I276" s="76">
        <v>300</v>
      </c>
      <c r="J276" s="76">
        <v>300</v>
      </c>
      <c r="K276" s="76">
        <v>300</v>
      </c>
      <c r="L276" s="81">
        <v>7.7899999999999991</v>
      </c>
      <c r="M276" s="81">
        <v>7.7899999999999991</v>
      </c>
      <c r="N276" s="81">
        <v>4.51</v>
      </c>
      <c r="P276" s="88">
        <f t="shared" si="13"/>
        <v>0.21171704973918581</v>
      </c>
    </row>
    <row r="277" spans="1:16" ht="21">
      <c r="A277" s="88">
        <v>0.66500225422673287</v>
      </c>
      <c r="B277" s="88">
        <v>0.64148984599795222</v>
      </c>
      <c r="C277" s="88">
        <v>0.45430141053928286</v>
      </c>
      <c r="D277" s="88">
        <v>1.1026699208821982</v>
      </c>
      <c r="E277" s="90">
        <v>1</v>
      </c>
      <c r="F277" s="90">
        <f t="shared" si="12"/>
        <v>1.0649548146904826</v>
      </c>
      <c r="G277" s="15" t="s">
        <v>611</v>
      </c>
      <c r="H277" s="76" t="s">
        <v>502</v>
      </c>
      <c r="I277" s="76">
        <v>300</v>
      </c>
      <c r="J277" s="76">
        <v>300</v>
      </c>
      <c r="K277" s="76">
        <v>300</v>
      </c>
      <c r="L277" s="81">
        <v>7.7899999999999991</v>
      </c>
      <c r="M277" s="81">
        <v>7.7899999999999991</v>
      </c>
      <c r="N277" s="81">
        <v>4.51</v>
      </c>
      <c r="P277" s="88">
        <f t="shared" si="13"/>
        <v>0.18718843545866937</v>
      </c>
    </row>
    <row r="278" spans="1:16" ht="21">
      <c r="A278" s="75">
        <v>0.66500225422673287</v>
      </c>
      <c r="B278" s="75">
        <v>0.47648057224986196</v>
      </c>
      <c r="C278" s="75">
        <v>0.3628656505746134</v>
      </c>
      <c r="D278" s="75">
        <v>1.1026699208821982</v>
      </c>
      <c r="E278">
        <v>1.33</v>
      </c>
      <c r="F278">
        <f t="shared" si="12"/>
        <v>1.1451899920653652</v>
      </c>
      <c r="G278" s="15" t="s">
        <v>612</v>
      </c>
      <c r="H278" s="76" t="s">
        <v>503</v>
      </c>
      <c r="I278" s="76">
        <v>300</v>
      </c>
      <c r="J278" s="76">
        <v>300</v>
      </c>
      <c r="K278" s="76">
        <v>300</v>
      </c>
      <c r="L278" s="81">
        <v>7.7899999999999991</v>
      </c>
      <c r="M278" s="81">
        <v>7.7899999999999991</v>
      </c>
      <c r="N278" s="81">
        <v>4.51</v>
      </c>
      <c r="P278" s="75">
        <f t="shared" si="13"/>
        <v>0.11361492167524856</v>
      </c>
    </row>
    <row r="279" spans="1:16" ht="21">
      <c r="A279" s="75">
        <v>0.66500225422673287</v>
      </c>
      <c r="B279" s="75">
        <v>0.32282750637696261</v>
      </c>
      <c r="C279" s="75">
        <v>0.27103105543612316</v>
      </c>
      <c r="D279" s="75">
        <v>1.1026699208821982</v>
      </c>
      <c r="E279">
        <v>1.67</v>
      </c>
      <c r="F279">
        <f t="shared" si="12"/>
        <v>1.2624826177411097</v>
      </c>
      <c r="G279" s="15" t="s">
        <v>613</v>
      </c>
      <c r="H279" s="76" t="s">
        <v>504</v>
      </c>
      <c r="I279" s="76">
        <v>300</v>
      </c>
      <c r="J279" s="76">
        <v>300</v>
      </c>
      <c r="K279" s="76">
        <v>300</v>
      </c>
      <c r="L279" s="81">
        <v>7.7899999999999991</v>
      </c>
      <c r="M279" s="81">
        <v>7.7899999999999991</v>
      </c>
      <c r="N279" s="81">
        <v>4.51</v>
      </c>
      <c r="P279" s="75">
        <f t="shared" si="13"/>
        <v>5.1796450940839456E-2</v>
      </c>
    </row>
    <row r="280" spans="1:16" ht="21">
      <c r="A280" s="75">
        <v>0.66500225422673287</v>
      </c>
      <c r="B280" s="75">
        <v>0.2238573564203547</v>
      </c>
      <c r="C280" s="75">
        <v>0.19951882560141368</v>
      </c>
      <c r="D280" s="75">
        <v>1.1026699208821982</v>
      </c>
      <c r="E280">
        <v>2</v>
      </c>
      <c r="F280">
        <f t="shared" si="12"/>
        <v>1.3402610346866024</v>
      </c>
      <c r="G280" s="15" t="s">
        <v>614</v>
      </c>
      <c r="H280" s="76" t="s">
        <v>505</v>
      </c>
      <c r="I280" s="76">
        <v>300</v>
      </c>
      <c r="J280" s="76">
        <v>300</v>
      </c>
      <c r="K280" s="76">
        <v>300</v>
      </c>
      <c r="L280" s="81">
        <v>7.7899999999999991</v>
      </c>
      <c r="M280" s="81">
        <v>7.7899999999999991</v>
      </c>
      <c r="N280" s="81">
        <v>4.51</v>
      </c>
      <c r="P280" s="75">
        <f t="shared" si="13"/>
        <v>2.4338530818941023E-2</v>
      </c>
    </row>
    <row r="281" spans="1:16" ht="21">
      <c r="A281" s="75">
        <v>0.66500225422673287</v>
      </c>
      <c r="B281" s="75">
        <v>0.14264623796162224</v>
      </c>
      <c r="C281" s="75">
        <v>0.1310070694443416</v>
      </c>
      <c r="D281" s="75">
        <v>1.1026699208821982</v>
      </c>
      <c r="E281">
        <v>2.5</v>
      </c>
      <c r="F281">
        <f t="shared" si="12"/>
        <v>1.381056009325754</v>
      </c>
      <c r="G281" s="15" t="s">
        <v>615</v>
      </c>
      <c r="H281" s="76" t="s">
        <v>506</v>
      </c>
      <c r="I281" s="76">
        <v>300</v>
      </c>
      <c r="J281" s="76">
        <v>300</v>
      </c>
      <c r="K281" s="76">
        <v>300</v>
      </c>
      <c r="L281" s="81">
        <v>7.7899999999999991</v>
      </c>
      <c r="M281" s="81">
        <v>7.7899999999999991</v>
      </c>
      <c r="N281" s="81">
        <v>4.51</v>
      </c>
      <c r="P281" s="75">
        <f t="shared" si="13"/>
        <v>1.163916851728064E-2</v>
      </c>
    </row>
    <row r="282" spans="1:16" ht="21">
      <c r="A282" s="88">
        <v>0.57989073631813981</v>
      </c>
      <c r="B282" s="88">
        <v>1.0788359032234938</v>
      </c>
      <c r="C282" s="88">
        <v>0.55576214475571517</v>
      </c>
      <c r="D282" s="88">
        <v>1.5093980321271014</v>
      </c>
      <c r="E282" s="90">
        <v>0.3</v>
      </c>
      <c r="F282" s="90">
        <f t="shared" si="12"/>
        <v>0.88835673589373476</v>
      </c>
      <c r="G282" s="15" t="s">
        <v>616</v>
      </c>
      <c r="H282" s="76" t="s">
        <v>507</v>
      </c>
      <c r="I282" s="76">
        <v>300</v>
      </c>
      <c r="J282" s="76">
        <v>300</v>
      </c>
      <c r="K282" s="76">
        <v>300</v>
      </c>
      <c r="L282" s="78">
        <v>5.7</v>
      </c>
      <c r="M282" s="78">
        <v>5.7</v>
      </c>
      <c r="N282" s="78">
        <v>3.3</v>
      </c>
      <c r="P282" s="88">
        <f t="shared" si="13"/>
        <v>0.52307375846777859</v>
      </c>
    </row>
    <row r="283" spans="1:16" ht="21">
      <c r="A283" s="88">
        <v>0.57989073631813981</v>
      </c>
      <c r="B283" s="88">
        <v>0.93465244226250221</v>
      </c>
      <c r="C283" s="88">
        <v>0.51130565892707658</v>
      </c>
      <c r="D283" s="88">
        <v>1.5093980321271014</v>
      </c>
      <c r="E283" s="90">
        <v>0.5</v>
      </c>
      <c r="F283" s="90">
        <f t="shared" si="12"/>
        <v>0.94337482669613137</v>
      </c>
      <c r="G283" s="15" t="s">
        <v>617</v>
      </c>
      <c r="H283" s="76" t="s">
        <v>508</v>
      </c>
      <c r="I283" s="76">
        <v>300</v>
      </c>
      <c r="J283" s="76">
        <v>300</v>
      </c>
      <c r="K283" s="76">
        <v>300</v>
      </c>
      <c r="L283" s="78">
        <v>5.7</v>
      </c>
      <c r="M283" s="78">
        <v>5.7</v>
      </c>
      <c r="N283" s="78">
        <v>3.3</v>
      </c>
      <c r="P283" s="88">
        <f t="shared" si="13"/>
        <v>0.42334678333542564</v>
      </c>
    </row>
    <row r="284" spans="1:16" ht="21">
      <c r="A284" s="88">
        <v>0.57989073631813981</v>
      </c>
      <c r="B284" s="88">
        <v>0.74023901546435023</v>
      </c>
      <c r="C284" s="88">
        <v>0.42926404391524042</v>
      </c>
      <c r="D284" s="88">
        <v>1.5093980321271014</v>
      </c>
      <c r="E284" s="90">
        <v>0.75</v>
      </c>
      <c r="F284" s="90">
        <f t="shared" si="12"/>
        <v>1.0000146676122605</v>
      </c>
      <c r="G284" s="15" t="s">
        <v>618</v>
      </c>
      <c r="H284" s="76" t="s">
        <v>509</v>
      </c>
      <c r="I284" s="76">
        <v>300</v>
      </c>
      <c r="J284" s="76">
        <v>300</v>
      </c>
      <c r="K284" s="76">
        <v>300</v>
      </c>
      <c r="L284" s="78">
        <v>5.7</v>
      </c>
      <c r="M284" s="78">
        <v>5.7</v>
      </c>
      <c r="N284" s="78">
        <v>3.3</v>
      </c>
      <c r="P284" s="88">
        <f t="shared" si="13"/>
        <v>0.3109749715491098</v>
      </c>
    </row>
    <row r="285" spans="1:16" ht="21">
      <c r="A285" s="88">
        <v>0.57989073631813981</v>
      </c>
      <c r="B285" s="88">
        <v>0.64524468622447506</v>
      </c>
      <c r="C285" s="88">
        <v>0.35611444390204494</v>
      </c>
      <c r="D285" s="88">
        <v>1.5093980321271014</v>
      </c>
      <c r="E285" s="90">
        <v>1</v>
      </c>
      <c r="F285" s="90">
        <f t="shared" si="12"/>
        <v>0.95174144385102488</v>
      </c>
      <c r="G285" s="15" t="s">
        <v>619</v>
      </c>
      <c r="H285" s="76" t="s">
        <v>510</v>
      </c>
      <c r="I285" s="76">
        <v>300</v>
      </c>
      <c r="J285" s="76">
        <v>300</v>
      </c>
      <c r="K285" s="76">
        <v>300</v>
      </c>
      <c r="L285" s="78">
        <v>5.7</v>
      </c>
      <c r="M285" s="78">
        <v>5.7</v>
      </c>
      <c r="N285" s="78">
        <v>3.3</v>
      </c>
      <c r="P285" s="88">
        <f t="shared" si="13"/>
        <v>0.28913024232243012</v>
      </c>
    </row>
    <row r="286" spans="1:16" ht="21">
      <c r="A286" s="88">
        <v>0.57989073631813981</v>
      </c>
      <c r="B286" s="88">
        <v>0.47860450346298195</v>
      </c>
      <c r="C286" s="88">
        <v>0.27430385773822069</v>
      </c>
      <c r="D286" s="88">
        <v>1.5093980321271014</v>
      </c>
      <c r="E286" s="90">
        <v>1.33</v>
      </c>
      <c r="F286" s="90">
        <f t="shared" si="12"/>
        <v>0.98834589686798702</v>
      </c>
      <c r="G286" s="15" t="s">
        <v>620</v>
      </c>
      <c r="H286" s="76" t="s">
        <v>511</v>
      </c>
      <c r="I286" s="76">
        <v>300</v>
      </c>
      <c r="J286" s="76">
        <v>300</v>
      </c>
      <c r="K286" s="76">
        <v>300</v>
      </c>
      <c r="L286" s="78">
        <v>5.7</v>
      </c>
      <c r="M286" s="78">
        <v>5.7</v>
      </c>
      <c r="N286" s="78">
        <v>3.3</v>
      </c>
      <c r="P286" s="88">
        <f t="shared" si="13"/>
        <v>0.20430064572476125</v>
      </c>
    </row>
    <row r="287" spans="1:16" ht="21">
      <c r="A287" s="75">
        <v>0.57989073631813981</v>
      </c>
      <c r="B287" s="75">
        <v>0.32406277938969347</v>
      </c>
      <c r="C287" s="75">
        <v>0.20689965473367058</v>
      </c>
      <c r="D287" s="75">
        <v>1.5093980321271014</v>
      </c>
      <c r="E287">
        <v>1.67</v>
      </c>
      <c r="F287">
        <f t="shared" si="12"/>
        <v>1.100992707579211</v>
      </c>
      <c r="G287" s="15" t="s">
        <v>621</v>
      </c>
      <c r="H287" s="76" t="s">
        <v>512</v>
      </c>
      <c r="I287" s="76">
        <v>300</v>
      </c>
      <c r="J287" s="76">
        <v>300</v>
      </c>
      <c r="K287" s="76">
        <v>300</v>
      </c>
      <c r="L287" s="78">
        <v>5.7</v>
      </c>
      <c r="M287" s="78">
        <v>5.7</v>
      </c>
      <c r="N287" s="78">
        <v>3.3</v>
      </c>
      <c r="P287" s="75">
        <f t="shared" si="13"/>
        <v>0.11716312465602288</v>
      </c>
    </row>
    <row r="288" spans="1:16" ht="21">
      <c r="A288" s="75">
        <v>0.57989073631813981</v>
      </c>
      <c r="B288" s="75">
        <v>0.22483118510972766</v>
      </c>
      <c r="C288" s="75">
        <v>0.15733170692323223</v>
      </c>
      <c r="D288" s="75">
        <v>1.5093980321271014</v>
      </c>
      <c r="E288">
        <v>2</v>
      </c>
      <c r="F288">
        <f t="shared" si="12"/>
        <v>1.2067395141170196</v>
      </c>
      <c r="G288" s="15" t="s">
        <v>622</v>
      </c>
      <c r="H288" s="76" t="s">
        <v>513</v>
      </c>
      <c r="I288" s="76">
        <v>300</v>
      </c>
      <c r="J288" s="76">
        <v>300</v>
      </c>
      <c r="K288" s="76">
        <v>300</v>
      </c>
      <c r="L288" s="78">
        <v>5.7</v>
      </c>
      <c r="M288" s="78">
        <v>5.7</v>
      </c>
      <c r="N288" s="78">
        <v>3.3</v>
      </c>
      <c r="P288" s="75">
        <f t="shared" si="13"/>
        <v>6.7499478186495432E-2</v>
      </c>
    </row>
    <row r="289" spans="1:16" ht="21.75" thickBot="1">
      <c r="A289" s="75">
        <v>0.57989073631813981</v>
      </c>
      <c r="B289" s="75">
        <v>0.14331896647601899</v>
      </c>
      <c r="C289" s="75">
        <v>0.1079388622077927</v>
      </c>
      <c r="D289" s="75">
        <v>1.5093980321271014</v>
      </c>
      <c r="E289">
        <v>2.5</v>
      </c>
      <c r="F289">
        <f t="shared" si="12"/>
        <v>1.2987572866233759</v>
      </c>
      <c r="G289" s="42" t="s">
        <v>623</v>
      </c>
      <c r="H289" s="76" t="s">
        <v>514</v>
      </c>
      <c r="I289" s="76">
        <v>300</v>
      </c>
      <c r="J289" s="76">
        <v>300</v>
      </c>
      <c r="K289" s="76">
        <v>300</v>
      </c>
      <c r="L289" s="78">
        <v>5.7</v>
      </c>
      <c r="M289" s="78">
        <v>5.7</v>
      </c>
      <c r="N289" s="78">
        <v>3.3</v>
      </c>
      <c r="P289" s="75">
        <f t="shared" si="13"/>
        <v>3.5380104268226298E-2</v>
      </c>
    </row>
    <row r="290" spans="1:16">
      <c r="B290" s="75">
        <f>MAX(B2:B289)</f>
        <v>1.171181802391589</v>
      </c>
      <c r="P290" s="75">
        <f>MIN(P2:P289)</f>
        <v>-3.458540871808935E-2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Local and Global</vt:lpstr>
      <vt:lpstr>Global Only</vt:lpstr>
      <vt:lpstr>Global Only I</vt:lpstr>
      <vt:lpstr>HR_Local and Global</vt:lpstr>
      <vt:lpstr>HR_Global Only</vt:lpstr>
      <vt:lpstr>Sheet1</vt:lpstr>
      <vt:lpstr>Local</vt:lpstr>
      <vt:lpstr>Sheet2</vt:lpstr>
      <vt:lpstr>curves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2026-06-29T14:15:57Z</dcterms:modified>
</cp:coreProperties>
</file>