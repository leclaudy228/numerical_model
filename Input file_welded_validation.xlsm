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2A880F2D-40AD-4207-B699-FE103683A544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7" i="1" l="1"/>
  <c r="AL13" i="1"/>
  <c r="AL11" i="1"/>
  <c r="AL12" i="1"/>
  <c r="AL14" i="1"/>
  <c r="AL15" i="1"/>
  <c r="AL16" i="1"/>
  <c r="AL10" i="1"/>
  <c r="AL37" i="1"/>
  <c r="AL38" i="1"/>
  <c r="AL39" i="1"/>
  <c r="AL40" i="1"/>
  <c r="AL41" i="1"/>
  <c r="AL36" i="1"/>
  <c r="AL43" i="1"/>
  <c r="AL44" i="1"/>
  <c r="AL42" i="1"/>
  <c r="AB42" i="1"/>
  <c r="AB43" i="1"/>
  <c r="AB44" i="1"/>
  <c r="AB41" i="1"/>
  <c r="Y48" i="1"/>
  <c r="Y49" i="1"/>
  <c r="Y50" i="1"/>
  <c r="Y51" i="1"/>
  <c r="Y52" i="1"/>
  <c r="Y47" i="1"/>
  <c r="AL45" i="1"/>
  <c r="AL46" i="1"/>
  <c r="AK36" i="1"/>
  <c r="J42" i="1"/>
  <c r="J43" i="1"/>
  <c r="J44" i="1"/>
  <c r="J45" i="1"/>
  <c r="J46" i="1"/>
  <c r="G42" i="1"/>
  <c r="G43" i="1"/>
  <c r="G44" i="1"/>
  <c r="G45" i="1"/>
  <c r="G46" i="1"/>
  <c r="D42" i="1"/>
  <c r="D43" i="1"/>
  <c r="D44" i="1"/>
  <c r="D45" i="1"/>
  <c r="D46" i="1"/>
  <c r="G4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18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Y31" i="1"/>
  <c r="Z31" i="1"/>
  <c r="Y32" i="1"/>
  <c r="Z32" i="1"/>
  <c r="AB37" i="1"/>
  <c r="AB38" i="1"/>
  <c r="AB39" i="1"/>
  <c r="AB40" i="1"/>
  <c r="AB36" i="1"/>
  <c r="J41" i="1"/>
  <c r="G41" i="1"/>
  <c r="D41" i="1"/>
  <c r="J40" i="1"/>
  <c r="G40" i="1"/>
  <c r="D40" i="1"/>
  <c r="J39" i="1"/>
  <c r="G39" i="1"/>
  <c r="D39" i="1"/>
  <c r="J38" i="1"/>
  <c r="G38" i="1"/>
  <c r="D38" i="1"/>
  <c r="J37" i="1"/>
  <c r="G37" i="1"/>
  <c r="D37" i="1"/>
  <c r="J36" i="1"/>
  <c r="G36" i="1"/>
  <c r="D36" i="1"/>
  <c r="Y4" i="1"/>
  <c r="AB4" i="1"/>
  <c r="J4" i="1"/>
  <c r="D4" i="1"/>
  <c r="D5" i="1"/>
  <c r="G5" i="1"/>
  <c r="J5" i="1"/>
  <c r="V5" i="1"/>
  <c r="Y5" i="1"/>
  <c r="D6" i="1"/>
  <c r="D7" i="1"/>
  <c r="D8" i="1"/>
  <c r="D9" i="1"/>
  <c r="Y8" i="1"/>
  <c r="AB8" i="1"/>
  <c r="Y9" i="1"/>
  <c r="AB9" i="1"/>
  <c r="Z5" i="1"/>
  <c r="AC5" i="1"/>
  <c r="AB5" i="1"/>
  <c r="Z4" i="1"/>
  <c r="Y7" i="1"/>
  <c r="AB7" i="1"/>
  <c r="V7" i="1"/>
  <c r="J7" i="1"/>
  <c r="G7" i="1"/>
  <c r="Y6" i="1"/>
  <c r="U6" i="1"/>
  <c r="V6" i="1"/>
  <c r="J6" i="1"/>
  <c r="G6" i="1"/>
  <c r="AA5" i="1"/>
  <c r="AD5" i="1"/>
  <c r="Z6" i="1"/>
  <c r="AA6" i="1"/>
  <c r="AD6" i="1"/>
  <c r="AB6" i="1"/>
  <c r="AC4" i="1"/>
  <c r="AA4" i="1"/>
  <c r="AD4" i="1"/>
  <c r="Z7" i="1"/>
  <c r="AC7" i="1"/>
  <c r="U9" i="1"/>
  <c r="V9" i="1"/>
  <c r="J9" i="1"/>
  <c r="G9" i="1"/>
  <c r="U8" i="1"/>
  <c r="V8" i="1"/>
  <c r="J8" i="1"/>
  <c r="G8" i="1"/>
  <c r="AC6" i="1"/>
  <c r="AA7" i="1"/>
  <c r="AD7" i="1"/>
  <c r="Z9" i="1"/>
  <c r="AC9" i="1"/>
  <c r="Z8" i="1"/>
  <c r="AC8" i="1"/>
  <c r="AA9" i="1"/>
  <c r="AD9" i="1"/>
  <c r="AA8" i="1"/>
  <c r="AD8" i="1"/>
  <c r="Y36" i="1"/>
  <c r="Z36" i="1"/>
  <c r="Y37" i="1"/>
  <c r="Z37" i="1"/>
  <c r="Y38" i="1"/>
  <c r="Y39" i="1"/>
  <c r="Z39" i="1"/>
  <c r="AC39" i="1"/>
  <c r="Y40" i="1"/>
  <c r="Z40" i="1"/>
  <c r="Y41" i="1"/>
  <c r="Z41" i="1"/>
  <c r="Y42" i="1"/>
  <c r="Y43" i="1"/>
  <c r="Z43" i="1"/>
  <c r="AC43" i="1"/>
  <c r="Y44" i="1"/>
  <c r="Z44" i="1"/>
  <c r="Y45" i="1"/>
  <c r="AB45" i="1"/>
  <c r="Z45" i="1"/>
  <c r="AA45" i="1"/>
  <c r="AD45" i="1"/>
  <c r="Y46" i="1"/>
  <c r="AB46" i="1"/>
  <c r="AA37" i="1"/>
  <c r="AD37" i="1"/>
  <c r="AC37" i="1"/>
  <c r="AC45" i="1"/>
  <c r="AA41" i="1"/>
  <c r="AD41" i="1"/>
  <c r="AC41" i="1"/>
  <c r="AC44" i="1"/>
  <c r="AA44" i="1"/>
  <c r="AD44" i="1"/>
  <c r="AC36" i="1"/>
  <c r="AA36" i="1"/>
  <c r="AD36" i="1"/>
  <c r="AA40" i="1"/>
  <c r="AD40" i="1"/>
  <c r="AC40" i="1"/>
  <c r="Z46" i="1"/>
  <c r="AA43" i="1"/>
  <c r="AD43" i="1"/>
  <c r="Z42" i="1"/>
  <c r="AA39" i="1"/>
  <c r="AD39" i="1"/>
  <c r="Z38" i="1"/>
  <c r="V36" i="1"/>
  <c r="V37" i="1"/>
  <c r="V38" i="1"/>
  <c r="V39" i="1"/>
  <c r="V40" i="1"/>
  <c r="V41" i="1"/>
  <c r="V42" i="1"/>
  <c r="V43" i="1"/>
  <c r="V44" i="1"/>
  <c r="V45" i="1"/>
  <c r="V46" i="1"/>
  <c r="AA42" i="1"/>
  <c r="AD42" i="1"/>
  <c r="AC42" i="1"/>
  <c r="AC38" i="1"/>
  <c r="AA38" i="1"/>
  <c r="AD38" i="1"/>
  <c r="AA46" i="1"/>
  <c r="AD46" i="1"/>
  <c r="AC46" i="1"/>
</calcChain>
</file>

<file path=xl/sharedStrings.xml><?xml version="1.0" encoding="utf-8"?>
<sst xmlns="http://schemas.openxmlformats.org/spreadsheetml/2006/main" count="293" uniqueCount="150">
  <si>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</si>
  <si>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</si>
  <si>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</si>
  <si>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</si>
  <si>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</si>
  <si>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</si>
  <si>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</si>
  <si>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</si>
  <si>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</si>
  <si>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</si>
  <si>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</si>
  <si>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</si>
  <si>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</si>
  <si>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</si>
  <si>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</si>
  <si>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</si>
  <si>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</si>
  <si>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</si>
  <si>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</si>
  <si>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</si>
  <si>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</si>
  <si>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</si>
  <si>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</si>
  <si>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</si>
  <si>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</si>
  <si>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</si>
  <si>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</si>
  <si>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</si>
  <si>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</si>
  <si>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</si>
  <si>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</si>
  <si>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</si>
  <si>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</si>
  <si>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</si>
  <si>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</si>
  <si>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</si>
  <si>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</si>
  <si>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</si>
  <si>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</si>
  <si>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</si>
  <si>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</si>
  <si>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</si>
  <si>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</si>
  <si>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</si>
  <si>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</si>
  <si>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</si>
  <si>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</si>
  <si>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</si>
  <si>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</si>
  <si>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</si>
  <si>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</si>
  <si>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</si>
  <si>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</si>
  <si>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</si>
  <si>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</si>
  <si>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</si>
  <si>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</si>
  <si>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</si>
  <si>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</si>
  <si>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</si>
  <si>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</si>
  <si>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</si>
  <si>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</si>
  <si>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</si>
  <si>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</si>
  <si>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H-30-1</t>
  </si>
  <si>
    <t>H-30-2</t>
  </si>
  <si>
    <t>H-50-1</t>
  </si>
  <si>
    <t>H-50-2</t>
  </si>
  <si>
    <t>H-70-1</t>
  </si>
  <si>
    <t>H-70-2</t>
  </si>
  <si>
    <t>Ultimate strength (test result)</t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</si>
  <si>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</si>
  <si>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</si>
  <si>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</si>
  <si>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</si>
  <si>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</si>
  <si>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</si>
  <si>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</si>
  <si>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</si>
  <si>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</si>
  <si>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H-1</t>
  </si>
  <si>
    <t>H-2</t>
  </si>
  <si>
    <t>H-3</t>
  </si>
  <si>
    <t>Compression tests of welded section columns undergoing buckling interaction</t>
  </si>
  <si>
    <t>Young Bong Kwona</t>
  </si>
  <si>
    <t>SM400 (240MPa)</t>
  </si>
  <si>
    <t>Validation_Q690</t>
  </si>
  <si>
    <t>Wg</t>
  </si>
  <si>
    <t>w0</t>
  </si>
  <si>
    <t>Test_1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</si>
  <si>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</si>
  <si>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</si>
  <si>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</si>
  <si>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</si>
  <si>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</si>
  <si>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ecc</t>
  </si>
  <si>
    <t>validation 2</t>
  </si>
  <si>
    <t>validation 3</t>
  </si>
  <si>
    <t>Validation_Q1100_B100</t>
  </si>
  <si>
    <t>I-235-1</t>
  </si>
  <si>
    <t>I-235-2</t>
  </si>
  <si>
    <t>I-235-3</t>
  </si>
  <si>
    <t>I-235-4</t>
  </si>
  <si>
    <t>I-235-5</t>
  </si>
  <si>
    <t>I-235-6</t>
  </si>
  <si>
    <t>I-235-7</t>
  </si>
  <si>
    <t>I-345-1</t>
  </si>
  <si>
    <t>I-345-2</t>
  </si>
  <si>
    <t>I-345-3</t>
  </si>
  <si>
    <t>I-345-4</t>
  </si>
  <si>
    <t>I-345-5</t>
  </si>
  <si>
    <t>I-345-6</t>
  </si>
  <si>
    <t>I-345-7</t>
  </si>
  <si>
    <t>I-345-8</t>
  </si>
  <si>
    <t>w0f2</t>
  </si>
  <si>
    <t>w0w</t>
  </si>
  <si>
    <t>Validation_Q235_345</t>
  </si>
  <si>
    <t>Validation_Q235</t>
  </si>
  <si>
    <t>HSS-I1-C</t>
  </si>
  <si>
    <t>HSS-I1-C-R</t>
  </si>
  <si>
    <t>HSS-I2-C</t>
  </si>
  <si>
    <t>HYB-I3-C</t>
  </si>
  <si>
    <t>HYB-I3-C-R</t>
  </si>
  <si>
    <t>Validation_Major</t>
  </si>
  <si>
    <t>Welded steel I-section columns: Residual stresses, testing, simulation and design</t>
  </si>
  <si>
    <t>Xiang Yun</t>
  </si>
  <si>
    <t xml:space="preserve"> </t>
  </si>
  <si>
    <t>C1E10</t>
  </si>
  <si>
    <t>C1E30</t>
  </si>
  <si>
    <t>C1E60</t>
  </si>
  <si>
    <t>C2E10</t>
  </si>
  <si>
    <t>C2E30</t>
  </si>
  <si>
    <t>C2E80</t>
  </si>
  <si>
    <t>S690</t>
  </si>
  <si>
    <t>C1L1</t>
  </si>
  <si>
    <t>C1L2</t>
  </si>
  <si>
    <t>C1L3</t>
  </si>
  <si>
    <t>C1L4</t>
  </si>
  <si>
    <t>C2L1</t>
  </si>
  <si>
    <t>C2L2</t>
  </si>
  <si>
    <t>C2L3</t>
  </si>
  <si>
    <t>C2L4</t>
  </si>
  <si>
    <t>H-3-80-1</t>
  </si>
  <si>
    <t>H-3-80-2</t>
  </si>
  <si>
    <t>H-5-55-1</t>
  </si>
  <si>
    <t>H-5-55-2</t>
  </si>
  <si>
    <t>H-7-40-1</t>
  </si>
  <si>
    <t>H-7-40-2</t>
  </si>
  <si>
    <t>Validation_final_test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</si>
</sst>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2" fontId="2" fillId="0" borderId="23" xfId="0" applyNumberFormat="1" applyFont="1" applyBorder="1" applyAlignment="1">
      <alignment horizontal="center" vertic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0" fontId="2" fillId="2" borderId="22" xfId="0" applyFont="1" applyFill="1" applyBorder="1" applyAlignment="1">
      <alignment horizontal="left"/>
    </xf>
    <xf numFmtId="0" fontId="2" fillId="5" borderId="22" xfId="0" applyFont="1" applyFill="1" applyBorder="1" applyAlignment="1">
      <alignment horizontal="center"/>
    </xf>
    <xf numFmtId="2" fontId="2" fillId="0" borderId="22" xfId="0" applyNumberFormat="1" applyFont="1" applyBorder="1" applyAlignment="1">
      <alignment horizontal="center" vertical="center"/>
    </xf>
    <xf numFmtId="0" fontId="2" fillId="2" borderId="25" xfId="0" applyFont="1" applyFill="1" applyBorder="1" applyAlignment="1">
      <alignment horizontal="center"/>
    </xf>
    <xf numFmtId="2" fontId="2" fillId="0" borderId="2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2" fontId="2" fillId="0" borderId="27" xfId="0" applyNumberFormat="1" applyFont="1" applyBorder="1" applyAlignment="1">
      <alignment horizontal="center"/>
    </xf>
    <xf numFmtId="2" fontId="2" fillId="0" borderId="28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0" fontId="2" fillId="0" borderId="0" xfId="0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2" fontId="2" fillId="0" borderId="29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19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2" borderId="30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31" xfId="0" applyNumberFormat="1" applyFon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center" textRotation="90"/>
    </xf>
    <xf numFmtId="0" fontId="2" fillId="0" borderId="2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2" borderId="6" xfId="0" applyFont="1" applyFill="1" applyBorder="1" applyAlignment="1">
      <alignment horizontal="left"/>
    </xf>
    <xf numFmtId="0" fontId="2" fillId="2" borderId="32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/>
    <xf numFmtId="0" fontId="2" fillId="2" borderId="7" xfId="0" applyFont="1" applyFill="1" applyBorder="1" applyAlignment="1">
      <alignment horizontal="left"/>
    </xf>
    <xf numFmtId="164" fontId="2" fillId="0" borderId="22" xfId="0" applyNumberFormat="1" applyFont="1" applyBorder="1" applyAlignment="1">
      <alignment horizontal="center"/>
    </xf>
    <xf numFmtId="0" fontId="2" fillId="2" borderId="34" xfId="0" applyFont="1" applyFill="1" applyBorder="1" applyAlignment="1">
      <alignment horizontal="center"/>
    </xf>
    <xf numFmtId="2" fontId="2" fillId="0" borderId="13" xfId="0" applyNumberFormat="1" applyFont="1" applyBorder="1" applyAlignment="1">
      <alignment horizontal="center" vertical="center"/>
    </xf>
    <xf numFmtId="0" fontId="2" fillId="4" borderId="34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" fontId="2" fillId="0" borderId="5" xfId="0" applyNumberFormat="1" applyFont="1" applyBorder="1" applyAlignment="1">
      <alignment horizontal="center"/>
    </xf>
    <xf numFmtId="1" fontId="2" fillId="0" borderId="22" xfId="0" applyNumberFormat="1" applyFont="1" applyBorder="1" applyAlignment="1">
      <alignment horizontal="center"/>
    </xf>
    <xf numFmtId="0" fontId="2" fillId="2" borderId="34" xfId="0" applyFont="1" applyFill="1" applyBorder="1" applyAlignment="1">
      <alignment horizontal="left"/>
    </xf>
    <xf numFmtId="0" fontId="2" fillId="0" borderId="34" xfId="0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64" fontId="2" fillId="2" borderId="5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39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247650</xdr:colOff>
      <xdr:row>1</xdr:row>
      <xdr:rowOff>1019176</xdr:rowOff>
    </xdr:from>
    <xdr:to>
      <xdr:col>43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41</xdr:col>
      <xdr:colOff>285750</xdr:colOff>
      <xdr:row>5</xdr:row>
      <xdr:rowOff>133349</xdr:rowOff>
    </xdr:from>
    <xdr:to>
      <xdr:col>43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41</xdr:col>
      <xdr:colOff>304800</xdr:colOff>
      <xdr:row>9</xdr:row>
      <xdr:rowOff>104775</xdr:rowOff>
    </xdr:from>
    <xdr:to>
      <xdr:col>43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41</xdr:col>
      <xdr:colOff>222250</xdr:colOff>
      <xdr:row>1</xdr:row>
      <xdr:rowOff>243417</xdr:rowOff>
    </xdr:from>
    <xdr:to>
      <xdr:col>43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"/>
  <sheetViews>
    <sheetView workbookViewId="0">
      <selection activeCell="B26" sqref="B26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5" max="15" width="16.42578125" bestFit="1" customWidth="1"/>
  </cols>
  <sheetData>
    <row r="1" spans="1:15" ht="18.75" x14ac:dyDescent="0.3">
      <c r="A1" s="127" t="s">
        <v>36</v>
      </c>
      <c r="B1" s="128"/>
      <c r="C1" s="129"/>
    </row>
    <row r="2" spans="1:15" x14ac:dyDescent="0.25">
      <c r="A2" s="7"/>
      <c r="B2" s="6"/>
      <c r="C2" s="8"/>
      <c r="E2" t="s">
        <v>94</v>
      </c>
      <c r="H2" s="5" t="s">
        <v>95</v>
      </c>
      <c r="J2" s="5" t="s">
        <v>99</v>
      </c>
      <c r="L2" t="s">
        <v>117</v>
      </c>
    </row>
    <row r="3" spans="1:15" x14ac:dyDescent="0.25">
      <c r="A3" s="9" t="s">
        <v>29</v>
      </c>
      <c r="B3" s="5" t="s">
        <v>149</v>
      </c>
      <c r="C3" s="8"/>
      <c r="E3" s="5" t="s">
        <v>87</v>
      </c>
      <c r="L3" s="5" t="s">
        <v>118</v>
      </c>
    </row>
    <row r="4" spans="1:15" x14ac:dyDescent="0.25">
      <c r="A4" s="9" t="s">
        <v>34</v>
      </c>
      <c r="B4" s="5" t="s">
        <v>90</v>
      </c>
      <c r="C4" s="8"/>
    </row>
    <row r="5" spans="1:15" x14ac:dyDescent="0.25">
      <c r="A5" s="9"/>
      <c r="B5" s="6"/>
      <c r="C5" s="8"/>
    </row>
    <row r="6" spans="1:15" ht="18.75" x14ac:dyDescent="0.3">
      <c r="A6" s="130" t="s">
        <v>37</v>
      </c>
      <c r="B6" s="131"/>
      <c r="C6" s="132"/>
    </row>
    <row r="7" spans="1:15" x14ac:dyDescent="0.25">
      <c r="A7" s="7"/>
      <c r="B7" s="6"/>
      <c r="C7" s="8"/>
      <c r="J7" t="s">
        <v>97</v>
      </c>
      <c r="L7" t="s">
        <v>98</v>
      </c>
      <c r="N7">
        <v>1</v>
      </c>
      <c r="O7" s="5" t="s">
        <v>124</v>
      </c>
    </row>
    <row r="8" spans="1:15" x14ac:dyDescent="0.25">
      <c r="A8" s="9" t="s">
        <v>30</v>
      </c>
      <c r="B8" s="3">
        <v>0.5</v>
      </c>
      <c r="C8" s="8"/>
      <c r="E8">
        <v>0.1</v>
      </c>
      <c r="F8" s="72">
        <v>0.1</v>
      </c>
      <c r="H8">
        <v>0.5</v>
      </c>
      <c r="J8" s="3">
        <v>5.0000000000000001E-3</v>
      </c>
      <c r="L8" s="3">
        <v>0.1</v>
      </c>
      <c r="N8">
        <v>2</v>
      </c>
      <c r="O8" t="s">
        <v>127</v>
      </c>
    </row>
    <row r="9" spans="1:15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5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J10" s="3">
        <v>0.01</v>
      </c>
      <c r="L10" s="3">
        <v>1.0000000000000001E-15</v>
      </c>
    </row>
    <row r="11" spans="1:15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</row>
    <row r="12" spans="1:15" x14ac:dyDescent="0.25">
      <c r="A12" s="9" t="s">
        <v>42</v>
      </c>
      <c r="B12" s="3">
        <v>150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5" x14ac:dyDescent="0.25">
      <c r="A13" s="7"/>
      <c r="B13" s="6"/>
      <c r="C13" s="8"/>
    </row>
    <row r="14" spans="1:15" ht="18.75" x14ac:dyDescent="0.3">
      <c r="A14" s="130" t="s">
        <v>38</v>
      </c>
      <c r="B14" s="131"/>
      <c r="C14" s="132"/>
    </row>
    <row r="15" spans="1:15" x14ac:dyDescent="0.25">
      <c r="A15" s="7"/>
      <c r="B15" s="6"/>
      <c r="C15" s="8"/>
    </row>
    <row r="16" spans="1:15" x14ac:dyDescent="0.25">
      <c r="A16" s="9" t="s">
        <v>39</v>
      </c>
      <c r="B16" s="3">
        <v>10</v>
      </c>
      <c r="C16" s="8"/>
      <c r="E16">
        <v>25</v>
      </c>
      <c r="F16">
        <v>15</v>
      </c>
    </row>
    <row r="17" spans="1:6" x14ac:dyDescent="0.25">
      <c r="A17" s="9" t="s">
        <v>40</v>
      </c>
      <c r="B17" s="3">
        <v>10</v>
      </c>
      <c r="C17" s="8"/>
      <c r="E17">
        <v>25</v>
      </c>
      <c r="F17">
        <v>15</v>
      </c>
    </row>
    <row r="18" spans="1:6" x14ac:dyDescent="0.25">
      <c r="A18" s="7"/>
      <c r="B18" s="6"/>
      <c r="C18" s="8"/>
    </row>
    <row r="19" spans="1:6" x14ac:dyDescent="0.25">
      <c r="A19" s="7"/>
      <c r="B19" s="6"/>
      <c r="C19" s="8"/>
    </row>
    <row r="20" spans="1:6" x14ac:dyDescent="0.25">
      <c r="A20" s="7"/>
      <c r="B20" s="6"/>
      <c r="C20" s="8"/>
    </row>
    <row r="21" spans="1:6" x14ac:dyDescent="0.25">
      <c r="A21" s="7"/>
      <c r="B21" s="6"/>
      <c r="C21" s="8"/>
    </row>
    <row r="22" spans="1:6" ht="15.75" thickBot="1" x14ac:dyDescent="0.3">
      <c r="A22" s="10"/>
      <c r="B22" s="11"/>
      <c r="C22" s="12"/>
    </row>
    <row r="23" spans="1:6" x14ac:dyDescent="0.25">
      <c r="A23" s="6"/>
      <c r="B23" s="6"/>
      <c r="C23" s="6"/>
    </row>
    <row r="24" spans="1:6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E351"/>
  <sheetViews>
    <sheetView tabSelected="1" topLeftCell="AJ1" zoomScale="90" zoomScaleNormal="90" workbookViewId="0">
      <pane ySplit="3" topLeftCell="A6" activePane="bottomLeft" state="frozen"/>
      <selection pane="bottomLeft" activeCell="AV21" sqref="AV21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8.42578125" style="1" customWidth="1"/>
    <col min="6" max="6" width="8.85546875" style="1" bestFit="1" customWidth="1"/>
    <col min="7" max="10" width="8.42578125" style="1" customWidth="1"/>
    <col min="11" max="11" width="11.42578125" bestFit="1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4" customWidth="1"/>
    <col min="21" max="21" width="13.42578125" style="48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2" width="8.42578125" customWidth="1"/>
    <col min="33" max="33" width="13.7109375" customWidth="1"/>
    <col min="34" max="35" width="12" bestFit="1" customWidth="1"/>
    <col min="36" max="37" width="13" customWidth="1"/>
    <col min="38" max="38" width="11.28515625" customWidth="1"/>
    <col min="39" max="41" width="9.5703125" customWidth="1"/>
    <col min="53" max="53" width="18" bestFit="1" customWidth="1"/>
    <col min="54" max="54" width="45.42578125" bestFit="1" customWidth="1"/>
    <col min="55" max="55" width="11.42578125" style="2"/>
    <col min="56" max="56" width="16.140625" bestFit="1" customWidth="1"/>
  </cols>
  <sheetData>
    <row r="1" spans="1:57" ht="24" customHeight="1" x14ac:dyDescent="0.35">
      <c r="A1" s="17"/>
      <c r="B1" s="18"/>
      <c r="C1" s="118" t="s">
        <v>26</v>
      </c>
      <c r="D1" s="119"/>
      <c r="E1" s="119"/>
      <c r="F1" s="119"/>
      <c r="G1" s="119"/>
      <c r="H1" s="119"/>
      <c r="I1" s="119"/>
      <c r="J1" s="119"/>
      <c r="K1" s="120"/>
      <c r="L1" s="117" t="s">
        <v>25</v>
      </c>
      <c r="M1" s="117"/>
      <c r="N1" s="117"/>
      <c r="O1" s="117"/>
      <c r="P1" s="117"/>
      <c r="Q1" s="117"/>
      <c r="R1" s="117"/>
      <c r="S1" s="117"/>
      <c r="T1" s="40" t="s">
        <v>27</v>
      </c>
      <c r="U1" s="118" t="s">
        <v>17</v>
      </c>
      <c r="V1" s="119"/>
      <c r="W1" s="119"/>
      <c r="X1" s="119"/>
      <c r="Y1" s="119"/>
      <c r="Z1" s="119"/>
      <c r="AA1" s="119"/>
      <c r="AB1" s="119"/>
      <c r="AC1" s="119"/>
      <c r="AD1" s="120"/>
      <c r="AE1" s="121" t="s">
        <v>43</v>
      </c>
      <c r="AF1" s="122"/>
      <c r="AG1" s="123"/>
      <c r="AH1" s="124" t="s">
        <v>71</v>
      </c>
      <c r="AI1" s="125"/>
      <c r="AJ1" s="126"/>
      <c r="AK1" s="68"/>
      <c r="AL1" s="68"/>
      <c r="AM1" s="68"/>
      <c r="AN1" s="68"/>
      <c r="AO1" s="68"/>
    </row>
    <row r="2" spans="1:57" ht="118.5" x14ac:dyDescent="0.25">
      <c r="A2" s="20" t="s">
        <v>0</v>
      </c>
      <c r="B2" s="20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41" t="s">
        <v>16</v>
      </c>
      <c r="U2" s="45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91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69" t="s">
        <v>88</v>
      </c>
      <c r="AL2" s="69" t="s">
        <v>89</v>
      </c>
      <c r="AM2" s="69" t="s">
        <v>96</v>
      </c>
      <c r="AN2" s="69" t="s">
        <v>115</v>
      </c>
      <c r="AO2" s="69" t="s">
        <v>116</v>
      </c>
      <c r="AX2" t="s">
        <v>54</v>
      </c>
    </row>
    <row r="3" spans="1:57" s="4" customFormat="1" ht="36.75" customHeight="1" x14ac:dyDescent="0.25">
      <c r="A3" s="27" t="s">
        <v>19</v>
      </c>
      <c r="B3" s="27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42" t="s">
        <v>19</v>
      </c>
      <c r="U3" s="46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X3" s="14" t="s">
        <v>48</v>
      </c>
      <c r="AY3" s="14">
        <v>1</v>
      </c>
      <c r="AZ3" s="14"/>
      <c r="BA3" s="14"/>
      <c r="BC3" s="14"/>
    </row>
    <row r="4" spans="1:57" s="2" customFormat="1" ht="21" x14ac:dyDescent="0.35">
      <c r="A4" s="28">
        <v>1</v>
      </c>
      <c r="B4" s="49" t="s">
        <v>65</v>
      </c>
      <c r="C4" s="28">
        <v>260.85000000000002</v>
      </c>
      <c r="D4" s="19">
        <f t="shared" ref="D4:D9" si="0">C4</f>
        <v>260.85000000000002</v>
      </c>
      <c r="E4" s="28">
        <v>259.19</v>
      </c>
      <c r="F4" s="28">
        <v>16.079999999999998</v>
      </c>
      <c r="G4" s="29">
        <f>F4</f>
        <v>16.079999999999998</v>
      </c>
      <c r="H4" s="28">
        <v>16.079999999999998</v>
      </c>
      <c r="I4" s="19">
        <v>0</v>
      </c>
      <c r="J4" s="19">
        <f t="shared" ref="J4:J9" si="1">I4</f>
        <v>0</v>
      </c>
      <c r="K4" s="19">
        <v>1701</v>
      </c>
      <c r="L4" s="19">
        <v>0</v>
      </c>
      <c r="M4" s="19">
        <v>10</v>
      </c>
      <c r="N4" s="19">
        <v>20</v>
      </c>
      <c r="O4" s="19">
        <v>30</v>
      </c>
      <c r="P4" s="28">
        <v>200</v>
      </c>
      <c r="Q4" s="19">
        <v>0</v>
      </c>
      <c r="R4" s="19">
        <v>0</v>
      </c>
      <c r="S4" s="19">
        <v>0</v>
      </c>
      <c r="T4" s="40">
        <v>3</v>
      </c>
      <c r="U4" s="47" t="s">
        <v>48</v>
      </c>
      <c r="V4" s="19">
        <v>1</v>
      </c>
      <c r="W4" s="28">
        <v>1</v>
      </c>
      <c r="X4" s="28">
        <v>0</v>
      </c>
      <c r="Y4" s="19">
        <f t="shared" ref="Y4:Y32" si="2">W4</f>
        <v>1</v>
      </c>
      <c r="Z4" s="19">
        <f t="shared" ref="Z4:Z32" si="3">IF(X4=90,0,(1-Y4)/(TAN(X4/180*PI())+1))</f>
        <v>0</v>
      </c>
      <c r="AA4" s="19">
        <f t="shared" ref="AA4:AA9" si="4">IF(X4=90,1-W4,Z4*TAN(X4/180*PI()))</f>
        <v>0</v>
      </c>
      <c r="AB4" s="29">
        <f t="shared" ref="AB4:AB9" si="5">Y4*AH4/5</f>
        <v>1698.6</v>
      </c>
      <c r="AC4" s="29">
        <f t="shared" ref="AC4:AD9" si="6">Z4*AI4/3.5</f>
        <v>0</v>
      </c>
      <c r="AD4" s="29">
        <f t="shared" si="6"/>
        <v>0</v>
      </c>
      <c r="AE4" s="28">
        <v>20</v>
      </c>
      <c r="AF4" s="28">
        <v>772</v>
      </c>
      <c r="AG4" s="28">
        <v>233500</v>
      </c>
      <c r="AH4" s="29">
        <v>8493</v>
      </c>
      <c r="AI4" s="29">
        <v>0</v>
      </c>
      <c r="AJ4" s="30">
        <v>0</v>
      </c>
      <c r="AK4" s="70">
        <v>0.99</v>
      </c>
      <c r="AL4" s="75">
        <v>0</v>
      </c>
      <c r="AM4" s="75"/>
      <c r="AN4" s="75"/>
      <c r="AO4" s="75"/>
      <c r="AT4" s="15"/>
      <c r="AU4" s="15"/>
      <c r="AV4" s="16"/>
      <c r="AX4" s="2" t="s">
        <v>49</v>
      </c>
      <c r="AY4" s="2">
        <v>2</v>
      </c>
      <c r="BA4" s="65" t="s">
        <v>73</v>
      </c>
      <c r="BB4" s="65" t="s">
        <v>72</v>
      </c>
      <c r="BC4" s="66">
        <v>2016</v>
      </c>
      <c r="BD4" s="65" t="s">
        <v>76</v>
      </c>
      <c r="BE4" s="66">
        <v>53</v>
      </c>
    </row>
    <row r="5" spans="1:57" ht="21" x14ac:dyDescent="0.35">
      <c r="A5" s="28">
        <v>2</v>
      </c>
      <c r="B5" s="49" t="s">
        <v>66</v>
      </c>
      <c r="C5" s="28">
        <v>260.82</v>
      </c>
      <c r="D5" s="19">
        <f t="shared" si="0"/>
        <v>260.82</v>
      </c>
      <c r="E5" s="28">
        <v>260.35000000000002</v>
      </c>
      <c r="F5" s="28">
        <v>16.25</v>
      </c>
      <c r="G5" s="19">
        <f t="shared" ref="G5:G9" si="7">F5</f>
        <v>16.25</v>
      </c>
      <c r="H5" s="28">
        <v>16.25</v>
      </c>
      <c r="I5" s="19">
        <v>0</v>
      </c>
      <c r="J5" s="19">
        <f t="shared" si="1"/>
        <v>0</v>
      </c>
      <c r="K5" s="19">
        <v>1700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40">
        <v>3</v>
      </c>
      <c r="U5" s="47" t="s">
        <v>48</v>
      </c>
      <c r="V5" s="19">
        <f>VLOOKUP(U5,$AX$3:$AY$9,2,FALSE)</f>
        <v>1</v>
      </c>
      <c r="W5" s="28">
        <v>1</v>
      </c>
      <c r="X5" s="28">
        <v>0</v>
      </c>
      <c r="Y5" s="19">
        <f t="shared" si="2"/>
        <v>1</v>
      </c>
      <c r="Z5" s="19">
        <f t="shared" si="3"/>
        <v>0</v>
      </c>
      <c r="AA5" s="19">
        <f t="shared" si="4"/>
        <v>0</v>
      </c>
      <c r="AB5" s="29">
        <f t="shared" si="5"/>
        <v>1798.8</v>
      </c>
      <c r="AC5" s="29">
        <f t="shared" si="6"/>
        <v>0</v>
      </c>
      <c r="AD5" s="29">
        <f t="shared" si="6"/>
        <v>0</v>
      </c>
      <c r="AE5" s="28">
        <v>20</v>
      </c>
      <c r="AF5" s="28">
        <v>772</v>
      </c>
      <c r="AG5" s="28">
        <v>233500</v>
      </c>
      <c r="AH5" s="29">
        <v>8994</v>
      </c>
      <c r="AI5" s="29">
        <v>0</v>
      </c>
      <c r="AJ5" s="30">
        <v>0</v>
      </c>
      <c r="AK5" s="71">
        <v>0.6</v>
      </c>
      <c r="AL5" s="71">
        <v>0</v>
      </c>
      <c r="AM5" s="71"/>
      <c r="AN5" s="71"/>
      <c r="AO5" s="71"/>
      <c r="AR5" s="13" t="s">
        <v>41</v>
      </c>
      <c r="AS5">
        <v>6</v>
      </c>
      <c r="AT5" s="15"/>
      <c r="AU5" s="15"/>
      <c r="AV5" s="16"/>
      <c r="AX5" s="2" t="s">
        <v>47</v>
      </c>
      <c r="AY5" s="2">
        <v>3</v>
      </c>
      <c r="AZ5" s="2"/>
      <c r="BA5" t="s">
        <v>73</v>
      </c>
      <c r="BB5" t="s">
        <v>72</v>
      </c>
      <c r="BC5" s="2">
        <v>2016</v>
      </c>
    </row>
    <row r="6" spans="1:57" ht="21" x14ac:dyDescent="0.35">
      <c r="A6" s="28">
        <v>3</v>
      </c>
      <c r="B6" s="49" t="s">
        <v>67</v>
      </c>
      <c r="C6" s="28">
        <v>241.75</v>
      </c>
      <c r="D6" s="19">
        <f t="shared" si="0"/>
        <v>241.75</v>
      </c>
      <c r="E6" s="28">
        <v>236.3</v>
      </c>
      <c r="F6" s="28">
        <v>16.03</v>
      </c>
      <c r="G6" s="19">
        <f t="shared" si="7"/>
        <v>16.03</v>
      </c>
      <c r="H6" s="28">
        <v>16.03</v>
      </c>
      <c r="I6" s="19">
        <v>0</v>
      </c>
      <c r="J6" s="19">
        <f t="shared" si="1"/>
        <v>0</v>
      </c>
      <c r="K6" s="19">
        <v>2602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40">
        <v>3</v>
      </c>
      <c r="U6" s="47" t="str">
        <f>IF(W6=1,"N",IF(AND(W6=0,X6=0),"My",IF(AND(W6=0,X6=90),"Mz",IF(W6=0,"My+Mz",IF(X6=0,"N+My",IF(X6=90,"N+Mz","N+My+Mz"))))))</f>
        <v>N</v>
      </c>
      <c r="V6" s="19">
        <f>VLOOKUP(U6,$AX$3:$AY$9,2,FALSE)</f>
        <v>1</v>
      </c>
      <c r="W6" s="28">
        <v>1</v>
      </c>
      <c r="X6" s="28">
        <v>0</v>
      </c>
      <c r="Y6" s="19">
        <f t="shared" si="2"/>
        <v>1</v>
      </c>
      <c r="Z6" s="19">
        <f t="shared" si="3"/>
        <v>0</v>
      </c>
      <c r="AA6" s="19">
        <f t="shared" si="4"/>
        <v>0</v>
      </c>
      <c r="AB6" s="29">
        <f t="shared" si="5"/>
        <v>1441.4</v>
      </c>
      <c r="AC6" s="29">
        <f t="shared" si="6"/>
        <v>0</v>
      </c>
      <c r="AD6" s="29">
        <f t="shared" si="6"/>
        <v>0</v>
      </c>
      <c r="AE6" s="28">
        <v>20</v>
      </c>
      <c r="AF6" s="28">
        <v>772</v>
      </c>
      <c r="AG6" s="28">
        <v>233500</v>
      </c>
      <c r="AH6" s="29">
        <v>7207</v>
      </c>
      <c r="AI6" s="29">
        <v>0</v>
      </c>
      <c r="AJ6" s="30">
        <v>0</v>
      </c>
      <c r="AK6" s="71">
        <v>0.17</v>
      </c>
      <c r="AL6" s="71">
        <v>0</v>
      </c>
      <c r="AM6" s="71"/>
      <c r="AN6" s="71"/>
      <c r="AO6" s="71"/>
      <c r="AT6" s="15"/>
      <c r="AU6" s="15"/>
      <c r="AV6" s="16"/>
      <c r="AX6" s="2" t="s">
        <v>60</v>
      </c>
      <c r="AY6" s="2">
        <v>4</v>
      </c>
      <c r="AZ6" s="2"/>
      <c r="BA6" t="s">
        <v>73</v>
      </c>
      <c r="BB6" t="s">
        <v>72</v>
      </c>
      <c r="BC6" s="2">
        <v>2016</v>
      </c>
    </row>
    <row r="7" spans="1:57" ht="21" x14ac:dyDescent="0.35">
      <c r="A7" s="28">
        <v>4</v>
      </c>
      <c r="B7" s="49" t="s">
        <v>68</v>
      </c>
      <c r="C7" s="28">
        <v>240.47</v>
      </c>
      <c r="D7" s="19">
        <f t="shared" si="0"/>
        <v>240.47</v>
      </c>
      <c r="E7" s="28">
        <v>238.15</v>
      </c>
      <c r="F7" s="28">
        <v>16.16</v>
      </c>
      <c r="G7" s="19">
        <f t="shared" si="7"/>
        <v>16.16</v>
      </c>
      <c r="H7" s="28">
        <v>16.16</v>
      </c>
      <c r="I7" s="19">
        <v>0</v>
      </c>
      <c r="J7" s="19">
        <f t="shared" si="1"/>
        <v>0</v>
      </c>
      <c r="K7" s="19">
        <v>2601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40">
        <v>3</v>
      </c>
      <c r="U7" s="47" t="s">
        <v>48</v>
      </c>
      <c r="V7" s="19">
        <f>VLOOKUP(U7,$AX$3:$AY$9,2,FALSE)</f>
        <v>1</v>
      </c>
      <c r="W7" s="28">
        <v>1</v>
      </c>
      <c r="X7" s="28">
        <v>0</v>
      </c>
      <c r="Y7" s="19">
        <f t="shared" si="2"/>
        <v>1</v>
      </c>
      <c r="Z7" s="19">
        <f t="shared" si="3"/>
        <v>0</v>
      </c>
      <c r="AA7" s="19">
        <f t="shared" si="4"/>
        <v>0</v>
      </c>
      <c r="AB7" s="29">
        <f t="shared" si="5"/>
        <v>1424.9</v>
      </c>
      <c r="AC7" s="29">
        <f t="shared" si="6"/>
        <v>0</v>
      </c>
      <c r="AD7" s="29">
        <f t="shared" si="6"/>
        <v>0</v>
      </c>
      <c r="AE7" s="28">
        <v>20</v>
      </c>
      <c r="AF7" s="28">
        <v>772</v>
      </c>
      <c r="AG7" s="28">
        <v>233500</v>
      </c>
      <c r="AH7" s="29">
        <v>7124.5</v>
      </c>
      <c r="AI7" s="29">
        <v>0</v>
      </c>
      <c r="AJ7" s="30">
        <v>0</v>
      </c>
      <c r="AK7" s="71">
        <v>0.34</v>
      </c>
      <c r="AL7" s="71">
        <v>0</v>
      </c>
      <c r="AM7" s="71"/>
      <c r="AN7" s="71"/>
      <c r="AO7" s="71"/>
      <c r="AT7" s="15"/>
      <c r="AU7" s="15"/>
      <c r="AV7" s="16"/>
      <c r="AX7" s="2" t="s">
        <v>61</v>
      </c>
      <c r="AY7" s="2">
        <v>5</v>
      </c>
      <c r="AZ7" s="2"/>
      <c r="BA7" t="s">
        <v>73</v>
      </c>
      <c r="BB7" t="s">
        <v>72</v>
      </c>
      <c r="BC7" s="2">
        <v>2016</v>
      </c>
    </row>
    <row r="8" spans="1:57" ht="20.25" customHeight="1" x14ac:dyDescent="0.35">
      <c r="A8" s="28">
        <v>5</v>
      </c>
      <c r="B8" s="49" t="s">
        <v>69</v>
      </c>
      <c r="C8" s="28">
        <v>209.21</v>
      </c>
      <c r="D8" s="19">
        <f t="shared" si="0"/>
        <v>209.21</v>
      </c>
      <c r="E8" s="28">
        <v>204.78</v>
      </c>
      <c r="F8" s="28">
        <v>16.260000000000002</v>
      </c>
      <c r="G8" s="19">
        <f t="shared" si="7"/>
        <v>16.260000000000002</v>
      </c>
      <c r="H8" s="28">
        <v>16.260000000000002</v>
      </c>
      <c r="I8" s="19">
        <v>0</v>
      </c>
      <c r="J8" s="19">
        <f t="shared" si="1"/>
        <v>0</v>
      </c>
      <c r="K8" s="19">
        <v>3201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40">
        <v>3</v>
      </c>
      <c r="U8" s="47" t="str">
        <f>IF(W8=1,"N",IF(AND(W8=0,X8=0),"My",IF(AND(W8=0,X8=90),"Mz",IF(W8=0,"My+Mz",IF(X8=0,"N+My",IF(X8=90,"N+Mz","N+My+Mz"))))))</f>
        <v>N</v>
      </c>
      <c r="V8" s="19">
        <f>VLOOKUP(U8,$AX$3:$AY$9,2,FALSE)</f>
        <v>1</v>
      </c>
      <c r="W8" s="28">
        <v>1</v>
      </c>
      <c r="X8" s="28">
        <v>0</v>
      </c>
      <c r="Y8" s="19">
        <f t="shared" si="2"/>
        <v>1</v>
      </c>
      <c r="Z8" s="19">
        <f t="shared" si="3"/>
        <v>0</v>
      </c>
      <c r="AA8" s="19">
        <f t="shared" si="4"/>
        <v>0</v>
      </c>
      <c r="AB8" s="29">
        <f t="shared" si="5"/>
        <v>607.79999999999995</v>
      </c>
      <c r="AC8" s="29">
        <f t="shared" si="6"/>
        <v>0</v>
      </c>
      <c r="AD8" s="29">
        <f t="shared" si="6"/>
        <v>0</v>
      </c>
      <c r="AE8" s="28">
        <v>20</v>
      </c>
      <c r="AF8" s="28">
        <v>772</v>
      </c>
      <c r="AG8" s="28">
        <v>233500</v>
      </c>
      <c r="AH8" s="29">
        <v>3039</v>
      </c>
      <c r="AI8" s="29">
        <v>0</v>
      </c>
      <c r="AJ8" s="30">
        <v>0</v>
      </c>
      <c r="AK8" s="71">
        <v>0.8</v>
      </c>
      <c r="AL8" s="71">
        <v>0</v>
      </c>
      <c r="AM8" s="71"/>
      <c r="AN8" s="71"/>
      <c r="AO8" s="71"/>
      <c r="AT8" s="15"/>
      <c r="AU8" s="15"/>
      <c r="AV8" s="16"/>
      <c r="AX8" s="2" t="s">
        <v>62</v>
      </c>
      <c r="AY8" s="2">
        <v>6</v>
      </c>
      <c r="AZ8" s="2"/>
      <c r="BA8" t="s">
        <v>73</v>
      </c>
      <c r="BB8" t="s">
        <v>72</v>
      </c>
      <c r="BC8" s="2">
        <v>2016</v>
      </c>
    </row>
    <row r="9" spans="1:57" ht="21.75" thickBot="1" x14ac:dyDescent="0.4">
      <c r="A9" s="34">
        <v>6</v>
      </c>
      <c r="B9" s="57" t="s">
        <v>70</v>
      </c>
      <c r="C9" s="34">
        <v>209.38</v>
      </c>
      <c r="D9" s="35">
        <f t="shared" si="0"/>
        <v>209.38</v>
      </c>
      <c r="E9" s="34">
        <v>205.24</v>
      </c>
      <c r="F9" s="34">
        <v>16.239999999999998</v>
      </c>
      <c r="G9" s="35">
        <f t="shared" si="7"/>
        <v>16.239999999999998</v>
      </c>
      <c r="H9" s="34">
        <v>16.239999999999998</v>
      </c>
      <c r="I9" s="35">
        <v>0</v>
      </c>
      <c r="J9" s="35">
        <f t="shared" si="1"/>
        <v>0</v>
      </c>
      <c r="K9" s="35">
        <v>3202</v>
      </c>
      <c r="L9" s="35">
        <v>0</v>
      </c>
      <c r="M9" s="35">
        <v>1</v>
      </c>
      <c r="N9" s="35">
        <v>2</v>
      </c>
      <c r="O9" s="35">
        <v>3</v>
      </c>
      <c r="P9" s="34">
        <v>200</v>
      </c>
      <c r="Q9" s="35">
        <v>0</v>
      </c>
      <c r="R9" s="35">
        <v>0</v>
      </c>
      <c r="S9" s="35">
        <v>0</v>
      </c>
      <c r="T9" s="43">
        <v>3</v>
      </c>
      <c r="U9" s="58" t="str">
        <f>IF(W9=1,"N",IF(AND(W9=0,X9=0),"My",IF(AND(W9=0,X9=90),"Mz",IF(W9=0,"My+Mz",IF(X9=0,"N+My",IF(X9=90,"N+Mz","N+My+Mz"))))))</f>
        <v>N</v>
      </c>
      <c r="V9" s="35">
        <f>VLOOKUP(U9,$AX$3:$AY$9,2,FALSE)</f>
        <v>1</v>
      </c>
      <c r="W9" s="34">
        <v>1</v>
      </c>
      <c r="X9" s="34">
        <v>0</v>
      </c>
      <c r="Y9" s="35">
        <f t="shared" si="2"/>
        <v>1</v>
      </c>
      <c r="Z9" s="35">
        <f t="shared" si="3"/>
        <v>0</v>
      </c>
      <c r="AA9" s="35">
        <f t="shared" si="4"/>
        <v>0</v>
      </c>
      <c r="AB9" s="36">
        <f t="shared" si="5"/>
        <v>738</v>
      </c>
      <c r="AC9" s="36">
        <f t="shared" si="6"/>
        <v>0</v>
      </c>
      <c r="AD9" s="36">
        <f t="shared" si="6"/>
        <v>0</v>
      </c>
      <c r="AE9" s="28">
        <v>20</v>
      </c>
      <c r="AF9" s="34">
        <v>772</v>
      </c>
      <c r="AG9" s="34">
        <v>233500</v>
      </c>
      <c r="AH9" s="36">
        <v>3690</v>
      </c>
      <c r="AI9" s="36">
        <v>0</v>
      </c>
      <c r="AJ9" s="59">
        <v>0</v>
      </c>
      <c r="AK9" s="74">
        <v>1.5</v>
      </c>
      <c r="AL9" s="73">
        <v>0</v>
      </c>
      <c r="AM9" s="71"/>
      <c r="AN9" s="71"/>
      <c r="AO9" s="71"/>
      <c r="AT9" s="15"/>
      <c r="AU9" s="15"/>
      <c r="AV9" s="16"/>
      <c r="AX9" s="2" t="s">
        <v>63</v>
      </c>
      <c r="AY9" s="2">
        <v>7</v>
      </c>
      <c r="AZ9" s="2"/>
      <c r="BA9" t="s">
        <v>73</v>
      </c>
      <c r="BB9" t="s">
        <v>72</v>
      </c>
      <c r="BC9" s="2">
        <v>2016</v>
      </c>
    </row>
    <row r="10" spans="1:57" ht="21" x14ac:dyDescent="0.35">
      <c r="A10" s="50">
        <v>7</v>
      </c>
      <c r="B10" s="51" t="s">
        <v>135</v>
      </c>
      <c r="C10" s="50">
        <v>80.14</v>
      </c>
      <c r="D10" s="52">
        <v>80.14</v>
      </c>
      <c r="E10" s="50">
        <v>80.12</v>
      </c>
      <c r="F10" s="50">
        <v>6.24</v>
      </c>
      <c r="G10" s="52">
        <v>6.24</v>
      </c>
      <c r="H10" s="50">
        <v>6.24</v>
      </c>
      <c r="I10" s="52">
        <v>0</v>
      </c>
      <c r="J10" s="52">
        <v>0</v>
      </c>
      <c r="K10" s="52">
        <v>750</v>
      </c>
      <c r="L10" s="52">
        <v>0</v>
      </c>
      <c r="M10" s="52">
        <v>1</v>
      </c>
      <c r="N10" s="52">
        <v>2</v>
      </c>
      <c r="O10" s="52">
        <v>3</v>
      </c>
      <c r="P10" s="50">
        <v>200</v>
      </c>
      <c r="Q10" s="52">
        <v>0</v>
      </c>
      <c r="R10" s="52">
        <v>0</v>
      </c>
      <c r="S10" s="52">
        <v>0</v>
      </c>
      <c r="T10" s="53">
        <v>3</v>
      </c>
      <c r="U10" s="54" t="s">
        <v>48</v>
      </c>
      <c r="V10" s="52">
        <v>1</v>
      </c>
      <c r="W10" s="50">
        <v>1</v>
      </c>
      <c r="X10" s="50">
        <v>0</v>
      </c>
      <c r="Y10" s="52">
        <f t="shared" si="2"/>
        <v>1</v>
      </c>
      <c r="Z10" s="52">
        <f t="shared" si="3"/>
        <v>0</v>
      </c>
      <c r="AA10" s="52">
        <v>0</v>
      </c>
      <c r="AB10" s="55">
        <v>261.60000000000002</v>
      </c>
      <c r="AC10" s="55">
        <v>0</v>
      </c>
      <c r="AD10" s="55">
        <v>0</v>
      </c>
      <c r="AE10" s="28">
        <v>20</v>
      </c>
      <c r="AF10" s="50">
        <v>1186.9000000000001</v>
      </c>
      <c r="AG10" s="50">
        <v>197100</v>
      </c>
      <c r="AH10" s="55">
        <v>915.6</v>
      </c>
      <c r="AI10" s="55">
        <v>0</v>
      </c>
      <c r="AJ10" s="56">
        <v>0</v>
      </c>
      <c r="AK10" s="71">
        <v>1.39</v>
      </c>
      <c r="AL10" s="71">
        <f>C10/100</f>
        <v>0.8014</v>
      </c>
      <c r="AM10" s="71">
        <v>0</v>
      </c>
      <c r="AN10" s="71"/>
      <c r="AO10" s="71"/>
      <c r="AT10" s="15"/>
      <c r="AU10" s="15"/>
      <c r="AV10" s="16"/>
      <c r="BA10" s="65" t="s">
        <v>80</v>
      </c>
      <c r="BB10" s="65" t="s">
        <v>79</v>
      </c>
      <c r="BC10" s="66">
        <v>2024</v>
      </c>
      <c r="BD10" s="65" t="s">
        <v>78</v>
      </c>
      <c r="BE10" s="65">
        <v>49</v>
      </c>
    </row>
    <row r="11" spans="1:57" ht="21" x14ac:dyDescent="0.35">
      <c r="A11" s="28">
        <v>8</v>
      </c>
      <c r="B11" s="51" t="s">
        <v>136</v>
      </c>
      <c r="C11" s="28">
        <v>80.02</v>
      </c>
      <c r="D11" s="19">
        <v>80.02</v>
      </c>
      <c r="E11" s="28">
        <v>80.06</v>
      </c>
      <c r="F11" s="28">
        <v>6.16</v>
      </c>
      <c r="G11" s="19">
        <v>6.16</v>
      </c>
      <c r="H11" s="28">
        <v>6.16</v>
      </c>
      <c r="I11" s="19">
        <v>0</v>
      </c>
      <c r="J11" s="19">
        <v>0</v>
      </c>
      <c r="K11" s="19">
        <v>1000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40">
        <v>3</v>
      </c>
      <c r="U11" s="47" t="s">
        <v>48</v>
      </c>
      <c r="V11" s="19">
        <v>1</v>
      </c>
      <c r="W11" s="28">
        <v>1</v>
      </c>
      <c r="X11" s="28">
        <v>0</v>
      </c>
      <c r="Y11" s="19">
        <f t="shared" si="2"/>
        <v>1</v>
      </c>
      <c r="Z11" s="19">
        <f t="shared" si="3"/>
        <v>0</v>
      </c>
      <c r="AA11" s="19">
        <v>0</v>
      </c>
      <c r="AB11" s="29">
        <v>187.52285714285716</v>
      </c>
      <c r="AC11" s="29">
        <v>0</v>
      </c>
      <c r="AD11" s="29">
        <v>0</v>
      </c>
      <c r="AE11" s="28">
        <v>20</v>
      </c>
      <c r="AF11" s="28">
        <v>1186.9000000000001</v>
      </c>
      <c r="AG11" s="28">
        <v>197100</v>
      </c>
      <c r="AH11" s="29">
        <v>656.33</v>
      </c>
      <c r="AI11" s="29">
        <v>0</v>
      </c>
      <c r="AJ11" s="30">
        <v>0</v>
      </c>
      <c r="AK11" s="71">
        <v>1.03</v>
      </c>
      <c r="AL11" s="71">
        <f t="shared" ref="AL11:AL17" si="8">C11/100</f>
        <v>0.80019999999999991</v>
      </c>
      <c r="AM11" s="71">
        <v>0</v>
      </c>
      <c r="AN11" s="71"/>
      <c r="AO11" s="71"/>
      <c r="AT11" s="15"/>
      <c r="AU11" s="15"/>
      <c r="AV11" s="16"/>
      <c r="BA11" t="s">
        <v>80</v>
      </c>
      <c r="BB11" t="s">
        <v>79</v>
      </c>
      <c r="BC11" s="2">
        <v>2024</v>
      </c>
    </row>
    <row r="12" spans="1:57" ht="21" x14ac:dyDescent="0.35">
      <c r="A12" s="28">
        <v>9</v>
      </c>
      <c r="B12" s="51" t="s">
        <v>137</v>
      </c>
      <c r="C12" s="28">
        <v>80.2</v>
      </c>
      <c r="D12" s="19">
        <v>80.2</v>
      </c>
      <c r="E12" s="28">
        <v>80.069999999999993</v>
      </c>
      <c r="F12" s="28">
        <v>6.26</v>
      </c>
      <c r="G12" s="19">
        <v>6.26</v>
      </c>
      <c r="H12" s="28">
        <v>6.26</v>
      </c>
      <c r="I12" s="19">
        <v>0</v>
      </c>
      <c r="J12" s="19">
        <v>0</v>
      </c>
      <c r="K12" s="19">
        <v>1500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40">
        <v>3</v>
      </c>
      <c r="U12" s="47" t="s">
        <v>48</v>
      </c>
      <c r="V12" s="19">
        <v>1</v>
      </c>
      <c r="W12" s="50">
        <v>1</v>
      </c>
      <c r="X12" s="28">
        <v>0</v>
      </c>
      <c r="Y12" s="19">
        <f t="shared" si="2"/>
        <v>1</v>
      </c>
      <c r="Z12" s="19">
        <f t="shared" si="3"/>
        <v>0</v>
      </c>
      <c r="AA12" s="19">
        <v>0</v>
      </c>
      <c r="AB12" s="29">
        <v>98.625714285714281</v>
      </c>
      <c r="AC12" s="29">
        <v>0</v>
      </c>
      <c r="AD12" s="29">
        <v>0</v>
      </c>
      <c r="AE12" s="28">
        <v>20</v>
      </c>
      <c r="AF12" s="28">
        <v>1186.9000000000001</v>
      </c>
      <c r="AG12" s="28">
        <v>197100</v>
      </c>
      <c r="AH12" s="29">
        <v>345.19</v>
      </c>
      <c r="AI12" s="29">
        <v>0</v>
      </c>
      <c r="AJ12" s="30">
        <v>0</v>
      </c>
      <c r="AK12" s="71">
        <v>3.01</v>
      </c>
      <c r="AL12" s="71">
        <f t="shared" si="8"/>
        <v>0.80200000000000005</v>
      </c>
      <c r="AM12" s="71">
        <v>0</v>
      </c>
      <c r="AN12" s="71"/>
      <c r="AO12" s="71"/>
      <c r="AT12" s="15"/>
      <c r="AU12" s="15"/>
      <c r="AV12" s="16"/>
      <c r="BA12" t="s">
        <v>80</v>
      </c>
      <c r="BB12" t="s">
        <v>79</v>
      </c>
      <c r="BC12" s="2">
        <v>2024</v>
      </c>
    </row>
    <row r="13" spans="1:57" ht="21.75" thickBot="1" x14ac:dyDescent="0.4">
      <c r="A13" s="28">
        <v>10</v>
      </c>
      <c r="B13" s="51" t="s">
        <v>138</v>
      </c>
      <c r="C13" s="28">
        <v>80.05</v>
      </c>
      <c r="D13" s="19">
        <v>80.05</v>
      </c>
      <c r="E13" s="28">
        <v>80.099999999999994</v>
      </c>
      <c r="F13" s="28">
        <v>6.24</v>
      </c>
      <c r="G13" s="19">
        <v>6.24</v>
      </c>
      <c r="H13" s="28">
        <v>6.24</v>
      </c>
      <c r="I13" s="19">
        <v>0</v>
      </c>
      <c r="J13" s="19">
        <v>0</v>
      </c>
      <c r="K13" s="19">
        <v>2000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40">
        <v>3</v>
      </c>
      <c r="U13" s="47" t="s">
        <v>48</v>
      </c>
      <c r="V13" s="19">
        <v>1</v>
      </c>
      <c r="W13" s="28">
        <v>1</v>
      </c>
      <c r="X13" s="28">
        <v>0</v>
      </c>
      <c r="Y13" s="19">
        <f t="shared" si="2"/>
        <v>1</v>
      </c>
      <c r="Z13" s="19">
        <f t="shared" si="3"/>
        <v>0</v>
      </c>
      <c r="AA13" s="19">
        <v>0</v>
      </c>
      <c r="AB13" s="29">
        <v>62.085714285714289</v>
      </c>
      <c r="AC13" s="29">
        <v>0</v>
      </c>
      <c r="AD13" s="29">
        <v>0</v>
      </c>
      <c r="AE13" s="28">
        <v>20</v>
      </c>
      <c r="AF13" s="28">
        <v>1186.9000000000001</v>
      </c>
      <c r="AG13" s="28">
        <v>197100</v>
      </c>
      <c r="AH13" s="29">
        <v>217.3</v>
      </c>
      <c r="AI13" s="29">
        <v>0</v>
      </c>
      <c r="AJ13" s="30">
        <v>0</v>
      </c>
      <c r="AK13" s="71">
        <v>2.2400000000000002</v>
      </c>
      <c r="AL13" s="73">
        <f>C13/300</f>
        <v>0.26683333333333331</v>
      </c>
      <c r="AM13" s="71">
        <v>0</v>
      </c>
      <c r="AN13" s="71"/>
      <c r="AO13" s="71"/>
      <c r="AT13" s="15"/>
      <c r="AU13" s="15"/>
      <c r="AV13" s="16"/>
      <c r="BA13" t="s">
        <v>80</v>
      </c>
      <c r="BB13" t="s">
        <v>79</v>
      </c>
      <c r="BC13" s="2">
        <v>2024</v>
      </c>
    </row>
    <row r="14" spans="1:57" ht="21" x14ac:dyDescent="0.35">
      <c r="A14" s="28">
        <v>11</v>
      </c>
      <c r="B14" s="49" t="s">
        <v>139</v>
      </c>
      <c r="C14" s="28">
        <v>120.12</v>
      </c>
      <c r="D14" s="19">
        <v>120.12</v>
      </c>
      <c r="E14" s="28">
        <v>120.1</v>
      </c>
      <c r="F14" s="28">
        <v>6.2</v>
      </c>
      <c r="G14" s="19">
        <v>6.2</v>
      </c>
      <c r="H14" s="28">
        <v>6.2</v>
      </c>
      <c r="I14" s="19">
        <v>0</v>
      </c>
      <c r="J14" s="19">
        <v>0</v>
      </c>
      <c r="K14" s="19">
        <v>1000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40">
        <v>3</v>
      </c>
      <c r="U14" s="47" t="s">
        <v>48</v>
      </c>
      <c r="V14" s="19">
        <v>1</v>
      </c>
      <c r="W14" s="50">
        <v>1</v>
      </c>
      <c r="X14" s="28">
        <v>0</v>
      </c>
      <c r="Y14" s="19">
        <f t="shared" si="2"/>
        <v>1</v>
      </c>
      <c r="Z14" s="19">
        <f t="shared" si="3"/>
        <v>0</v>
      </c>
      <c r="AA14" s="19">
        <v>0</v>
      </c>
      <c r="AB14" s="29">
        <v>444.80857142857138</v>
      </c>
      <c r="AC14" s="29">
        <v>0</v>
      </c>
      <c r="AD14" s="29">
        <v>0</v>
      </c>
      <c r="AE14" s="28">
        <v>20</v>
      </c>
      <c r="AF14" s="28">
        <v>1186.9000000000001</v>
      </c>
      <c r="AG14" s="28">
        <v>197100</v>
      </c>
      <c r="AH14" s="29">
        <v>1556.83</v>
      </c>
      <c r="AI14" s="29">
        <v>0</v>
      </c>
      <c r="AJ14" s="30">
        <v>0</v>
      </c>
      <c r="AK14" s="71">
        <v>1.92</v>
      </c>
      <c r="AL14" s="71">
        <f t="shared" si="8"/>
        <v>1.2012</v>
      </c>
      <c r="AM14" s="71">
        <v>0</v>
      </c>
      <c r="AN14" s="71"/>
      <c r="AO14" s="71"/>
      <c r="AT14" s="15"/>
      <c r="AU14" s="15"/>
      <c r="AV14" s="16"/>
      <c r="BA14" t="s">
        <v>80</v>
      </c>
      <c r="BB14" t="s">
        <v>79</v>
      </c>
      <c r="BC14" s="2">
        <v>2024</v>
      </c>
    </row>
    <row r="15" spans="1:57" ht="21" x14ac:dyDescent="0.35">
      <c r="A15" s="28">
        <v>12</v>
      </c>
      <c r="B15" s="49" t="s">
        <v>140</v>
      </c>
      <c r="C15" s="28">
        <v>120.07</v>
      </c>
      <c r="D15" s="19">
        <v>120.07</v>
      </c>
      <c r="E15" s="28">
        <v>120.05</v>
      </c>
      <c r="F15" s="28">
        <v>6.17</v>
      </c>
      <c r="G15" s="19">
        <v>6.17</v>
      </c>
      <c r="H15" s="28">
        <v>6.17</v>
      </c>
      <c r="I15" s="19">
        <v>0</v>
      </c>
      <c r="J15" s="19">
        <v>0</v>
      </c>
      <c r="K15" s="19">
        <v>1500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40">
        <v>3</v>
      </c>
      <c r="U15" s="47" t="s">
        <v>48</v>
      </c>
      <c r="V15" s="19">
        <v>1</v>
      </c>
      <c r="W15" s="28">
        <v>1</v>
      </c>
      <c r="X15" s="28">
        <v>0</v>
      </c>
      <c r="Y15" s="19">
        <f t="shared" si="2"/>
        <v>1</v>
      </c>
      <c r="Z15" s="19">
        <f t="shared" si="3"/>
        <v>0</v>
      </c>
      <c r="AA15" s="19">
        <v>0</v>
      </c>
      <c r="AB15" s="29">
        <v>310.77428571428572</v>
      </c>
      <c r="AC15" s="29">
        <v>0</v>
      </c>
      <c r="AD15" s="29">
        <v>0</v>
      </c>
      <c r="AE15" s="28">
        <v>20</v>
      </c>
      <c r="AF15" s="28">
        <v>1186.9000000000001</v>
      </c>
      <c r="AG15" s="28">
        <v>197100</v>
      </c>
      <c r="AH15" s="29">
        <v>1087.71</v>
      </c>
      <c r="AI15" s="29">
        <v>0</v>
      </c>
      <c r="AJ15" s="30">
        <v>0</v>
      </c>
      <c r="AK15" s="71">
        <v>1.01</v>
      </c>
      <c r="AL15" s="71">
        <f t="shared" si="8"/>
        <v>1.2006999999999999</v>
      </c>
      <c r="AM15" s="71">
        <v>0</v>
      </c>
      <c r="AN15" s="71"/>
      <c r="AO15" s="71"/>
      <c r="AT15" s="15"/>
      <c r="AU15" s="15"/>
      <c r="AV15" s="16"/>
      <c r="BA15" t="s">
        <v>80</v>
      </c>
      <c r="BB15" t="s">
        <v>79</v>
      </c>
      <c r="BC15" s="2">
        <v>2024</v>
      </c>
    </row>
    <row r="16" spans="1:57" ht="21" x14ac:dyDescent="0.35">
      <c r="A16" s="28">
        <v>13</v>
      </c>
      <c r="B16" s="49" t="s">
        <v>141</v>
      </c>
      <c r="C16" s="28">
        <v>120.03</v>
      </c>
      <c r="D16" s="19">
        <v>120.03</v>
      </c>
      <c r="E16" s="28">
        <v>120.05</v>
      </c>
      <c r="F16" s="28">
        <v>6.27</v>
      </c>
      <c r="G16" s="19">
        <v>6.27</v>
      </c>
      <c r="H16" s="28">
        <v>6.27</v>
      </c>
      <c r="I16" s="19">
        <v>0</v>
      </c>
      <c r="J16" s="19">
        <v>0</v>
      </c>
      <c r="K16" s="19">
        <v>2000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40">
        <v>3</v>
      </c>
      <c r="U16" s="47" t="s">
        <v>48</v>
      </c>
      <c r="V16" s="19">
        <v>1</v>
      </c>
      <c r="W16" s="50">
        <v>1</v>
      </c>
      <c r="X16" s="28">
        <v>0</v>
      </c>
      <c r="Y16" s="19">
        <f t="shared" si="2"/>
        <v>1</v>
      </c>
      <c r="Z16" s="19">
        <f t="shared" si="3"/>
        <v>0</v>
      </c>
      <c r="AA16" s="19">
        <v>0</v>
      </c>
      <c r="AB16" s="29">
        <v>197.72857142857143</v>
      </c>
      <c r="AC16" s="29">
        <v>0</v>
      </c>
      <c r="AD16" s="29">
        <v>0</v>
      </c>
      <c r="AE16" s="28">
        <v>20</v>
      </c>
      <c r="AF16" s="28">
        <v>1186.9000000000001</v>
      </c>
      <c r="AG16" s="28">
        <v>197100</v>
      </c>
      <c r="AH16" s="29">
        <v>692.05</v>
      </c>
      <c r="AI16" s="29">
        <v>0</v>
      </c>
      <c r="AJ16" s="30">
        <v>0</v>
      </c>
      <c r="AK16" s="71">
        <v>1.27</v>
      </c>
      <c r="AL16" s="71">
        <f t="shared" si="8"/>
        <v>1.2002999999999999</v>
      </c>
      <c r="AM16" s="71">
        <v>0</v>
      </c>
      <c r="AN16" s="71"/>
      <c r="AO16" s="71"/>
      <c r="AT16" s="15"/>
      <c r="AU16" s="15"/>
      <c r="AV16" s="16"/>
      <c r="BA16" t="s">
        <v>80</v>
      </c>
      <c r="BB16" t="s">
        <v>79</v>
      </c>
      <c r="BC16" s="2">
        <v>2024</v>
      </c>
    </row>
    <row r="17" spans="1:57" ht="21.75" thickBot="1" x14ac:dyDescent="0.4">
      <c r="A17" s="34">
        <v>14</v>
      </c>
      <c r="B17" s="57" t="s">
        <v>142</v>
      </c>
      <c r="C17" s="34">
        <v>120.13</v>
      </c>
      <c r="D17" s="35">
        <v>120.13</v>
      </c>
      <c r="E17" s="34">
        <v>120.07</v>
      </c>
      <c r="F17" s="34">
        <v>6.26</v>
      </c>
      <c r="G17" s="35">
        <v>6.26</v>
      </c>
      <c r="H17" s="34">
        <v>6.26</v>
      </c>
      <c r="I17" s="35">
        <v>0</v>
      </c>
      <c r="J17" s="35">
        <v>0</v>
      </c>
      <c r="K17" s="35">
        <v>2500</v>
      </c>
      <c r="L17" s="35">
        <v>0</v>
      </c>
      <c r="M17" s="35">
        <v>1</v>
      </c>
      <c r="N17" s="35">
        <v>2</v>
      </c>
      <c r="O17" s="35">
        <v>3</v>
      </c>
      <c r="P17" s="34">
        <v>200</v>
      </c>
      <c r="Q17" s="35">
        <v>0</v>
      </c>
      <c r="R17" s="35">
        <v>0</v>
      </c>
      <c r="S17" s="35">
        <v>0</v>
      </c>
      <c r="T17" s="43">
        <v>3</v>
      </c>
      <c r="U17" s="58" t="s">
        <v>48</v>
      </c>
      <c r="V17" s="35">
        <v>1</v>
      </c>
      <c r="W17" s="34">
        <v>1</v>
      </c>
      <c r="X17" s="34">
        <v>0</v>
      </c>
      <c r="Y17" s="35">
        <f t="shared" si="2"/>
        <v>1</v>
      </c>
      <c r="Z17" s="35">
        <f t="shared" si="3"/>
        <v>0</v>
      </c>
      <c r="AA17" s="35">
        <v>0</v>
      </c>
      <c r="AB17" s="36">
        <v>138.01428571428571</v>
      </c>
      <c r="AC17" s="36">
        <v>0</v>
      </c>
      <c r="AD17" s="36">
        <v>0</v>
      </c>
      <c r="AE17" s="28">
        <v>20</v>
      </c>
      <c r="AF17" s="34">
        <v>1186.9000000000001</v>
      </c>
      <c r="AG17" s="34">
        <v>197100</v>
      </c>
      <c r="AH17" s="36">
        <v>483.05</v>
      </c>
      <c r="AI17" s="36">
        <v>0</v>
      </c>
      <c r="AJ17" s="59">
        <v>0</v>
      </c>
      <c r="AK17" s="74">
        <v>0.69</v>
      </c>
      <c r="AL17" s="73">
        <f>C17/300</f>
        <v>0.40043333333333331</v>
      </c>
      <c r="AM17" s="73">
        <v>0</v>
      </c>
      <c r="AN17" s="71"/>
      <c r="AO17" s="71"/>
      <c r="AT17" s="15"/>
      <c r="AU17" s="15"/>
      <c r="AV17" s="16"/>
      <c r="BA17" t="s">
        <v>80</v>
      </c>
      <c r="BB17" t="s">
        <v>79</v>
      </c>
      <c r="BC17" s="2">
        <v>2024</v>
      </c>
    </row>
    <row r="18" spans="1:57" ht="21" x14ac:dyDescent="0.35">
      <c r="A18" s="50">
        <v>15</v>
      </c>
      <c r="B18" s="51" t="s">
        <v>100</v>
      </c>
      <c r="C18" s="50">
        <v>256.5</v>
      </c>
      <c r="D18" s="52">
        <v>256.5</v>
      </c>
      <c r="E18" s="50">
        <v>240.2</v>
      </c>
      <c r="F18" s="50">
        <v>5.64</v>
      </c>
      <c r="G18" s="52">
        <v>5.64</v>
      </c>
      <c r="H18" s="50">
        <v>5.52</v>
      </c>
      <c r="I18" s="52">
        <v>0</v>
      </c>
      <c r="J18" s="52">
        <v>0</v>
      </c>
      <c r="K18" s="52">
        <v>3732.3</v>
      </c>
      <c r="L18" s="52">
        <v>0</v>
      </c>
      <c r="M18" s="52">
        <v>1</v>
      </c>
      <c r="N18" s="52">
        <v>2</v>
      </c>
      <c r="O18" s="52">
        <v>3</v>
      </c>
      <c r="P18" s="50">
        <v>200</v>
      </c>
      <c r="Q18" s="52">
        <v>0</v>
      </c>
      <c r="R18" s="52">
        <v>0</v>
      </c>
      <c r="S18" s="52">
        <v>0</v>
      </c>
      <c r="T18" s="53">
        <v>3</v>
      </c>
      <c r="U18" s="54" t="s">
        <v>48</v>
      </c>
      <c r="V18" s="52">
        <v>1</v>
      </c>
      <c r="W18" s="50">
        <v>1</v>
      </c>
      <c r="X18" s="50">
        <v>0</v>
      </c>
      <c r="Y18" s="52">
        <f t="shared" si="2"/>
        <v>1</v>
      </c>
      <c r="Z18" s="52">
        <f t="shared" si="3"/>
        <v>0</v>
      </c>
      <c r="AA18" s="52">
        <v>0</v>
      </c>
      <c r="AB18" s="55">
        <f>Y18*AH18/5</f>
        <v>150.88</v>
      </c>
      <c r="AC18" s="55">
        <v>0</v>
      </c>
      <c r="AD18" s="55">
        <v>0</v>
      </c>
      <c r="AE18" s="28">
        <v>20</v>
      </c>
      <c r="AF18" s="50">
        <v>315</v>
      </c>
      <c r="AG18" s="50">
        <v>217350</v>
      </c>
      <c r="AH18" s="55">
        <v>754.4</v>
      </c>
      <c r="AI18" s="55"/>
      <c r="AJ18" s="56"/>
      <c r="AK18" s="71">
        <v>-3.395</v>
      </c>
      <c r="AL18" s="71">
        <v>1.06</v>
      </c>
      <c r="AM18" s="71">
        <v>0</v>
      </c>
      <c r="AN18" s="71">
        <v>0.75</v>
      </c>
      <c r="AO18" s="71">
        <v>1.43</v>
      </c>
      <c r="AT18" s="15"/>
      <c r="AU18" s="15"/>
      <c r="AV18" s="16"/>
      <c r="BA18" s="65" t="s">
        <v>75</v>
      </c>
      <c r="BB18" s="65" t="s">
        <v>74</v>
      </c>
      <c r="BC18" s="66">
        <v>2020</v>
      </c>
      <c r="BD18" s="67" t="s">
        <v>77</v>
      </c>
      <c r="BE18" s="65">
        <v>60</v>
      </c>
    </row>
    <row r="19" spans="1:57" ht="21" x14ac:dyDescent="0.35">
      <c r="A19" s="31">
        <v>16</v>
      </c>
      <c r="B19" s="49" t="s">
        <v>101</v>
      </c>
      <c r="C19" s="28">
        <v>317.39999999999998</v>
      </c>
      <c r="D19" s="19">
        <v>317.39999999999998</v>
      </c>
      <c r="E19" s="28">
        <v>302.7</v>
      </c>
      <c r="F19" s="28">
        <v>5.63</v>
      </c>
      <c r="G19" s="19">
        <v>5.63</v>
      </c>
      <c r="H19" s="28">
        <v>5.77</v>
      </c>
      <c r="I19" s="19">
        <v>0</v>
      </c>
      <c r="J19" s="19">
        <v>0</v>
      </c>
      <c r="K19" s="19">
        <v>3061.1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53">
        <v>3</v>
      </c>
      <c r="U19" s="54" t="s">
        <v>48</v>
      </c>
      <c r="V19" s="19">
        <v>1</v>
      </c>
      <c r="W19" s="28">
        <v>1</v>
      </c>
      <c r="X19" s="28">
        <v>0</v>
      </c>
      <c r="Y19" s="19">
        <f t="shared" si="2"/>
        <v>1</v>
      </c>
      <c r="Z19" s="19">
        <f t="shared" si="3"/>
        <v>0</v>
      </c>
      <c r="AA19" s="19">
        <v>0</v>
      </c>
      <c r="AB19" s="29">
        <f t="shared" ref="AB19:AB32" si="9">Y19*AH19/5</f>
        <v>182.1</v>
      </c>
      <c r="AC19" s="29">
        <v>0</v>
      </c>
      <c r="AD19" s="29">
        <v>0</v>
      </c>
      <c r="AE19" s="28">
        <v>20</v>
      </c>
      <c r="AF19" s="28">
        <v>312</v>
      </c>
      <c r="AG19" s="28">
        <v>219450</v>
      </c>
      <c r="AH19" s="29">
        <v>910.5</v>
      </c>
      <c r="AI19" s="29"/>
      <c r="AJ19" s="32"/>
      <c r="AK19" s="71">
        <v>-13.163</v>
      </c>
      <c r="AL19" s="71">
        <v>2.15</v>
      </c>
      <c r="AM19" s="71">
        <v>0</v>
      </c>
      <c r="AN19" s="71">
        <v>0.92</v>
      </c>
      <c r="AO19" s="71">
        <v>1.66</v>
      </c>
      <c r="AT19" s="15"/>
      <c r="AU19" s="15"/>
      <c r="AV19" s="16"/>
      <c r="BA19" t="s">
        <v>75</v>
      </c>
      <c r="BB19" t="s">
        <v>74</v>
      </c>
      <c r="BC19" s="2">
        <v>2020</v>
      </c>
    </row>
    <row r="20" spans="1:57" ht="21" x14ac:dyDescent="0.35">
      <c r="A20" s="50">
        <v>17</v>
      </c>
      <c r="B20" s="49" t="s">
        <v>102</v>
      </c>
      <c r="C20" s="28">
        <v>196.7</v>
      </c>
      <c r="D20" s="19">
        <v>196.7</v>
      </c>
      <c r="E20" s="28">
        <v>301.3</v>
      </c>
      <c r="F20" s="28">
        <v>5.6</v>
      </c>
      <c r="G20" s="19">
        <v>5.6</v>
      </c>
      <c r="H20" s="28">
        <v>5.4</v>
      </c>
      <c r="I20" s="19">
        <v>0</v>
      </c>
      <c r="J20" s="19">
        <v>0</v>
      </c>
      <c r="K20" s="19">
        <v>1760.9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53">
        <v>3</v>
      </c>
      <c r="U20" s="54" t="s">
        <v>48</v>
      </c>
      <c r="V20" s="19">
        <v>1</v>
      </c>
      <c r="W20" s="28">
        <v>1</v>
      </c>
      <c r="X20" s="28">
        <v>0</v>
      </c>
      <c r="Y20" s="19">
        <f t="shared" si="2"/>
        <v>1</v>
      </c>
      <c r="Z20" s="19">
        <f t="shared" si="3"/>
        <v>0</v>
      </c>
      <c r="AA20" s="19">
        <v>0</v>
      </c>
      <c r="AB20" s="29">
        <f t="shared" si="9"/>
        <v>162.4</v>
      </c>
      <c r="AC20" s="29">
        <v>0</v>
      </c>
      <c r="AD20" s="29">
        <v>0</v>
      </c>
      <c r="AE20" s="28">
        <v>20</v>
      </c>
      <c r="AF20" s="28">
        <v>312</v>
      </c>
      <c r="AG20" s="28">
        <v>219450</v>
      </c>
      <c r="AH20" s="29">
        <v>812</v>
      </c>
      <c r="AI20" s="29"/>
      <c r="AJ20" s="30"/>
      <c r="AK20" s="71">
        <v>0.54100000000000004</v>
      </c>
      <c r="AL20" s="71">
        <v>1.18</v>
      </c>
      <c r="AM20" s="71">
        <v>0</v>
      </c>
      <c r="AN20" s="71">
        <v>1.94</v>
      </c>
      <c r="AO20" s="71">
        <v>0.66</v>
      </c>
      <c r="AT20" s="15"/>
      <c r="AU20" s="15"/>
      <c r="AV20" s="16"/>
      <c r="BA20" t="s">
        <v>75</v>
      </c>
      <c r="BB20" t="s">
        <v>74</v>
      </c>
      <c r="BC20" s="2">
        <v>2020</v>
      </c>
    </row>
    <row r="21" spans="1:57" ht="21" x14ac:dyDescent="0.35">
      <c r="A21" s="31">
        <v>18</v>
      </c>
      <c r="B21" s="49" t="s">
        <v>103</v>
      </c>
      <c r="C21" s="28">
        <v>258.5</v>
      </c>
      <c r="D21" s="19">
        <v>258.5</v>
      </c>
      <c r="E21" s="28">
        <v>392.4</v>
      </c>
      <c r="F21" s="28">
        <v>5.78</v>
      </c>
      <c r="G21" s="19">
        <v>5.78</v>
      </c>
      <c r="H21" s="28">
        <v>5.7</v>
      </c>
      <c r="I21" s="19">
        <v>0</v>
      </c>
      <c r="J21" s="19">
        <v>0</v>
      </c>
      <c r="K21" s="19">
        <v>3412.3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53">
        <v>3</v>
      </c>
      <c r="U21" s="54" t="s">
        <v>48</v>
      </c>
      <c r="V21" s="19">
        <v>1</v>
      </c>
      <c r="W21" s="28">
        <v>1</v>
      </c>
      <c r="X21" s="28">
        <v>0</v>
      </c>
      <c r="Y21" s="19">
        <f t="shared" si="2"/>
        <v>1</v>
      </c>
      <c r="Z21" s="19">
        <f t="shared" si="3"/>
        <v>0</v>
      </c>
      <c r="AA21" s="19">
        <v>0</v>
      </c>
      <c r="AB21" s="29">
        <f t="shared" si="9"/>
        <v>175.52</v>
      </c>
      <c r="AC21" s="29">
        <v>0</v>
      </c>
      <c r="AD21" s="29">
        <v>0</v>
      </c>
      <c r="AE21" s="28">
        <v>20</v>
      </c>
      <c r="AF21" s="28">
        <v>310</v>
      </c>
      <c r="AG21" s="28">
        <v>215250</v>
      </c>
      <c r="AH21" s="29">
        <v>877.6</v>
      </c>
      <c r="AI21" s="29"/>
      <c r="AJ21" s="32"/>
      <c r="AK21" s="71">
        <v>-3.25</v>
      </c>
      <c r="AL21" s="71">
        <v>1.27</v>
      </c>
      <c r="AM21" s="71">
        <v>0</v>
      </c>
      <c r="AN21" s="71">
        <v>0.73</v>
      </c>
      <c r="AO21" s="71">
        <v>1.63</v>
      </c>
      <c r="AT21" s="15"/>
      <c r="AU21" s="15"/>
      <c r="AV21" s="16"/>
      <c r="BA21" t="s">
        <v>75</v>
      </c>
      <c r="BB21" t="s">
        <v>74</v>
      </c>
      <c r="BC21" s="2">
        <v>2020</v>
      </c>
    </row>
    <row r="22" spans="1:57" ht="21" x14ac:dyDescent="0.35">
      <c r="A22" s="50">
        <v>19</v>
      </c>
      <c r="B22" s="49" t="s">
        <v>104</v>
      </c>
      <c r="C22" s="28">
        <v>318</v>
      </c>
      <c r="D22" s="19">
        <v>318</v>
      </c>
      <c r="E22" s="28">
        <v>480.9</v>
      </c>
      <c r="F22" s="28">
        <v>5.54</v>
      </c>
      <c r="G22" s="19">
        <v>5.54</v>
      </c>
      <c r="H22" s="28">
        <v>5.55</v>
      </c>
      <c r="I22" s="19">
        <v>0</v>
      </c>
      <c r="J22" s="19">
        <v>0</v>
      </c>
      <c r="K22" s="19">
        <v>2812.4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53">
        <v>3</v>
      </c>
      <c r="U22" s="54" t="s">
        <v>48</v>
      </c>
      <c r="V22" s="19">
        <v>1</v>
      </c>
      <c r="W22" s="28">
        <v>1</v>
      </c>
      <c r="X22" s="28">
        <v>0</v>
      </c>
      <c r="Y22" s="19">
        <f t="shared" si="2"/>
        <v>1</v>
      </c>
      <c r="Z22" s="19">
        <f t="shared" si="3"/>
        <v>0</v>
      </c>
      <c r="AA22" s="19">
        <v>0</v>
      </c>
      <c r="AB22" s="29">
        <f t="shared" si="9"/>
        <v>197.64000000000001</v>
      </c>
      <c r="AC22" s="29">
        <v>0</v>
      </c>
      <c r="AD22" s="29">
        <v>0</v>
      </c>
      <c r="AE22" s="28">
        <v>20</v>
      </c>
      <c r="AF22" s="28">
        <v>315</v>
      </c>
      <c r="AG22" s="28">
        <v>217350</v>
      </c>
      <c r="AH22" s="29">
        <v>988.2</v>
      </c>
      <c r="AI22" s="29"/>
      <c r="AJ22" s="32"/>
      <c r="AK22" s="71">
        <v>-5.2060000000000004</v>
      </c>
      <c r="AL22" s="71">
        <v>0.93</v>
      </c>
      <c r="AM22" s="71">
        <v>0</v>
      </c>
      <c r="AN22" s="71">
        <v>2.0699999999999998</v>
      </c>
      <c r="AO22" s="71">
        <v>2.57</v>
      </c>
      <c r="AT22" s="15"/>
      <c r="AU22" s="15"/>
      <c r="AV22" s="16"/>
      <c r="BA22" t="s">
        <v>75</v>
      </c>
      <c r="BB22" t="s">
        <v>74</v>
      </c>
      <c r="BC22" s="2">
        <v>2020</v>
      </c>
    </row>
    <row r="23" spans="1:57" ht="21" x14ac:dyDescent="0.35">
      <c r="A23" s="31">
        <v>20</v>
      </c>
      <c r="B23" s="49" t="s">
        <v>105</v>
      </c>
      <c r="C23" s="28">
        <v>316.8</v>
      </c>
      <c r="D23" s="19">
        <v>316.8</v>
      </c>
      <c r="E23" s="28">
        <v>483.6</v>
      </c>
      <c r="F23" s="28">
        <v>5.43</v>
      </c>
      <c r="G23" s="19">
        <v>5.43</v>
      </c>
      <c r="H23" s="28">
        <v>5.4</v>
      </c>
      <c r="I23" s="19">
        <v>0</v>
      </c>
      <c r="J23" s="19">
        <v>0</v>
      </c>
      <c r="K23" s="19">
        <v>5231.5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53">
        <v>3</v>
      </c>
      <c r="U23" s="54" t="s">
        <v>48</v>
      </c>
      <c r="V23" s="19">
        <v>1</v>
      </c>
      <c r="W23" s="28">
        <v>1</v>
      </c>
      <c r="X23" s="28">
        <v>0</v>
      </c>
      <c r="Y23" s="19">
        <f t="shared" si="2"/>
        <v>1</v>
      </c>
      <c r="Z23" s="19">
        <f t="shared" si="3"/>
        <v>0</v>
      </c>
      <c r="AA23" s="19">
        <v>0</v>
      </c>
      <c r="AB23" s="29">
        <f t="shared" si="9"/>
        <v>165.22</v>
      </c>
      <c r="AC23" s="29">
        <v>0</v>
      </c>
      <c r="AD23" s="29">
        <v>0</v>
      </c>
      <c r="AE23" s="28">
        <v>20</v>
      </c>
      <c r="AF23" s="28">
        <v>322</v>
      </c>
      <c r="AG23" s="28">
        <v>218400</v>
      </c>
      <c r="AH23" s="29">
        <v>826.1</v>
      </c>
      <c r="AI23" s="29"/>
      <c r="AJ23" s="32"/>
      <c r="AK23" s="71">
        <v>8.7769999999999992</v>
      </c>
      <c r="AL23" s="71">
        <v>3.1</v>
      </c>
      <c r="AM23" s="71">
        <v>0</v>
      </c>
      <c r="AN23" s="71">
        <v>1.67</v>
      </c>
      <c r="AO23" s="71">
        <v>4.57</v>
      </c>
      <c r="AT23" s="15"/>
      <c r="AU23" s="15"/>
      <c r="AV23" s="16"/>
      <c r="BA23" t="s">
        <v>75</v>
      </c>
      <c r="BB23" t="s">
        <v>74</v>
      </c>
      <c r="BC23" s="2">
        <v>2020</v>
      </c>
    </row>
    <row r="24" spans="1:57" ht="21.75" thickBot="1" x14ac:dyDescent="0.4">
      <c r="A24" s="103">
        <v>21</v>
      </c>
      <c r="B24" s="57" t="s">
        <v>106</v>
      </c>
      <c r="C24" s="34">
        <v>161.80000000000001</v>
      </c>
      <c r="D24" s="35">
        <v>161.80000000000001</v>
      </c>
      <c r="E24" s="34">
        <v>391.4</v>
      </c>
      <c r="F24" s="34">
        <v>5.79</v>
      </c>
      <c r="G24" s="35">
        <v>5.79</v>
      </c>
      <c r="H24" s="34">
        <v>5.57</v>
      </c>
      <c r="I24" s="35">
        <v>0</v>
      </c>
      <c r="J24" s="35">
        <v>0</v>
      </c>
      <c r="K24" s="35">
        <v>1931</v>
      </c>
      <c r="L24" s="35">
        <v>0</v>
      </c>
      <c r="M24" s="35">
        <v>1</v>
      </c>
      <c r="N24" s="35">
        <v>2</v>
      </c>
      <c r="O24" s="35">
        <v>3</v>
      </c>
      <c r="P24" s="34">
        <v>200</v>
      </c>
      <c r="Q24" s="35">
        <v>0</v>
      </c>
      <c r="R24" s="35">
        <v>0</v>
      </c>
      <c r="S24" s="35">
        <v>0</v>
      </c>
      <c r="T24" s="105">
        <v>3</v>
      </c>
      <c r="U24" s="106" t="s">
        <v>48</v>
      </c>
      <c r="V24" s="35">
        <v>1</v>
      </c>
      <c r="W24" s="34">
        <v>1</v>
      </c>
      <c r="X24" s="34">
        <v>0</v>
      </c>
      <c r="Y24" s="35">
        <f t="shared" si="2"/>
        <v>1</v>
      </c>
      <c r="Z24" s="35">
        <f t="shared" si="3"/>
        <v>0</v>
      </c>
      <c r="AA24" s="35">
        <v>0</v>
      </c>
      <c r="AB24" s="36">
        <f t="shared" si="9"/>
        <v>165.64000000000001</v>
      </c>
      <c r="AC24" s="36">
        <v>0</v>
      </c>
      <c r="AD24" s="36">
        <v>0</v>
      </c>
      <c r="AE24" s="34">
        <v>20</v>
      </c>
      <c r="AF24" s="34">
        <v>328</v>
      </c>
      <c r="AG24" s="34">
        <v>220500</v>
      </c>
      <c r="AH24" s="36">
        <v>828.2</v>
      </c>
      <c r="AI24" s="36"/>
      <c r="AJ24" s="37"/>
      <c r="AK24" s="73">
        <v>1.5449999999999999</v>
      </c>
      <c r="AL24" s="73">
        <v>0.87</v>
      </c>
      <c r="AM24" s="73">
        <v>0</v>
      </c>
      <c r="AN24" s="73">
        <v>1.52</v>
      </c>
      <c r="AO24" s="73">
        <v>2.67</v>
      </c>
      <c r="AT24" s="15"/>
      <c r="AU24" s="15"/>
      <c r="AV24" s="16"/>
      <c r="BA24" t="s">
        <v>75</v>
      </c>
      <c r="BB24" t="s">
        <v>74</v>
      </c>
      <c r="BC24" s="2">
        <v>2020</v>
      </c>
    </row>
    <row r="25" spans="1:57" ht="21" x14ac:dyDescent="0.35">
      <c r="A25" s="50">
        <v>22</v>
      </c>
      <c r="B25" s="51" t="s">
        <v>107</v>
      </c>
      <c r="C25" s="50">
        <v>258.5</v>
      </c>
      <c r="D25" s="52">
        <v>258.5</v>
      </c>
      <c r="E25" s="50">
        <v>241.2</v>
      </c>
      <c r="F25" s="50">
        <v>5.93</v>
      </c>
      <c r="G25" s="52">
        <v>5.93</v>
      </c>
      <c r="H25" s="50">
        <v>5.82</v>
      </c>
      <c r="I25" s="52">
        <v>0</v>
      </c>
      <c r="J25" s="52">
        <v>0</v>
      </c>
      <c r="K25" s="52">
        <v>3733.3</v>
      </c>
      <c r="L25" s="52">
        <v>0</v>
      </c>
      <c r="M25" s="52">
        <v>1</v>
      </c>
      <c r="N25" s="52">
        <v>2</v>
      </c>
      <c r="O25" s="52">
        <v>3</v>
      </c>
      <c r="P25" s="50">
        <v>200</v>
      </c>
      <c r="Q25" s="52">
        <v>0</v>
      </c>
      <c r="R25" s="52">
        <v>0</v>
      </c>
      <c r="S25" s="52">
        <v>0</v>
      </c>
      <c r="T25" s="53">
        <v>3</v>
      </c>
      <c r="U25" s="54" t="s">
        <v>48</v>
      </c>
      <c r="V25" s="52">
        <v>1</v>
      </c>
      <c r="W25" s="50">
        <v>1</v>
      </c>
      <c r="X25" s="50">
        <v>0</v>
      </c>
      <c r="Y25" s="52">
        <f t="shared" si="2"/>
        <v>1</v>
      </c>
      <c r="Z25" s="52">
        <f t="shared" si="3"/>
        <v>0</v>
      </c>
      <c r="AA25" s="52">
        <v>0</v>
      </c>
      <c r="AB25" s="55">
        <f t="shared" si="9"/>
        <v>179.57999999999998</v>
      </c>
      <c r="AC25" s="55">
        <v>0</v>
      </c>
      <c r="AD25" s="55">
        <v>0</v>
      </c>
      <c r="AE25" s="50">
        <v>20</v>
      </c>
      <c r="AF25" s="50">
        <v>377</v>
      </c>
      <c r="AG25" s="50">
        <v>200550</v>
      </c>
      <c r="AH25" s="55">
        <v>897.9</v>
      </c>
      <c r="AI25" s="55"/>
      <c r="AJ25" s="61"/>
      <c r="AK25" s="71">
        <v>-6.5090000000000003</v>
      </c>
      <c r="AL25" s="71">
        <v>1.1399999999999999</v>
      </c>
      <c r="AM25" s="71">
        <v>0</v>
      </c>
      <c r="AN25" s="71">
        <v>2</v>
      </c>
      <c r="AO25" s="71">
        <v>0.57999999999999996</v>
      </c>
      <c r="AT25" s="15"/>
      <c r="AU25" s="15"/>
      <c r="AV25" s="16"/>
      <c r="BA25" t="s">
        <v>75</v>
      </c>
      <c r="BB25" t="s">
        <v>74</v>
      </c>
      <c r="BC25" s="2">
        <v>2020</v>
      </c>
    </row>
    <row r="26" spans="1:57" ht="21" x14ac:dyDescent="0.35">
      <c r="A26" s="31">
        <v>23</v>
      </c>
      <c r="B26" s="49" t="s">
        <v>108</v>
      </c>
      <c r="C26" s="28">
        <v>320.3</v>
      </c>
      <c r="D26" s="19">
        <v>320.3</v>
      </c>
      <c r="E26" s="28">
        <v>302.2</v>
      </c>
      <c r="F26" s="28">
        <v>5.9</v>
      </c>
      <c r="G26" s="19">
        <v>5.9</v>
      </c>
      <c r="H26" s="28">
        <v>5.75</v>
      </c>
      <c r="I26" s="19">
        <v>0</v>
      </c>
      <c r="J26" s="19">
        <v>0</v>
      </c>
      <c r="K26" s="19">
        <v>3063.2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53">
        <v>3</v>
      </c>
      <c r="U26" s="54" t="s">
        <v>48</v>
      </c>
      <c r="V26" s="19">
        <v>1</v>
      </c>
      <c r="W26" s="28">
        <v>1</v>
      </c>
      <c r="X26" s="28">
        <v>0</v>
      </c>
      <c r="Y26" s="19">
        <f t="shared" si="2"/>
        <v>1</v>
      </c>
      <c r="Z26" s="19">
        <f t="shared" si="3"/>
        <v>0</v>
      </c>
      <c r="AA26" s="19">
        <v>0</v>
      </c>
      <c r="AB26" s="29">
        <f t="shared" si="9"/>
        <v>220.58</v>
      </c>
      <c r="AC26" s="29">
        <v>0</v>
      </c>
      <c r="AD26" s="29">
        <v>0</v>
      </c>
      <c r="AE26" s="28">
        <v>20</v>
      </c>
      <c r="AF26" s="28">
        <v>416</v>
      </c>
      <c r="AG26" s="28">
        <v>213150</v>
      </c>
      <c r="AH26" s="29">
        <v>1102.9000000000001</v>
      </c>
      <c r="AI26" s="29"/>
      <c r="AJ26" s="32"/>
      <c r="AK26" s="71">
        <v>-14.275</v>
      </c>
      <c r="AL26" s="71">
        <v>1.94</v>
      </c>
      <c r="AM26" s="71">
        <v>0</v>
      </c>
      <c r="AN26" s="71">
        <v>0.95</v>
      </c>
      <c r="AO26" s="71">
        <v>1.05</v>
      </c>
      <c r="AT26" s="15"/>
      <c r="AU26" s="15"/>
      <c r="AV26" s="16"/>
      <c r="BA26" t="s">
        <v>75</v>
      </c>
      <c r="BB26" t="s">
        <v>74</v>
      </c>
      <c r="BC26" s="2">
        <v>2020</v>
      </c>
    </row>
    <row r="27" spans="1:57" ht="21" x14ac:dyDescent="0.35">
      <c r="A27" s="50">
        <v>24</v>
      </c>
      <c r="B27" s="49" t="s">
        <v>109</v>
      </c>
      <c r="C27" s="28">
        <v>199.3</v>
      </c>
      <c r="D27" s="19">
        <v>199.3</v>
      </c>
      <c r="E27" s="28">
        <v>301.39999999999998</v>
      </c>
      <c r="F27" s="28">
        <v>5.81</v>
      </c>
      <c r="G27" s="19">
        <v>5.81</v>
      </c>
      <c r="H27" s="28">
        <v>5.81</v>
      </c>
      <c r="I27" s="19">
        <v>0</v>
      </c>
      <c r="J27" s="19">
        <v>0</v>
      </c>
      <c r="K27" s="19">
        <v>1761.6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53">
        <v>3</v>
      </c>
      <c r="U27" s="54" t="s">
        <v>48</v>
      </c>
      <c r="V27" s="19">
        <v>1</v>
      </c>
      <c r="W27" s="28">
        <v>1</v>
      </c>
      <c r="X27" s="28">
        <v>0</v>
      </c>
      <c r="Y27" s="19">
        <f t="shared" si="2"/>
        <v>1</v>
      </c>
      <c r="Z27" s="19">
        <f t="shared" si="3"/>
        <v>0</v>
      </c>
      <c r="AA27" s="19">
        <v>0</v>
      </c>
      <c r="AB27" s="29">
        <f t="shared" si="9"/>
        <v>198.42000000000002</v>
      </c>
      <c r="AC27" s="29">
        <v>0</v>
      </c>
      <c r="AD27" s="29">
        <v>0</v>
      </c>
      <c r="AE27" s="28">
        <v>20</v>
      </c>
      <c r="AF27" s="28">
        <v>377</v>
      </c>
      <c r="AG27" s="28">
        <v>200550</v>
      </c>
      <c r="AH27" s="29">
        <v>992.1</v>
      </c>
      <c r="AI27" s="29"/>
      <c r="AJ27" s="32"/>
      <c r="AK27" s="71">
        <v>0.91400000000000003</v>
      </c>
      <c r="AL27" s="71">
        <v>1.03</v>
      </c>
      <c r="AM27" s="71">
        <v>0</v>
      </c>
      <c r="AN27" s="71">
        <v>1.55</v>
      </c>
      <c r="AO27" s="71">
        <v>1.91</v>
      </c>
      <c r="AT27" s="15"/>
      <c r="AU27" s="15"/>
      <c r="AV27" s="16"/>
      <c r="BA27" t="s">
        <v>75</v>
      </c>
      <c r="BB27" t="s">
        <v>74</v>
      </c>
      <c r="BC27" s="2">
        <v>2020</v>
      </c>
    </row>
    <row r="28" spans="1:57" ht="21" x14ac:dyDescent="0.35">
      <c r="A28" s="31">
        <v>25</v>
      </c>
      <c r="B28" s="49" t="s">
        <v>110</v>
      </c>
      <c r="C28" s="28">
        <v>258</v>
      </c>
      <c r="D28" s="19">
        <v>258</v>
      </c>
      <c r="E28" s="28">
        <v>390.6</v>
      </c>
      <c r="F28" s="28">
        <v>5.97</v>
      </c>
      <c r="G28" s="19">
        <v>5.97</v>
      </c>
      <c r="H28" s="28">
        <v>5.75</v>
      </c>
      <c r="I28" s="19">
        <v>0</v>
      </c>
      <c r="J28" s="19">
        <v>0</v>
      </c>
      <c r="K28" s="19">
        <v>3413.4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40">
        <v>3</v>
      </c>
      <c r="U28" s="47" t="s">
        <v>48</v>
      </c>
      <c r="V28" s="19">
        <v>1</v>
      </c>
      <c r="W28" s="28">
        <v>1</v>
      </c>
      <c r="X28" s="28">
        <v>0</v>
      </c>
      <c r="Y28" s="19">
        <f t="shared" si="2"/>
        <v>1</v>
      </c>
      <c r="Z28" s="19">
        <f t="shared" si="3"/>
        <v>0</v>
      </c>
      <c r="AA28" s="19">
        <v>0</v>
      </c>
      <c r="AB28" s="29">
        <f t="shared" si="9"/>
        <v>203.4</v>
      </c>
      <c r="AC28" s="29">
        <v>0</v>
      </c>
      <c r="AD28" s="29">
        <v>0</v>
      </c>
      <c r="AE28" s="28">
        <v>20</v>
      </c>
      <c r="AF28" s="28">
        <v>384</v>
      </c>
      <c r="AG28" s="28">
        <v>206850</v>
      </c>
      <c r="AH28" s="29">
        <v>1017</v>
      </c>
      <c r="AI28" s="29"/>
      <c r="AJ28" s="32"/>
      <c r="AK28" s="71">
        <v>-6.1420000000000003</v>
      </c>
      <c r="AL28" s="71">
        <v>0.97</v>
      </c>
      <c r="AM28" s="71">
        <v>0</v>
      </c>
      <c r="AN28" s="71">
        <v>0.65</v>
      </c>
      <c r="AO28" s="71">
        <v>3.19</v>
      </c>
      <c r="AT28" s="15"/>
      <c r="AU28" s="15"/>
      <c r="AV28" s="16"/>
      <c r="BA28" t="s">
        <v>75</v>
      </c>
      <c r="BB28" t="s">
        <v>74</v>
      </c>
      <c r="BC28" s="2">
        <v>2020</v>
      </c>
    </row>
    <row r="29" spans="1:57" ht="21" x14ac:dyDescent="0.35">
      <c r="A29" s="50">
        <v>26</v>
      </c>
      <c r="B29" s="51" t="s">
        <v>111</v>
      </c>
      <c r="C29" s="50">
        <v>318.10000000000002</v>
      </c>
      <c r="D29" s="52">
        <v>318.10000000000002</v>
      </c>
      <c r="E29" s="50">
        <v>480.2</v>
      </c>
      <c r="F29" s="50">
        <v>5.93</v>
      </c>
      <c r="G29" s="52">
        <v>5.93</v>
      </c>
      <c r="H29" s="50">
        <v>5.96</v>
      </c>
      <c r="I29" s="52">
        <v>0</v>
      </c>
      <c r="J29" s="52">
        <v>0</v>
      </c>
      <c r="K29" s="52">
        <v>2812.5</v>
      </c>
      <c r="L29" s="52">
        <v>0</v>
      </c>
      <c r="M29" s="52">
        <v>1</v>
      </c>
      <c r="N29" s="52">
        <v>2</v>
      </c>
      <c r="O29" s="52">
        <v>3</v>
      </c>
      <c r="P29" s="50">
        <v>200</v>
      </c>
      <c r="Q29" s="52">
        <v>0</v>
      </c>
      <c r="R29" s="52">
        <v>0</v>
      </c>
      <c r="S29" s="52">
        <v>0</v>
      </c>
      <c r="T29" s="53">
        <v>3</v>
      </c>
      <c r="U29" s="54" t="s">
        <v>48</v>
      </c>
      <c r="V29" s="62">
        <v>1</v>
      </c>
      <c r="W29" s="50">
        <v>1</v>
      </c>
      <c r="X29" s="50">
        <v>0</v>
      </c>
      <c r="Y29" s="52">
        <f t="shared" si="2"/>
        <v>1</v>
      </c>
      <c r="Z29" s="52">
        <f t="shared" si="3"/>
        <v>0</v>
      </c>
      <c r="AA29" s="52">
        <v>0</v>
      </c>
      <c r="AB29" s="55">
        <f t="shared" si="9"/>
        <v>261.60000000000002</v>
      </c>
      <c r="AC29" s="55">
        <v>0</v>
      </c>
      <c r="AD29" s="55">
        <v>0</v>
      </c>
      <c r="AE29" s="28">
        <v>20</v>
      </c>
      <c r="AF29" s="50">
        <v>398</v>
      </c>
      <c r="AG29" s="50">
        <v>211050</v>
      </c>
      <c r="AH29" s="63">
        <v>1308</v>
      </c>
      <c r="AI29" s="63"/>
      <c r="AJ29" s="64"/>
      <c r="AK29" s="71">
        <v>-1.577</v>
      </c>
      <c r="AL29" s="71">
        <v>1.43</v>
      </c>
      <c r="AM29" s="71">
        <v>0</v>
      </c>
      <c r="AN29" s="71">
        <v>1.59</v>
      </c>
      <c r="AO29" s="71">
        <v>1.27</v>
      </c>
      <c r="AT29" s="15"/>
      <c r="AU29" s="15"/>
      <c r="AV29" s="16"/>
      <c r="BA29" t="s">
        <v>75</v>
      </c>
      <c r="BB29" t="s">
        <v>74</v>
      </c>
      <c r="BC29" s="2">
        <v>2020</v>
      </c>
    </row>
    <row r="30" spans="1:57" ht="21" x14ac:dyDescent="0.35">
      <c r="A30" s="31">
        <v>27</v>
      </c>
      <c r="B30" s="49" t="s">
        <v>112</v>
      </c>
      <c r="C30" s="28">
        <v>316</v>
      </c>
      <c r="D30" s="19">
        <v>316</v>
      </c>
      <c r="E30" s="28">
        <v>480.6</v>
      </c>
      <c r="F30" s="28">
        <v>5.93</v>
      </c>
      <c r="G30" s="19">
        <v>5.93</v>
      </c>
      <c r="H30" s="28">
        <v>5.77</v>
      </c>
      <c r="I30" s="19">
        <v>0</v>
      </c>
      <c r="J30" s="19">
        <v>0</v>
      </c>
      <c r="K30" s="19">
        <v>5232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53">
        <v>3</v>
      </c>
      <c r="U30" s="54" t="s">
        <v>48</v>
      </c>
      <c r="V30" s="19">
        <v>1</v>
      </c>
      <c r="W30" s="28">
        <v>1</v>
      </c>
      <c r="X30" s="28">
        <v>0</v>
      </c>
      <c r="Y30" s="19">
        <f t="shared" si="2"/>
        <v>1</v>
      </c>
      <c r="Z30" s="19">
        <f t="shared" si="3"/>
        <v>0</v>
      </c>
      <c r="AA30" s="19">
        <v>0</v>
      </c>
      <c r="AB30" s="29">
        <f t="shared" si="9"/>
        <v>172.74</v>
      </c>
      <c r="AC30" s="29">
        <v>0</v>
      </c>
      <c r="AD30" s="29">
        <v>0</v>
      </c>
      <c r="AE30" s="28">
        <v>20</v>
      </c>
      <c r="AF30" s="28">
        <v>384</v>
      </c>
      <c r="AG30" s="28">
        <v>206850</v>
      </c>
      <c r="AH30" s="29">
        <v>863.7</v>
      </c>
      <c r="AI30" s="29"/>
      <c r="AJ30" s="32"/>
      <c r="AK30" s="71">
        <v>2.617</v>
      </c>
      <c r="AL30" s="71">
        <v>3.01</v>
      </c>
      <c r="AM30" s="71">
        <v>0</v>
      </c>
      <c r="AN30" s="71">
        <v>2.38</v>
      </c>
      <c r="AO30" s="71">
        <v>2.14</v>
      </c>
      <c r="AT30" s="15"/>
      <c r="AU30" s="15"/>
      <c r="AV30" s="16"/>
      <c r="BA30" t="s">
        <v>75</v>
      </c>
      <c r="BB30" t="s">
        <v>74</v>
      </c>
      <c r="BC30" s="2">
        <v>2020</v>
      </c>
    </row>
    <row r="31" spans="1:57" ht="21" x14ac:dyDescent="0.35">
      <c r="A31" s="50">
        <v>28</v>
      </c>
      <c r="B31" s="49" t="s">
        <v>113</v>
      </c>
      <c r="C31" s="28">
        <v>161.5</v>
      </c>
      <c r="D31" s="19">
        <v>161.5</v>
      </c>
      <c r="E31" s="28">
        <v>393.9</v>
      </c>
      <c r="F31" s="28">
        <v>5.82</v>
      </c>
      <c r="G31" s="19">
        <v>5.82</v>
      </c>
      <c r="H31" s="28">
        <v>5.77</v>
      </c>
      <c r="I31" s="19">
        <v>0</v>
      </c>
      <c r="J31" s="19">
        <v>0</v>
      </c>
      <c r="K31" s="19">
        <v>1932.3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53">
        <v>3</v>
      </c>
      <c r="U31" s="54" t="s">
        <v>48</v>
      </c>
      <c r="V31" s="19">
        <v>1</v>
      </c>
      <c r="W31" s="28">
        <v>1</v>
      </c>
      <c r="X31" s="28">
        <v>0</v>
      </c>
      <c r="Y31" s="19">
        <f t="shared" si="2"/>
        <v>1</v>
      </c>
      <c r="Z31" s="19">
        <f t="shared" si="3"/>
        <v>0</v>
      </c>
      <c r="AA31" s="19">
        <v>0</v>
      </c>
      <c r="AB31" s="29">
        <f t="shared" si="9"/>
        <v>196.8</v>
      </c>
      <c r="AC31" s="29">
        <v>0</v>
      </c>
      <c r="AD31" s="29">
        <v>0</v>
      </c>
      <c r="AE31" s="28">
        <v>20</v>
      </c>
      <c r="AF31" s="28">
        <v>377</v>
      </c>
      <c r="AG31" s="28">
        <v>200550</v>
      </c>
      <c r="AH31" s="29">
        <v>984</v>
      </c>
      <c r="AI31" s="29"/>
      <c r="AJ31" s="32"/>
      <c r="AK31" s="71">
        <v>0.33100000000000002</v>
      </c>
      <c r="AL31" s="71">
        <v>1.07</v>
      </c>
      <c r="AM31" s="71">
        <v>0</v>
      </c>
      <c r="AN31" s="71">
        <v>1.42</v>
      </c>
      <c r="AO31" s="71">
        <v>3.07</v>
      </c>
      <c r="AT31" s="15"/>
      <c r="AU31" s="15"/>
      <c r="AV31" s="16"/>
      <c r="BA31" t="s">
        <v>75</v>
      </c>
      <c r="BB31" t="s">
        <v>74</v>
      </c>
      <c r="BC31" s="2">
        <v>2020</v>
      </c>
    </row>
    <row r="32" spans="1:57" ht="21.75" thickBot="1" x14ac:dyDescent="0.4">
      <c r="A32" s="33">
        <v>29</v>
      </c>
      <c r="B32" s="57" t="s">
        <v>114</v>
      </c>
      <c r="C32" s="34">
        <v>199.6</v>
      </c>
      <c r="D32" s="35">
        <v>199.6</v>
      </c>
      <c r="E32" s="34">
        <v>481.8</v>
      </c>
      <c r="F32" s="34">
        <v>5.83</v>
      </c>
      <c r="G32" s="35">
        <v>5.83</v>
      </c>
      <c r="H32" s="34">
        <v>5.87</v>
      </c>
      <c r="I32" s="35">
        <v>0</v>
      </c>
      <c r="J32" s="35">
        <v>0</v>
      </c>
      <c r="K32" s="35">
        <v>2924.8</v>
      </c>
      <c r="L32" s="35">
        <v>0</v>
      </c>
      <c r="M32" s="35">
        <v>1</v>
      </c>
      <c r="N32" s="35">
        <v>2</v>
      </c>
      <c r="O32" s="35">
        <v>3</v>
      </c>
      <c r="P32" s="34">
        <v>200</v>
      </c>
      <c r="Q32" s="35">
        <v>0</v>
      </c>
      <c r="R32" s="35">
        <v>0</v>
      </c>
      <c r="S32" s="35">
        <v>0</v>
      </c>
      <c r="T32" s="43">
        <v>3</v>
      </c>
      <c r="U32" s="58" t="s">
        <v>48</v>
      </c>
      <c r="V32" s="35">
        <v>1</v>
      </c>
      <c r="W32" s="34">
        <v>1</v>
      </c>
      <c r="X32" s="34">
        <v>0</v>
      </c>
      <c r="Y32" s="35">
        <f t="shared" si="2"/>
        <v>1</v>
      </c>
      <c r="Z32" s="35">
        <f t="shared" si="3"/>
        <v>0</v>
      </c>
      <c r="AA32" s="35">
        <v>0</v>
      </c>
      <c r="AB32" s="36">
        <f t="shared" si="9"/>
        <v>205.01999999999998</v>
      </c>
      <c r="AC32" s="36">
        <v>0</v>
      </c>
      <c r="AD32" s="36">
        <v>0</v>
      </c>
      <c r="AE32" s="28">
        <v>20</v>
      </c>
      <c r="AF32" s="34">
        <v>398</v>
      </c>
      <c r="AG32" s="34">
        <v>211050</v>
      </c>
      <c r="AH32" s="36">
        <v>1025.0999999999999</v>
      </c>
      <c r="AI32" s="36"/>
      <c r="AJ32" s="37"/>
      <c r="AK32" s="71">
        <v>0.71899999999999997</v>
      </c>
      <c r="AL32" s="71">
        <v>1.72</v>
      </c>
      <c r="AM32" s="71">
        <v>0</v>
      </c>
      <c r="AN32" s="71">
        <v>0.76</v>
      </c>
      <c r="AO32" s="71">
        <v>1.37</v>
      </c>
      <c r="AT32" s="15"/>
      <c r="AU32" s="15"/>
      <c r="AV32" s="16"/>
      <c r="BA32" t="s">
        <v>75</v>
      </c>
      <c r="BB32" t="s">
        <v>74</v>
      </c>
      <c r="BC32" s="2">
        <v>2020</v>
      </c>
    </row>
    <row r="33" spans="1:57" ht="21" x14ac:dyDescent="0.35">
      <c r="A33" s="60">
        <v>30</v>
      </c>
      <c r="B33" s="51" t="s">
        <v>81</v>
      </c>
      <c r="C33" s="50">
        <v>100</v>
      </c>
      <c r="D33" s="52">
        <v>100</v>
      </c>
      <c r="E33" s="50">
        <v>400</v>
      </c>
      <c r="F33" s="50">
        <v>6</v>
      </c>
      <c r="G33" s="52">
        <v>6</v>
      </c>
      <c r="H33" s="50">
        <v>6</v>
      </c>
      <c r="I33" s="52">
        <v>0</v>
      </c>
      <c r="J33" s="52">
        <v>0</v>
      </c>
      <c r="K33" s="52">
        <v>1400</v>
      </c>
      <c r="L33" s="52">
        <v>0</v>
      </c>
      <c r="M33" s="52">
        <v>1</v>
      </c>
      <c r="N33" s="52">
        <v>2</v>
      </c>
      <c r="O33" s="52">
        <v>3</v>
      </c>
      <c r="P33" s="50">
        <v>200</v>
      </c>
      <c r="Q33" s="52">
        <v>0</v>
      </c>
      <c r="R33" s="52">
        <v>0</v>
      </c>
      <c r="S33" s="52">
        <v>0</v>
      </c>
      <c r="T33" s="53">
        <v>3</v>
      </c>
      <c r="U33" s="54" t="s">
        <v>48</v>
      </c>
      <c r="V33" s="52">
        <v>1</v>
      </c>
      <c r="W33" s="50">
        <v>1</v>
      </c>
      <c r="X33" s="50">
        <v>0</v>
      </c>
      <c r="Y33" s="52">
        <v>0</v>
      </c>
      <c r="Z33" s="52">
        <v>1</v>
      </c>
      <c r="AA33" s="52">
        <v>0</v>
      </c>
      <c r="AB33" s="55">
        <v>0</v>
      </c>
      <c r="AC33" s="55">
        <v>0</v>
      </c>
      <c r="AD33" s="55">
        <v>0</v>
      </c>
      <c r="AE33" s="28">
        <v>20</v>
      </c>
      <c r="AF33" s="50"/>
      <c r="AG33" s="50"/>
      <c r="AH33" s="55"/>
      <c r="AI33" s="55"/>
      <c r="AJ33" s="61"/>
      <c r="AK33" s="71"/>
      <c r="AL33" s="71"/>
      <c r="AM33" s="71"/>
      <c r="AN33" s="71"/>
      <c r="AO33" s="71"/>
      <c r="AT33" s="15"/>
      <c r="AU33" s="15"/>
      <c r="AV33" s="16"/>
      <c r="BA33" s="65" t="s">
        <v>85</v>
      </c>
      <c r="BB33" s="65" t="s">
        <v>84</v>
      </c>
      <c r="BC33" s="66">
        <v>2007</v>
      </c>
      <c r="BD33" s="65" t="s">
        <v>86</v>
      </c>
      <c r="BE33" s="65">
        <v>62</v>
      </c>
    </row>
    <row r="34" spans="1:57" ht="21" x14ac:dyDescent="0.35">
      <c r="A34" s="31">
        <v>31</v>
      </c>
      <c r="B34" s="49" t="s">
        <v>82</v>
      </c>
      <c r="C34" s="28">
        <v>160</v>
      </c>
      <c r="D34" s="19">
        <v>160</v>
      </c>
      <c r="E34" s="28">
        <v>550</v>
      </c>
      <c r="F34" s="28">
        <v>6</v>
      </c>
      <c r="G34" s="19">
        <v>6</v>
      </c>
      <c r="H34" s="28">
        <v>6</v>
      </c>
      <c r="I34" s="19">
        <v>0</v>
      </c>
      <c r="J34" s="19">
        <v>0</v>
      </c>
      <c r="K34" s="19">
        <v>2200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40">
        <v>3</v>
      </c>
      <c r="U34" s="54" t="s">
        <v>48</v>
      </c>
      <c r="V34" s="19">
        <v>1</v>
      </c>
      <c r="W34" s="28">
        <v>1</v>
      </c>
      <c r="X34" s="28">
        <v>0</v>
      </c>
      <c r="Y34" s="19">
        <v>0</v>
      </c>
      <c r="Z34" s="19">
        <v>1</v>
      </c>
      <c r="AA34" s="19">
        <v>0</v>
      </c>
      <c r="AB34" s="29">
        <v>0</v>
      </c>
      <c r="AC34" s="29">
        <v>0</v>
      </c>
      <c r="AD34" s="29">
        <v>0</v>
      </c>
      <c r="AE34" s="28">
        <v>20</v>
      </c>
      <c r="AF34" s="28"/>
      <c r="AG34" s="28"/>
      <c r="AH34" s="29"/>
      <c r="AI34" s="29"/>
      <c r="AJ34" s="32"/>
      <c r="AK34" s="71"/>
      <c r="AL34" s="71"/>
      <c r="AM34" s="71"/>
      <c r="AN34" s="71"/>
      <c r="AO34" s="71"/>
      <c r="AT34" s="15"/>
      <c r="AU34" s="15"/>
      <c r="AV34" s="16"/>
      <c r="BA34" t="s">
        <v>85</v>
      </c>
      <c r="BB34" t="s">
        <v>84</v>
      </c>
      <c r="BC34" s="2">
        <v>2007</v>
      </c>
    </row>
    <row r="35" spans="1:57" ht="21.75" thickBot="1" x14ac:dyDescent="0.4">
      <c r="A35" s="33">
        <v>32</v>
      </c>
      <c r="B35" s="57" t="s">
        <v>83</v>
      </c>
      <c r="C35" s="34">
        <v>140</v>
      </c>
      <c r="D35" s="35">
        <v>140</v>
      </c>
      <c r="E35" s="34">
        <v>500</v>
      </c>
      <c r="F35" s="34">
        <v>6</v>
      </c>
      <c r="G35" s="35">
        <v>6</v>
      </c>
      <c r="H35" s="34">
        <v>6</v>
      </c>
      <c r="I35" s="35">
        <v>0</v>
      </c>
      <c r="J35" s="35">
        <v>0</v>
      </c>
      <c r="K35" s="35">
        <v>2400</v>
      </c>
      <c r="L35" s="35">
        <v>0</v>
      </c>
      <c r="M35" s="35">
        <v>1</v>
      </c>
      <c r="N35" s="35">
        <v>2</v>
      </c>
      <c r="O35" s="35">
        <v>3</v>
      </c>
      <c r="P35" s="34">
        <v>200</v>
      </c>
      <c r="Q35" s="35">
        <v>0</v>
      </c>
      <c r="R35" s="35">
        <v>0</v>
      </c>
      <c r="S35" s="35">
        <v>0</v>
      </c>
      <c r="T35" s="43">
        <v>3</v>
      </c>
      <c r="U35" s="58" t="s">
        <v>48</v>
      </c>
      <c r="V35" s="35">
        <v>1</v>
      </c>
      <c r="W35" s="34">
        <v>1</v>
      </c>
      <c r="X35" s="34">
        <v>0</v>
      </c>
      <c r="Y35" s="35">
        <v>0</v>
      </c>
      <c r="Z35" s="35">
        <v>1</v>
      </c>
      <c r="AA35" s="35">
        <v>0</v>
      </c>
      <c r="AB35" s="36">
        <v>0</v>
      </c>
      <c r="AC35" s="36">
        <v>0</v>
      </c>
      <c r="AD35" s="36">
        <v>0</v>
      </c>
      <c r="AE35" s="28">
        <v>20</v>
      </c>
      <c r="AF35" s="34"/>
      <c r="AG35" s="34"/>
      <c r="AH35" s="36"/>
      <c r="AI35" s="36"/>
      <c r="AJ35" s="37"/>
      <c r="AK35" s="100"/>
      <c r="AL35" s="73"/>
      <c r="AM35" s="71"/>
      <c r="AN35" s="71"/>
      <c r="AO35" s="71"/>
      <c r="AT35" s="15"/>
      <c r="AU35" s="15"/>
      <c r="AV35" s="16"/>
      <c r="BA35" t="s">
        <v>85</v>
      </c>
      <c r="BB35" t="s">
        <v>84</v>
      </c>
      <c r="BC35" s="2">
        <v>2007</v>
      </c>
    </row>
    <row r="36" spans="1:57" ht="21" x14ac:dyDescent="0.35">
      <c r="A36" s="60">
        <v>33</v>
      </c>
      <c r="B36" s="51" t="s">
        <v>128</v>
      </c>
      <c r="C36" s="50">
        <v>79.97</v>
      </c>
      <c r="D36" s="52">
        <f t="shared" ref="D36:D46" si="10">C36</f>
        <v>79.97</v>
      </c>
      <c r="E36" s="116">
        <v>79.989999999999995</v>
      </c>
      <c r="F36" s="50">
        <v>6.19</v>
      </c>
      <c r="G36" s="52">
        <f t="shared" ref="G36:G46" si="11">F36</f>
        <v>6.19</v>
      </c>
      <c r="H36" s="50">
        <v>6.19</v>
      </c>
      <c r="I36" s="52">
        <v>0</v>
      </c>
      <c r="J36" s="91">
        <f t="shared" ref="J36:J46" si="12">I36</f>
        <v>0</v>
      </c>
      <c r="K36" s="52">
        <v>1500</v>
      </c>
      <c r="L36" s="52">
        <v>0</v>
      </c>
      <c r="M36" s="52">
        <v>1</v>
      </c>
      <c r="N36" s="52">
        <v>2</v>
      </c>
      <c r="O36" s="52">
        <v>3</v>
      </c>
      <c r="P36" s="50">
        <v>200</v>
      </c>
      <c r="Q36" s="52">
        <v>0</v>
      </c>
      <c r="R36" s="52">
        <v>0</v>
      </c>
      <c r="S36" s="52">
        <v>0</v>
      </c>
      <c r="T36" s="53">
        <v>3</v>
      </c>
      <c r="U36" s="54" t="s">
        <v>48</v>
      </c>
      <c r="V36" s="52">
        <f t="shared" ref="V36:V46" si="13">VLOOKUP(U36,$AX$3:$AY$9,2,FALSE)</f>
        <v>1</v>
      </c>
      <c r="W36" s="50">
        <v>1</v>
      </c>
      <c r="X36" s="50">
        <v>0</v>
      </c>
      <c r="Y36" s="52">
        <f t="shared" ref="Y36:Y52" si="14">W36</f>
        <v>1</v>
      </c>
      <c r="Z36" s="52">
        <f t="shared" ref="Z36:Z46" si="15">IF(X36=90,0,(1-Y36)/(TAN(X36/180*PI())+1))</f>
        <v>0</v>
      </c>
      <c r="AA36" s="52">
        <f t="shared" ref="AA36:AA46" si="16">IF(X36=90,1-W36,Z36*TAN(X36/180*PI()))</f>
        <v>0</v>
      </c>
      <c r="AB36" s="55">
        <f>AH36/4</f>
        <v>67.12</v>
      </c>
      <c r="AC36" s="55">
        <f t="shared" ref="AC36:AC46" si="17">Z36*AI36/3.5</f>
        <v>0</v>
      </c>
      <c r="AD36" s="55">
        <f t="shared" ref="AD36:AD46" si="18">AA36*AJ36/3.5</f>
        <v>0</v>
      </c>
      <c r="AE36" s="28">
        <v>20</v>
      </c>
      <c r="AF36" s="50">
        <v>1186.94</v>
      </c>
      <c r="AG36" s="50">
        <v>197000</v>
      </c>
      <c r="AH36" s="55">
        <v>268.48</v>
      </c>
      <c r="AI36" s="55"/>
      <c r="AJ36" s="61"/>
      <c r="AK36" s="71">
        <f>1.13</f>
        <v>1.1299999999999999</v>
      </c>
      <c r="AL36" s="71">
        <f>D36/100</f>
        <v>0.79969999999999997</v>
      </c>
      <c r="AM36" s="71">
        <v>9.5299999999999994</v>
      </c>
      <c r="AN36" s="71"/>
      <c r="AO36" s="71"/>
      <c r="AT36" s="15"/>
      <c r="AU36" s="15"/>
      <c r="AV36" s="16"/>
      <c r="BA36" s="65" t="s">
        <v>92</v>
      </c>
      <c r="BB36" s="65" t="s">
        <v>93</v>
      </c>
      <c r="BC36" s="66">
        <v>2026</v>
      </c>
      <c r="BD36" s="65" t="s">
        <v>78</v>
      </c>
      <c r="BE36" s="65">
        <v>63</v>
      </c>
    </row>
    <row r="37" spans="1:57" ht="21" x14ac:dyDescent="0.35">
      <c r="A37" s="31">
        <v>34</v>
      </c>
      <c r="B37" s="51" t="s">
        <v>129</v>
      </c>
      <c r="C37" s="28">
        <v>80.12</v>
      </c>
      <c r="D37" s="19">
        <f t="shared" si="10"/>
        <v>80.12</v>
      </c>
      <c r="E37" s="28">
        <v>80.099999999999994</v>
      </c>
      <c r="F37" s="28">
        <v>6.21</v>
      </c>
      <c r="G37" s="19">
        <f t="shared" si="11"/>
        <v>6.21</v>
      </c>
      <c r="H37" s="28">
        <v>6.21</v>
      </c>
      <c r="I37" s="19">
        <v>0</v>
      </c>
      <c r="J37" s="90">
        <f t="shared" si="12"/>
        <v>0</v>
      </c>
      <c r="K37" s="19">
        <v>1500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40">
        <v>3</v>
      </c>
      <c r="U37" s="47" t="s">
        <v>48</v>
      </c>
      <c r="V37" s="19">
        <f t="shared" si="13"/>
        <v>1</v>
      </c>
      <c r="W37" s="28">
        <v>1</v>
      </c>
      <c r="X37" s="28">
        <v>0</v>
      </c>
      <c r="Y37" s="19">
        <f t="shared" si="14"/>
        <v>1</v>
      </c>
      <c r="Z37" s="19">
        <f t="shared" si="15"/>
        <v>0</v>
      </c>
      <c r="AA37" s="19">
        <f t="shared" si="16"/>
        <v>0</v>
      </c>
      <c r="AB37" s="29">
        <f t="shared" ref="AB37:AB40" si="19">AH37/4</f>
        <v>50.5075</v>
      </c>
      <c r="AC37" s="29">
        <f t="shared" si="17"/>
        <v>0</v>
      </c>
      <c r="AD37" s="29">
        <f t="shared" si="18"/>
        <v>0</v>
      </c>
      <c r="AE37" s="28">
        <v>20</v>
      </c>
      <c r="AF37" s="28">
        <v>1186.94</v>
      </c>
      <c r="AG37" s="28">
        <v>197000</v>
      </c>
      <c r="AH37" s="29">
        <v>202.03</v>
      </c>
      <c r="AI37" s="29"/>
      <c r="AJ37" s="32"/>
      <c r="AK37" s="71">
        <v>1.06</v>
      </c>
      <c r="AL37" s="71">
        <f t="shared" ref="AL37:AL41" si="20">D37/100</f>
        <v>0.80120000000000002</v>
      </c>
      <c r="AM37" s="71">
        <v>30.04</v>
      </c>
      <c r="AN37" s="71"/>
      <c r="AO37" s="71"/>
      <c r="AT37" s="15"/>
      <c r="AU37" s="15"/>
      <c r="AV37" s="16"/>
      <c r="BA37" t="s">
        <v>92</v>
      </c>
      <c r="BB37" t="s">
        <v>93</v>
      </c>
      <c r="BC37" s="2">
        <v>2026</v>
      </c>
    </row>
    <row r="38" spans="1:57" ht="21.75" thickBot="1" x14ac:dyDescent="0.4">
      <c r="A38" s="31">
        <v>35</v>
      </c>
      <c r="B38" s="51" t="s">
        <v>130</v>
      </c>
      <c r="C38" s="28">
        <v>80.12</v>
      </c>
      <c r="D38" s="19">
        <f t="shared" si="10"/>
        <v>80.12</v>
      </c>
      <c r="E38" s="28">
        <v>80</v>
      </c>
      <c r="F38" s="28">
        <v>6.2</v>
      </c>
      <c r="G38" s="19">
        <f t="shared" si="11"/>
        <v>6.2</v>
      </c>
      <c r="H38" s="28">
        <v>6.2</v>
      </c>
      <c r="I38" s="19">
        <v>0</v>
      </c>
      <c r="J38" s="90">
        <f t="shared" si="12"/>
        <v>0</v>
      </c>
      <c r="K38" s="19">
        <v>1500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40">
        <v>3</v>
      </c>
      <c r="U38" s="47" t="s">
        <v>48</v>
      </c>
      <c r="V38" s="19">
        <f t="shared" si="13"/>
        <v>1</v>
      </c>
      <c r="W38" s="28">
        <v>1</v>
      </c>
      <c r="X38" s="28">
        <v>0</v>
      </c>
      <c r="Y38" s="19">
        <f t="shared" si="14"/>
        <v>1</v>
      </c>
      <c r="Z38" s="19">
        <f t="shared" si="15"/>
        <v>0</v>
      </c>
      <c r="AA38" s="19">
        <f t="shared" si="16"/>
        <v>0</v>
      </c>
      <c r="AB38" s="29">
        <f t="shared" si="19"/>
        <v>33.712499999999999</v>
      </c>
      <c r="AC38" s="29">
        <f t="shared" si="17"/>
        <v>0</v>
      </c>
      <c r="AD38" s="29">
        <f t="shared" si="18"/>
        <v>0</v>
      </c>
      <c r="AE38" s="28">
        <v>20</v>
      </c>
      <c r="AF38" s="28">
        <v>1186.94</v>
      </c>
      <c r="AG38" s="28">
        <v>197000</v>
      </c>
      <c r="AH38" s="29">
        <v>134.85</v>
      </c>
      <c r="AI38" s="29"/>
      <c r="AJ38" s="32"/>
      <c r="AK38" s="71">
        <v>1.01</v>
      </c>
      <c r="AL38" s="73">
        <f t="shared" si="20"/>
        <v>0.80120000000000002</v>
      </c>
      <c r="AM38" s="71">
        <v>60.18</v>
      </c>
      <c r="AN38" s="71"/>
      <c r="AO38" s="71"/>
      <c r="AT38" s="15"/>
      <c r="AU38" s="15"/>
      <c r="AV38" s="16"/>
      <c r="BA38" t="s">
        <v>92</v>
      </c>
      <c r="BB38" t="s">
        <v>93</v>
      </c>
      <c r="BC38" s="2">
        <v>2026</v>
      </c>
    </row>
    <row r="39" spans="1:57" ht="21" x14ac:dyDescent="0.35">
      <c r="A39" s="31">
        <v>36</v>
      </c>
      <c r="B39" s="92" t="s">
        <v>131</v>
      </c>
      <c r="C39" s="28">
        <v>119.89</v>
      </c>
      <c r="D39" s="19">
        <f t="shared" si="10"/>
        <v>119.89</v>
      </c>
      <c r="E39" s="28">
        <v>120</v>
      </c>
      <c r="F39" s="28">
        <v>6.16</v>
      </c>
      <c r="G39" s="19">
        <f t="shared" si="11"/>
        <v>6.16</v>
      </c>
      <c r="H39" s="28">
        <v>6.16</v>
      </c>
      <c r="I39" s="19">
        <v>0</v>
      </c>
      <c r="J39" s="90">
        <f t="shared" si="12"/>
        <v>0</v>
      </c>
      <c r="K39" s="19">
        <v>1500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40">
        <v>3</v>
      </c>
      <c r="U39" s="47" t="s">
        <v>48</v>
      </c>
      <c r="V39" s="19">
        <f t="shared" si="13"/>
        <v>1</v>
      </c>
      <c r="W39" s="28">
        <v>1</v>
      </c>
      <c r="X39" s="28">
        <v>0</v>
      </c>
      <c r="Y39" s="19">
        <f t="shared" si="14"/>
        <v>1</v>
      </c>
      <c r="Z39" s="19">
        <f t="shared" si="15"/>
        <v>0</v>
      </c>
      <c r="AA39" s="19">
        <f t="shared" si="16"/>
        <v>0</v>
      </c>
      <c r="AB39" s="29">
        <f t="shared" si="19"/>
        <v>185.9975</v>
      </c>
      <c r="AC39" s="29">
        <f t="shared" si="17"/>
        <v>0</v>
      </c>
      <c r="AD39" s="29">
        <f t="shared" si="18"/>
        <v>0</v>
      </c>
      <c r="AE39" s="28">
        <v>20</v>
      </c>
      <c r="AF39" s="28">
        <v>1186.94</v>
      </c>
      <c r="AG39" s="28">
        <v>197000</v>
      </c>
      <c r="AH39" s="29">
        <v>743.99</v>
      </c>
      <c r="AI39" s="29"/>
      <c r="AJ39" s="32"/>
      <c r="AK39" s="71">
        <v>0.99</v>
      </c>
      <c r="AL39" s="71">
        <f t="shared" si="20"/>
        <v>1.1989000000000001</v>
      </c>
      <c r="AM39" s="71">
        <v>10.19</v>
      </c>
      <c r="AN39" s="71"/>
      <c r="AO39" s="71"/>
      <c r="AT39" s="15"/>
      <c r="AU39" s="15"/>
      <c r="AV39" s="16"/>
      <c r="BA39" t="s">
        <v>92</v>
      </c>
      <c r="BB39" t="s">
        <v>93</v>
      </c>
      <c r="BC39" s="2">
        <v>2026</v>
      </c>
    </row>
    <row r="40" spans="1:57" ht="21" x14ac:dyDescent="0.35">
      <c r="A40" s="78">
        <v>37</v>
      </c>
      <c r="B40" s="49" t="s">
        <v>132</v>
      </c>
      <c r="C40" s="79">
        <v>120.03</v>
      </c>
      <c r="D40" s="80">
        <f t="shared" si="10"/>
        <v>120.03</v>
      </c>
      <c r="E40" s="79">
        <v>119.99</v>
      </c>
      <c r="F40" s="79">
        <v>6.19</v>
      </c>
      <c r="G40" s="80">
        <f t="shared" si="11"/>
        <v>6.19</v>
      </c>
      <c r="H40" s="79">
        <v>6.19</v>
      </c>
      <c r="I40" s="80">
        <v>0</v>
      </c>
      <c r="J40" s="97">
        <f t="shared" si="12"/>
        <v>0</v>
      </c>
      <c r="K40" s="19">
        <v>1500</v>
      </c>
      <c r="L40" s="80">
        <v>0</v>
      </c>
      <c r="M40" s="80">
        <v>1</v>
      </c>
      <c r="N40" s="80">
        <v>2</v>
      </c>
      <c r="O40" s="80">
        <v>3</v>
      </c>
      <c r="P40" s="79">
        <v>200</v>
      </c>
      <c r="Q40" s="80">
        <v>0</v>
      </c>
      <c r="R40" s="80">
        <v>0</v>
      </c>
      <c r="S40" s="80">
        <v>0</v>
      </c>
      <c r="T40" s="81">
        <v>3</v>
      </c>
      <c r="U40" s="82" t="s">
        <v>48</v>
      </c>
      <c r="V40" s="80">
        <f t="shared" si="13"/>
        <v>1</v>
      </c>
      <c r="W40" s="79">
        <v>1</v>
      </c>
      <c r="X40" s="79">
        <v>0</v>
      </c>
      <c r="Y40" s="80">
        <f t="shared" si="14"/>
        <v>1</v>
      </c>
      <c r="Z40" s="80">
        <f t="shared" si="15"/>
        <v>0</v>
      </c>
      <c r="AA40" s="80">
        <f t="shared" si="16"/>
        <v>0</v>
      </c>
      <c r="AB40" s="83">
        <f t="shared" si="19"/>
        <v>135.99</v>
      </c>
      <c r="AC40" s="83">
        <f t="shared" si="17"/>
        <v>0</v>
      </c>
      <c r="AD40" s="83">
        <f t="shared" si="18"/>
        <v>0</v>
      </c>
      <c r="AE40" s="79">
        <v>20</v>
      </c>
      <c r="AF40" s="79">
        <v>1186.94</v>
      </c>
      <c r="AG40" s="79">
        <v>197000</v>
      </c>
      <c r="AH40" s="83">
        <v>543.96</v>
      </c>
      <c r="AI40" s="83"/>
      <c r="AJ40" s="84"/>
      <c r="AK40" s="71">
        <v>0.89</v>
      </c>
      <c r="AL40" s="71">
        <f t="shared" si="20"/>
        <v>1.2002999999999999</v>
      </c>
      <c r="AM40" s="71">
        <v>29.34</v>
      </c>
      <c r="AN40" s="71"/>
      <c r="AO40" s="71"/>
      <c r="AT40" s="15"/>
      <c r="AU40" s="15"/>
      <c r="AV40" s="16"/>
      <c r="BA40" t="s">
        <v>92</v>
      </c>
      <c r="BB40" t="s">
        <v>93</v>
      </c>
      <c r="BC40" s="2">
        <v>2026</v>
      </c>
    </row>
    <row r="41" spans="1:57" s="85" customFormat="1" ht="21.75" thickBot="1" x14ac:dyDescent="0.4">
      <c r="A41" s="34">
        <v>38</v>
      </c>
      <c r="B41" s="57" t="s">
        <v>133</v>
      </c>
      <c r="C41" s="34">
        <v>120.05</v>
      </c>
      <c r="D41" s="35">
        <f t="shared" si="10"/>
        <v>120.05</v>
      </c>
      <c r="E41" s="34">
        <v>120.01</v>
      </c>
      <c r="F41" s="34">
        <v>6.17</v>
      </c>
      <c r="G41" s="35">
        <f t="shared" si="11"/>
        <v>6.17</v>
      </c>
      <c r="H41" s="34">
        <v>6.17</v>
      </c>
      <c r="I41" s="35">
        <v>0</v>
      </c>
      <c r="J41" s="98">
        <f t="shared" si="12"/>
        <v>0</v>
      </c>
      <c r="K41" s="35">
        <v>1500</v>
      </c>
      <c r="L41" s="35">
        <v>0</v>
      </c>
      <c r="M41" s="35">
        <v>1</v>
      </c>
      <c r="N41" s="35">
        <v>2</v>
      </c>
      <c r="O41" s="35">
        <v>3</v>
      </c>
      <c r="P41" s="34">
        <v>200</v>
      </c>
      <c r="Q41" s="35">
        <v>0</v>
      </c>
      <c r="R41" s="35">
        <v>0</v>
      </c>
      <c r="S41" s="35">
        <v>0</v>
      </c>
      <c r="T41" s="43">
        <v>3</v>
      </c>
      <c r="U41" s="58" t="s">
        <v>48</v>
      </c>
      <c r="V41" s="35">
        <f t="shared" si="13"/>
        <v>1</v>
      </c>
      <c r="W41" s="34">
        <v>1</v>
      </c>
      <c r="X41" s="34">
        <v>0</v>
      </c>
      <c r="Y41" s="35">
        <f t="shared" si="14"/>
        <v>1</v>
      </c>
      <c r="Z41" s="35">
        <f t="shared" si="15"/>
        <v>0</v>
      </c>
      <c r="AA41" s="35">
        <f t="shared" si="16"/>
        <v>0</v>
      </c>
      <c r="AB41" s="36">
        <f>AH41/4</f>
        <v>81.822500000000005</v>
      </c>
      <c r="AC41" s="36">
        <f t="shared" si="17"/>
        <v>0</v>
      </c>
      <c r="AD41" s="36">
        <f t="shared" si="18"/>
        <v>0</v>
      </c>
      <c r="AE41" s="34">
        <v>20</v>
      </c>
      <c r="AF41" s="34">
        <v>1186.94</v>
      </c>
      <c r="AG41" s="34">
        <v>197000</v>
      </c>
      <c r="AH41" s="36">
        <v>327.29000000000002</v>
      </c>
      <c r="AI41" s="36"/>
      <c r="AJ41" s="59"/>
      <c r="AK41" s="74">
        <v>1.05</v>
      </c>
      <c r="AL41" s="73">
        <f t="shared" si="20"/>
        <v>1.2004999999999999</v>
      </c>
      <c r="AM41" s="71">
        <v>81.73</v>
      </c>
      <c r="AN41" s="71"/>
      <c r="AO41" s="71"/>
      <c r="AP41"/>
      <c r="AQ41"/>
      <c r="AR41"/>
      <c r="AS41"/>
      <c r="AT41" s="15"/>
      <c r="AU41" s="15"/>
      <c r="AV41" s="16"/>
      <c r="AW41"/>
      <c r="AX41"/>
      <c r="AY41"/>
      <c r="AZ41"/>
      <c r="BA41" t="s">
        <v>92</v>
      </c>
      <c r="BB41" t="s">
        <v>93</v>
      </c>
      <c r="BC41" s="2">
        <v>2026</v>
      </c>
      <c r="BD41"/>
      <c r="BE41"/>
    </row>
    <row r="42" spans="1:57" ht="21.75" thickBot="1" x14ac:dyDescent="0.4">
      <c r="A42" s="93">
        <v>39</v>
      </c>
      <c r="B42" s="92" t="s">
        <v>119</v>
      </c>
      <c r="C42" s="94">
        <v>65.040000000000006</v>
      </c>
      <c r="D42" s="35">
        <f t="shared" si="10"/>
        <v>65.040000000000006</v>
      </c>
      <c r="E42" s="94">
        <v>116.77</v>
      </c>
      <c r="F42" s="94">
        <v>8.36</v>
      </c>
      <c r="G42" s="35">
        <f t="shared" si="11"/>
        <v>8.36</v>
      </c>
      <c r="H42" s="94">
        <v>8.42</v>
      </c>
      <c r="I42" s="35">
        <v>0</v>
      </c>
      <c r="J42" s="62">
        <f t="shared" si="12"/>
        <v>0</v>
      </c>
      <c r="K42" s="62">
        <v>1800</v>
      </c>
      <c r="L42" s="62">
        <v>0</v>
      </c>
      <c r="M42" s="62">
        <v>1</v>
      </c>
      <c r="N42" s="62">
        <v>2</v>
      </c>
      <c r="O42" s="62">
        <v>3</v>
      </c>
      <c r="P42" s="94">
        <v>200</v>
      </c>
      <c r="Q42" s="62">
        <v>0</v>
      </c>
      <c r="R42" s="62">
        <v>0</v>
      </c>
      <c r="S42" s="62">
        <v>0</v>
      </c>
      <c r="T42" s="95">
        <v>3</v>
      </c>
      <c r="U42" s="58" t="s">
        <v>48</v>
      </c>
      <c r="V42" s="62">
        <f t="shared" si="13"/>
        <v>1</v>
      </c>
      <c r="W42" s="94">
        <v>1</v>
      </c>
      <c r="X42" s="94">
        <v>0</v>
      </c>
      <c r="Y42" s="62">
        <f t="shared" si="14"/>
        <v>1</v>
      </c>
      <c r="Z42" s="62">
        <f t="shared" si="15"/>
        <v>0</v>
      </c>
      <c r="AA42" s="62">
        <f t="shared" si="16"/>
        <v>0</v>
      </c>
      <c r="AB42" s="107">
        <f>AH42/4</f>
        <v>289.55</v>
      </c>
      <c r="AC42" s="96">
        <f t="shared" si="17"/>
        <v>0</v>
      </c>
      <c r="AD42" s="96">
        <f t="shared" si="18"/>
        <v>0</v>
      </c>
      <c r="AE42" s="94">
        <v>20</v>
      </c>
      <c r="AF42" s="94">
        <v>782.5</v>
      </c>
      <c r="AG42" s="94">
        <v>212000</v>
      </c>
      <c r="AH42" s="63">
        <v>1158.2</v>
      </c>
      <c r="AI42" s="63">
        <v>943.30038069028626</v>
      </c>
      <c r="AJ42" s="64"/>
      <c r="AK42" s="71">
        <v>0.85</v>
      </c>
      <c r="AL42" s="71">
        <f>D42/200</f>
        <v>0.32520000000000004</v>
      </c>
      <c r="AM42" s="71">
        <v>0</v>
      </c>
      <c r="AN42" s="71"/>
      <c r="AO42" s="71"/>
      <c r="AT42" s="15"/>
      <c r="AU42" s="15"/>
      <c r="AV42" s="16"/>
      <c r="BA42" s="65" t="s">
        <v>126</v>
      </c>
      <c r="BB42" s="65" t="s">
        <v>125</v>
      </c>
      <c r="BC42" s="66">
        <v>2023</v>
      </c>
      <c r="BD42" s="65" t="s">
        <v>134</v>
      </c>
      <c r="BE42" s="65">
        <v>67</v>
      </c>
    </row>
    <row r="43" spans="1:57" ht="21.75" thickBot="1" x14ac:dyDescent="0.4">
      <c r="A43" s="28">
        <v>40</v>
      </c>
      <c r="B43" s="49" t="s">
        <v>120</v>
      </c>
      <c r="C43" s="28">
        <v>65.12</v>
      </c>
      <c r="D43" s="35">
        <f t="shared" si="10"/>
        <v>65.12</v>
      </c>
      <c r="E43" s="28">
        <v>116.6</v>
      </c>
      <c r="F43" s="28">
        <v>8.36</v>
      </c>
      <c r="G43" s="35">
        <f t="shared" si="11"/>
        <v>8.36</v>
      </c>
      <c r="H43" s="28">
        <v>8.33</v>
      </c>
      <c r="I43" s="35">
        <v>0</v>
      </c>
      <c r="J43" s="19">
        <f t="shared" si="12"/>
        <v>0</v>
      </c>
      <c r="K43" s="62">
        <v>1850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40">
        <v>3</v>
      </c>
      <c r="U43" s="58" t="s">
        <v>48</v>
      </c>
      <c r="V43" s="19">
        <f t="shared" si="13"/>
        <v>1</v>
      </c>
      <c r="W43" s="28">
        <v>1</v>
      </c>
      <c r="X43" s="28">
        <v>0</v>
      </c>
      <c r="Y43" s="19">
        <f t="shared" si="14"/>
        <v>1</v>
      </c>
      <c r="Z43" s="19">
        <f t="shared" si="15"/>
        <v>0</v>
      </c>
      <c r="AA43" s="19">
        <f t="shared" si="16"/>
        <v>0</v>
      </c>
      <c r="AB43" s="108">
        <f t="shared" ref="AB43:AB44" si="21">AH43/4</f>
        <v>269.8</v>
      </c>
      <c r="AC43" s="29">
        <f t="shared" si="17"/>
        <v>0</v>
      </c>
      <c r="AD43" s="29">
        <f t="shared" si="18"/>
        <v>0</v>
      </c>
      <c r="AE43" s="28">
        <v>20</v>
      </c>
      <c r="AF43" s="28">
        <v>782.5</v>
      </c>
      <c r="AG43" s="28">
        <v>212000</v>
      </c>
      <c r="AH43" s="29">
        <v>1079.2</v>
      </c>
      <c r="AI43" s="29">
        <v>938.98901491461606</v>
      </c>
      <c r="AJ43" s="30"/>
      <c r="AK43" s="71">
        <v>0.77</v>
      </c>
      <c r="AL43" s="71">
        <f t="shared" ref="AL43:AL44" si="22">D43/200</f>
        <v>0.3256</v>
      </c>
      <c r="AM43" s="71">
        <v>0</v>
      </c>
      <c r="AN43" s="71"/>
      <c r="AO43" s="71"/>
      <c r="AT43" s="15"/>
      <c r="AU43" s="15"/>
      <c r="AV43" s="16"/>
      <c r="BA43" t="s">
        <v>126</v>
      </c>
      <c r="BB43" t="s">
        <v>125</v>
      </c>
      <c r="BC43" s="2">
        <v>2023</v>
      </c>
      <c r="BE43">
        <v>67</v>
      </c>
    </row>
    <row r="44" spans="1:57" ht="21.75" thickBot="1" x14ac:dyDescent="0.4">
      <c r="A44" s="60">
        <v>41</v>
      </c>
      <c r="B44" s="92" t="s">
        <v>121</v>
      </c>
      <c r="C44" s="50">
        <v>79.58</v>
      </c>
      <c r="D44" s="35">
        <f t="shared" si="10"/>
        <v>79.58</v>
      </c>
      <c r="E44" s="50">
        <v>137.24</v>
      </c>
      <c r="F44" s="50">
        <v>8.36</v>
      </c>
      <c r="G44" s="35">
        <f t="shared" si="11"/>
        <v>8.36</v>
      </c>
      <c r="H44" s="50">
        <v>8.26</v>
      </c>
      <c r="I44" s="35">
        <v>0</v>
      </c>
      <c r="J44" s="52">
        <f t="shared" si="12"/>
        <v>0</v>
      </c>
      <c r="K44" s="62">
        <v>1800</v>
      </c>
      <c r="L44" s="52">
        <v>0</v>
      </c>
      <c r="M44" s="52">
        <v>1</v>
      </c>
      <c r="N44" s="52">
        <v>2</v>
      </c>
      <c r="O44" s="52">
        <v>3</v>
      </c>
      <c r="P44" s="50">
        <v>200</v>
      </c>
      <c r="Q44" s="52">
        <v>0</v>
      </c>
      <c r="R44" s="52">
        <v>0</v>
      </c>
      <c r="S44" s="52">
        <v>0</v>
      </c>
      <c r="T44" s="53">
        <v>3</v>
      </c>
      <c r="U44" s="58" t="s">
        <v>48</v>
      </c>
      <c r="V44" s="52">
        <f t="shared" si="13"/>
        <v>1</v>
      </c>
      <c r="W44" s="50">
        <v>1</v>
      </c>
      <c r="X44" s="50">
        <v>0</v>
      </c>
      <c r="Y44" s="52">
        <f t="shared" si="14"/>
        <v>1</v>
      </c>
      <c r="Z44" s="52">
        <f t="shared" si="15"/>
        <v>0</v>
      </c>
      <c r="AA44" s="52">
        <f t="shared" si="16"/>
        <v>0</v>
      </c>
      <c r="AB44" s="109">
        <f t="shared" si="21"/>
        <v>354.52499999999998</v>
      </c>
      <c r="AC44" s="55">
        <f t="shared" si="17"/>
        <v>0</v>
      </c>
      <c r="AD44" s="55">
        <f t="shared" si="18"/>
        <v>0</v>
      </c>
      <c r="AE44" s="50">
        <v>20</v>
      </c>
      <c r="AF44" s="50">
        <v>782.5</v>
      </c>
      <c r="AG44" s="28">
        <v>212000</v>
      </c>
      <c r="AH44" s="55">
        <v>1418.1</v>
      </c>
      <c r="AI44" s="55">
        <v>1298.0018199181879</v>
      </c>
      <c r="AJ44" s="61"/>
      <c r="AK44" s="71">
        <v>1.1000000000000001</v>
      </c>
      <c r="AL44" s="71">
        <f t="shared" si="22"/>
        <v>0.39789999999999998</v>
      </c>
      <c r="AM44" s="71">
        <v>0</v>
      </c>
      <c r="AN44" s="71"/>
      <c r="AO44" s="71"/>
      <c r="AT44" s="15"/>
      <c r="AU44" s="15"/>
      <c r="AV44" s="16"/>
      <c r="BA44" t="s">
        <v>126</v>
      </c>
      <c r="BB44" t="s">
        <v>125</v>
      </c>
      <c r="BC44" s="2">
        <v>2023</v>
      </c>
      <c r="BE44">
        <v>67</v>
      </c>
    </row>
    <row r="45" spans="1:57" ht="21.75" thickBot="1" x14ac:dyDescent="0.4">
      <c r="A45" s="31">
        <v>42</v>
      </c>
      <c r="B45" s="49" t="s">
        <v>122</v>
      </c>
      <c r="C45" s="28">
        <v>79.97</v>
      </c>
      <c r="D45" s="35">
        <f t="shared" si="10"/>
        <v>79.97</v>
      </c>
      <c r="E45" s="28">
        <v>136.06</v>
      </c>
      <c r="F45" s="28">
        <v>8.32</v>
      </c>
      <c r="G45" s="35">
        <f t="shared" si="11"/>
        <v>8.32</v>
      </c>
      <c r="H45" s="28">
        <v>8.16</v>
      </c>
      <c r="I45" s="35">
        <v>0</v>
      </c>
      <c r="J45" s="19">
        <f t="shared" si="12"/>
        <v>0</v>
      </c>
      <c r="K45" s="62">
        <v>2000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40">
        <v>3</v>
      </c>
      <c r="U45" s="58" t="s">
        <v>48</v>
      </c>
      <c r="V45" s="19">
        <f t="shared" si="13"/>
        <v>1</v>
      </c>
      <c r="W45" s="28">
        <v>1</v>
      </c>
      <c r="X45" s="28">
        <v>0</v>
      </c>
      <c r="Y45" s="19">
        <f t="shared" si="14"/>
        <v>1</v>
      </c>
      <c r="Z45" s="19">
        <f t="shared" si="15"/>
        <v>0</v>
      </c>
      <c r="AA45" s="19">
        <f t="shared" si="16"/>
        <v>0</v>
      </c>
      <c r="AB45" s="108">
        <f t="shared" ref="AB45:AB46" si="23">Y45*AH45/3.5</f>
        <v>355</v>
      </c>
      <c r="AC45" s="29">
        <f t="shared" si="17"/>
        <v>0</v>
      </c>
      <c r="AD45" s="29">
        <f t="shared" si="18"/>
        <v>0</v>
      </c>
      <c r="AE45" s="28">
        <v>20</v>
      </c>
      <c r="AF45" s="28">
        <v>782.5</v>
      </c>
      <c r="AG45" s="28">
        <v>212000</v>
      </c>
      <c r="AH45" s="29">
        <v>1242.5</v>
      </c>
      <c r="AI45" s="29"/>
      <c r="AJ45" s="32"/>
      <c r="AK45" s="71">
        <v>2.19</v>
      </c>
      <c r="AL45" s="71">
        <f t="shared" ref="AL43:AL46" si="24">D45/300</f>
        <v>0.26656666666666667</v>
      </c>
      <c r="AM45" s="71">
        <v>0</v>
      </c>
      <c r="AN45" s="71"/>
      <c r="AO45" s="71"/>
      <c r="AT45" s="15"/>
      <c r="AU45" s="15"/>
      <c r="AV45" s="16"/>
      <c r="BA45" t="s">
        <v>126</v>
      </c>
      <c r="BB45" t="s">
        <v>125</v>
      </c>
      <c r="BC45" s="2">
        <v>2023</v>
      </c>
      <c r="BE45">
        <v>67</v>
      </c>
    </row>
    <row r="46" spans="1:57" ht="21.75" thickBot="1" x14ac:dyDescent="0.4">
      <c r="A46" s="33">
        <v>43</v>
      </c>
      <c r="B46" s="111" t="s">
        <v>123</v>
      </c>
      <c r="C46" s="34">
        <v>79.87</v>
      </c>
      <c r="D46" s="35">
        <f t="shared" si="10"/>
        <v>79.87</v>
      </c>
      <c r="E46" s="34">
        <v>136.68</v>
      </c>
      <c r="F46" s="34">
        <v>8.3699999999999992</v>
      </c>
      <c r="G46" s="35">
        <f t="shared" si="11"/>
        <v>8.3699999999999992</v>
      </c>
      <c r="H46" s="34">
        <v>8.17</v>
      </c>
      <c r="I46" s="35">
        <v>0</v>
      </c>
      <c r="J46" s="35">
        <f t="shared" si="12"/>
        <v>0</v>
      </c>
      <c r="K46" s="112">
        <v>2000</v>
      </c>
      <c r="L46" s="35">
        <v>0</v>
      </c>
      <c r="M46" s="35">
        <v>1</v>
      </c>
      <c r="N46" s="35">
        <v>2</v>
      </c>
      <c r="O46" s="35">
        <v>3</v>
      </c>
      <c r="P46" s="34">
        <v>200</v>
      </c>
      <c r="Q46" s="35">
        <v>0</v>
      </c>
      <c r="R46" s="35">
        <v>0</v>
      </c>
      <c r="S46" s="35">
        <v>0</v>
      </c>
      <c r="T46" s="43">
        <v>3</v>
      </c>
      <c r="U46" s="58" t="s">
        <v>48</v>
      </c>
      <c r="V46" s="35">
        <f t="shared" si="13"/>
        <v>1</v>
      </c>
      <c r="W46" s="34">
        <v>1</v>
      </c>
      <c r="X46" s="34">
        <v>0</v>
      </c>
      <c r="Y46" s="35">
        <f t="shared" si="14"/>
        <v>1</v>
      </c>
      <c r="Z46" s="35">
        <f t="shared" si="15"/>
        <v>0</v>
      </c>
      <c r="AA46" s="35">
        <f t="shared" si="16"/>
        <v>0</v>
      </c>
      <c r="AB46" s="110">
        <f t="shared" si="23"/>
        <v>355.28571428571428</v>
      </c>
      <c r="AC46" s="36">
        <f t="shared" si="17"/>
        <v>0</v>
      </c>
      <c r="AD46" s="36">
        <f t="shared" si="18"/>
        <v>0</v>
      </c>
      <c r="AE46" s="34">
        <v>20</v>
      </c>
      <c r="AF46" s="103">
        <v>782.5</v>
      </c>
      <c r="AG46" s="34">
        <v>212000</v>
      </c>
      <c r="AH46" s="36">
        <v>1243.5</v>
      </c>
      <c r="AI46" s="36"/>
      <c r="AJ46" s="37"/>
      <c r="AK46" s="104">
        <v>2.2599999999999998</v>
      </c>
      <c r="AL46" s="73">
        <f t="shared" si="24"/>
        <v>0.26623333333333332</v>
      </c>
      <c r="AM46" s="73">
        <v>0</v>
      </c>
      <c r="AN46" s="71"/>
      <c r="AO46" s="71"/>
      <c r="AT46" s="15"/>
      <c r="AU46" s="15"/>
      <c r="AV46" s="16"/>
      <c r="BA46" t="s">
        <v>126</v>
      </c>
      <c r="BB46" t="s">
        <v>125</v>
      </c>
      <c r="BC46" s="2">
        <v>2023</v>
      </c>
      <c r="BE46">
        <v>67</v>
      </c>
    </row>
    <row r="47" spans="1:57" ht="21" x14ac:dyDescent="0.35">
      <c r="A47" s="50">
        <v>44</v>
      </c>
      <c r="B47" s="51" t="s">
        <v>143</v>
      </c>
      <c r="C47" s="50">
        <v>154.5</v>
      </c>
      <c r="D47" s="52">
        <v>154.5</v>
      </c>
      <c r="E47" s="50">
        <v>171.25</v>
      </c>
      <c r="F47" s="50">
        <v>20.99</v>
      </c>
      <c r="G47" s="52">
        <v>20.99</v>
      </c>
      <c r="H47" s="50">
        <v>11.52</v>
      </c>
      <c r="I47" s="52">
        <v>0</v>
      </c>
      <c r="J47" s="52">
        <v>0</v>
      </c>
      <c r="K47" s="52">
        <v>3000</v>
      </c>
      <c r="L47" s="52">
        <v>0</v>
      </c>
      <c r="M47" s="52">
        <v>1</v>
      </c>
      <c r="N47" s="52">
        <v>2</v>
      </c>
      <c r="O47" s="52">
        <v>3</v>
      </c>
      <c r="P47" s="50">
        <v>200</v>
      </c>
      <c r="Q47" s="52">
        <v>0</v>
      </c>
      <c r="R47" s="52">
        <v>0</v>
      </c>
      <c r="S47" s="52">
        <v>0</v>
      </c>
      <c r="T47" s="53">
        <v>3</v>
      </c>
      <c r="U47" s="54" t="s">
        <v>48</v>
      </c>
      <c r="V47" s="52">
        <v>1</v>
      </c>
      <c r="W47" s="50">
        <v>1</v>
      </c>
      <c r="X47" s="50">
        <v>0</v>
      </c>
      <c r="Y47" s="52">
        <f t="shared" si="14"/>
        <v>1</v>
      </c>
      <c r="Z47" s="52">
        <v>0</v>
      </c>
      <c r="AA47" s="52">
        <v>0</v>
      </c>
      <c r="AB47" s="109">
        <v>546.57142857142856</v>
      </c>
      <c r="AC47" s="55">
        <v>0</v>
      </c>
      <c r="AD47" s="55">
        <v>0</v>
      </c>
      <c r="AE47" s="50">
        <v>20</v>
      </c>
      <c r="AF47" s="50">
        <v>503.57</v>
      </c>
      <c r="AG47" s="50">
        <v>214300</v>
      </c>
      <c r="AH47" s="55">
        <v>1913</v>
      </c>
      <c r="AI47" s="55"/>
      <c r="AJ47" s="113"/>
      <c r="AK47" s="71">
        <v>-2.2000000000000002</v>
      </c>
      <c r="AL47" s="71">
        <v>0</v>
      </c>
      <c r="AM47" s="71">
        <v>0.125</v>
      </c>
      <c r="AN47" s="71"/>
      <c r="AO47" s="71"/>
      <c r="AT47" s="15"/>
      <c r="AU47" s="15"/>
      <c r="AV47" s="16"/>
    </row>
    <row r="48" spans="1:57" ht="21" x14ac:dyDescent="0.35">
      <c r="A48" s="60">
        <v>45</v>
      </c>
      <c r="B48" s="51" t="s">
        <v>144</v>
      </c>
      <c r="C48" s="50">
        <v>154.69999999999999</v>
      </c>
      <c r="D48" s="52">
        <v>154.69999999999999</v>
      </c>
      <c r="E48" s="50">
        <v>171.25</v>
      </c>
      <c r="F48" s="50">
        <v>20.98</v>
      </c>
      <c r="G48" s="52">
        <v>20.98</v>
      </c>
      <c r="H48" s="50">
        <v>11.36</v>
      </c>
      <c r="I48" s="52">
        <v>0</v>
      </c>
      <c r="J48" s="52">
        <v>0</v>
      </c>
      <c r="K48" s="109">
        <v>2984</v>
      </c>
      <c r="L48" s="52">
        <v>0</v>
      </c>
      <c r="M48" s="52">
        <v>1</v>
      </c>
      <c r="N48" s="52">
        <v>2</v>
      </c>
      <c r="O48" s="52">
        <v>3</v>
      </c>
      <c r="P48" s="50">
        <v>200</v>
      </c>
      <c r="Q48" s="52">
        <v>0</v>
      </c>
      <c r="R48" s="52">
        <v>0</v>
      </c>
      <c r="S48" s="52">
        <v>0</v>
      </c>
      <c r="T48" s="53">
        <v>3</v>
      </c>
      <c r="U48" s="54" t="s">
        <v>48</v>
      </c>
      <c r="V48" s="52">
        <v>1</v>
      </c>
      <c r="W48" s="50">
        <v>1</v>
      </c>
      <c r="X48" s="50">
        <v>0</v>
      </c>
      <c r="Y48" s="52">
        <f t="shared" si="14"/>
        <v>1</v>
      </c>
      <c r="Z48" s="52">
        <v>0</v>
      </c>
      <c r="AA48" s="52">
        <v>0</v>
      </c>
      <c r="AB48" s="55">
        <v>602.14285714285711</v>
      </c>
      <c r="AC48" s="55">
        <v>0</v>
      </c>
      <c r="AD48" s="55">
        <v>0</v>
      </c>
      <c r="AE48" s="50">
        <v>20</v>
      </c>
      <c r="AF48" s="50">
        <v>503.57</v>
      </c>
      <c r="AG48" s="50">
        <v>214300</v>
      </c>
      <c r="AH48" s="55">
        <v>2107.5</v>
      </c>
      <c r="AI48" s="55"/>
      <c r="AJ48" s="56"/>
      <c r="AK48" s="71">
        <v>-0.8</v>
      </c>
      <c r="AL48" s="71">
        <v>0</v>
      </c>
      <c r="AM48" s="71">
        <v>2.5</v>
      </c>
      <c r="AN48" s="71"/>
      <c r="AO48" s="71"/>
      <c r="AT48" s="15"/>
      <c r="AU48" s="15"/>
      <c r="AV48" s="16"/>
    </row>
    <row r="49" spans="1:48" ht="21" x14ac:dyDescent="0.35">
      <c r="A49" s="31">
        <v>46</v>
      </c>
      <c r="B49" s="49" t="s">
        <v>145</v>
      </c>
      <c r="C49" s="28">
        <v>227.75</v>
      </c>
      <c r="D49" s="19">
        <v>227.75</v>
      </c>
      <c r="E49" s="28">
        <v>245.75</v>
      </c>
      <c r="F49" s="28">
        <v>21.33</v>
      </c>
      <c r="G49" s="19">
        <v>21.33</v>
      </c>
      <c r="H49" s="28">
        <v>11.54</v>
      </c>
      <c r="I49" s="19">
        <v>0</v>
      </c>
      <c r="J49" s="19">
        <v>0</v>
      </c>
      <c r="K49" s="19">
        <v>3000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40">
        <v>3</v>
      </c>
      <c r="U49" s="47" t="s">
        <v>48</v>
      </c>
      <c r="V49" s="19">
        <v>1</v>
      </c>
      <c r="W49" s="28">
        <v>1</v>
      </c>
      <c r="X49" s="50">
        <v>0</v>
      </c>
      <c r="Y49" s="52">
        <f t="shared" si="14"/>
        <v>1</v>
      </c>
      <c r="Z49" s="19">
        <v>0</v>
      </c>
      <c r="AA49" s="19">
        <v>0</v>
      </c>
      <c r="AB49" s="29">
        <v>1245</v>
      </c>
      <c r="AC49" s="29">
        <v>0</v>
      </c>
      <c r="AD49" s="29">
        <v>0</v>
      </c>
      <c r="AE49" s="28">
        <v>20</v>
      </c>
      <c r="AF49" s="28">
        <v>503.57</v>
      </c>
      <c r="AG49" s="28">
        <v>214300</v>
      </c>
      <c r="AH49" s="29">
        <v>4357.5</v>
      </c>
      <c r="AI49" s="29"/>
      <c r="AJ49" s="32"/>
      <c r="AK49" s="71">
        <v>0.05</v>
      </c>
      <c r="AL49" s="71">
        <v>0</v>
      </c>
      <c r="AM49" s="71">
        <v>-0.375</v>
      </c>
      <c r="AN49" s="71"/>
      <c r="AO49" s="71"/>
      <c r="AT49" s="15"/>
      <c r="AU49" s="15"/>
      <c r="AV49" s="16"/>
    </row>
    <row r="50" spans="1:48" ht="21" x14ac:dyDescent="0.35">
      <c r="A50" s="31">
        <v>47</v>
      </c>
      <c r="B50" s="49" t="s">
        <v>146</v>
      </c>
      <c r="C50" s="28">
        <v>229</v>
      </c>
      <c r="D50" s="19">
        <v>229</v>
      </c>
      <c r="E50" s="28">
        <v>245.5</v>
      </c>
      <c r="F50" s="28">
        <v>21.15</v>
      </c>
      <c r="G50" s="19">
        <v>21.15</v>
      </c>
      <c r="H50" s="28">
        <v>11.62</v>
      </c>
      <c r="I50" s="19">
        <v>0</v>
      </c>
      <c r="J50" s="19">
        <v>0</v>
      </c>
      <c r="K50" s="19">
        <v>3000</v>
      </c>
      <c r="L50" s="19">
        <v>0</v>
      </c>
      <c r="M50" s="19">
        <v>1</v>
      </c>
      <c r="N50" s="19">
        <v>2</v>
      </c>
      <c r="O50" s="19">
        <v>3</v>
      </c>
      <c r="P50" s="28">
        <v>200</v>
      </c>
      <c r="Q50" s="19">
        <v>0</v>
      </c>
      <c r="R50" s="19">
        <v>0</v>
      </c>
      <c r="S50" s="19">
        <v>0</v>
      </c>
      <c r="T50" s="40">
        <v>3</v>
      </c>
      <c r="U50" s="47" t="s">
        <v>48</v>
      </c>
      <c r="V50" s="19">
        <v>1</v>
      </c>
      <c r="W50" s="28">
        <v>1</v>
      </c>
      <c r="X50" s="50">
        <v>0</v>
      </c>
      <c r="Y50" s="52">
        <f t="shared" si="14"/>
        <v>1</v>
      </c>
      <c r="Z50" s="19">
        <v>0</v>
      </c>
      <c r="AA50" s="19">
        <v>0</v>
      </c>
      <c r="AB50" s="29">
        <v>1225.7142857142858</v>
      </c>
      <c r="AC50" s="29">
        <v>0</v>
      </c>
      <c r="AD50" s="29">
        <v>0</v>
      </c>
      <c r="AE50" s="28">
        <v>20</v>
      </c>
      <c r="AF50" s="28">
        <v>503.57</v>
      </c>
      <c r="AG50" s="28">
        <v>214300</v>
      </c>
      <c r="AH50" s="29">
        <v>4290</v>
      </c>
      <c r="AI50" s="29"/>
      <c r="AJ50" s="32"/>
      <c r="AK50" s="71">
        <v>2</v>
      </c>
      <c r="AL50" s="71">
        <v>0</v>
      </c>
      <c r="AM50" s="71">
        <v>1.125</v>
      </c>
      <c r="AN50" s="71"/>
      <c r="AO50" s="71"/>
      <c r="AT50" s="15"/>
      <c r="AU50" s="15"/>
      <c r="AV50" s="16"/>
    </row>
    <row r="51" spans="1:48" ht="21" x14ac:dyDescent="0.35">
      <c r="A51" s="31">
        <v>48</v>
      </c>
      <c r="B51" s="101" t="s">
        <v>147</v>
      </c>
      <c r="C51" s="28">
        <v>308.75</v>
      </c>
      <c r="D51" s="19">
        <v>308.75</v>
      </c>
      <c r="E51" s="28">
        <v>317.25</v>
      </c>
      <c r="F51" s="28">
        <v>21.03</v>
      </c>
      <c r="G51" s="19">
        <v>21.03</v>
      </c>
      <c r="H51" s="28">
        <v>11.47</v>
      </c>
      <c r="I51" s="19">
        <v>0</v>
      </c>
      <c r="J51" s="19">
        <v>0</v>
      </c>
      <c r="K51" s="19">
        <v>3000</v>
      </c>
      <c r="L51" s="19">
        <v>0</v>
      </c>
      <c r="M51" s="19">
        <v>1</v>
      </c>
      <c r="N51" s="19">
        <v>2</v>
      </c>
      <c r="O51" s="19">
        <v>3</v>
      </c>
      <c r="P51" s="28">
        <v>200</v>
      </c>
      <c r="Q51" s="19">
        <v>0</v>
      </c>
      <c r="R51" s="19">
        <v>0</v>
      </c>
      <c r="S51" s="19">
        <v>0</v>
      </c>
      <c r="T51" s="40">
        <v>3</v>
      </c>
      <c r="U51" s="47" t="s">
        <v>48</v>
      </c>
      <c r="V51" s="19">
        <v>1</v>
      </c>
      <c r="W51" s="28">
        <v>1</v>
      </c>
      <c r="X51" s="50">
        <v>0</v>
      </c>
      <c r="Y51" s="52">
        <f t="shared" si="14"/>
        <v>1</v>
      </c>
      <c r="Z51" s="19">
        <v>0</v>
      </c>
      <c r="AA51" s="19">
        <v>0</v>
      </c>
      <c r="AB51" s="29">
        <v>2170.4285714285716</v>
      </c>
      <c r="AC51" s="29">
        <v>0</v>
      </c>
      <c r="AD51" s="29">
        <v>0</v>
      </c>
      <c r="AE51" s="28">
        <v>20</v>
      </c>
      <c r="AF51" s="28">
        <v>503.57</v>
      </c>
      <c r="AG51" s="28">
        <v>214300</v>
      </c>
      <c r="AH51" s="29">
        <v>7596.5</v>
      </c>
      <c r="AI51" s="29"/>
      <c r="AJ51" s="32"/>
      <c r="AK51" s="71">
        <v>0</v>
      </c>
      <c r="AL51" s="71">
        <v>0</v>
      </c>
      <c r="AM51" s="71">
        <v>-3</v>
      </c>
      <c r="AN51" s="71"/>
      <c r="AO51" s="71"/>
      <c r="AT51" s="15"/>
      <c r="AU51" s="15"/>
      <c r="AV51" s="16"/>
    </row>
    <row r="52" spans="1:48" ht="21.75" thickBot="1" x14ac:dyDescent="0.4">
      <c r="A52" s="33">
        <v>49</v>
      </c>
      <c r="B52" s="57" t="s">
        <v>148</v>
      </c>
      <c r="C52" s="34">
        <v>308.25</v>
      </c>
      <c r="D52" s="35">
        <v>308.25</v>
      </c>
      <c r="E52" s="34">
        <v>318.5</v>
      </c>
      <c r="F52" s="34">
        <v>21.2</v>
      </c>
      <c r="G52" s="35">
        <v>21.2</v>
      </c>
      <c r="H52" s="34">
        <v>11.46</v>
      </c>
      <c r="I52" s="35">
        <v>0</v>
      </c>
      <c r="J52" s="35">
        <v>0</v>
      </c>
      <c r="K52" s="35">
        <v>3000</v>
      </c>
      <c r="L52" s="35">
        <v>0</v>
      </c>
      <c r="M52" s="35">
        <v>1</v>
      </c>
      <c r="N52" s="35">
        <v>2</v>
      </c>
      <c r="O52" s="35">
        <v>3</v>
      </c>
      <c r="P52" s="34">
        <v>200</v>
      </c>
      <c r="Q52" s="35">
        <v>0</v>
      </c>
      <c r="R52" s="35">
        <v>0</v>
      </c>
      <c r="S52" s="35">
        <v>0</v>
      </c>
      <c r="T52" s="43">
        <v>3</v>
      </c>
      <c r="U52" s="58" t="s">
        <v>48</v>
      </c>
      <c r="V52" s="35">
        <v>1</v>
      </c>
      <c r="W52" s="34">
        <v>1</v>
      </c>
      <c r="X52" s="103">
        <v>0</v>
      </c>
      <c r="Y52" s="52">
        <f t="shared" si="14"/>
        <v>1</v>
      </c>
      <c r="Z52" s="35">
        <v>0</v>
      </c>
      <c r="AA52" s="35">
        <v>0</v>
      </c>
      <c r="AB52" s="36">
        <v>2152.7142857142858</v>
      </c>
      <c r="AC52" s="36">
        <v>0</v>
      </c>
      <c r="AD52" s="36">
        <v>0</v>
      </c>
      <c r="AE52" s="34">
        <v>20</v>
      </c>
      <c r="AF52" s="34">
        <v>503.57</v>
      </c>
      <c r="AG52" s="34">
        <v>214300</v>
      </c>
      <c r="AH52" s="36">
        <v>7534.5</v>
      </c>
      <c r="AI52" s="36"/>
      <c r="AJ52" s="37"/>
      <c r="AK52" s="73">
        <v>1.95</v>
      </c>
      <c r="AL52" s="73">
        <v>0</v>
      </c>
      <c r="AM52" s="73">
        <v>-0.375</v>
      </c>
      <c r="AN52" s="71"/>
      <c r="AO52" s="71"/>
      <c r="AT52" s="15"/>
      <c r="AU52" s="15"/>
      <c r="AV52" s="16"/>
    </row>
    <row r="53" spans="1:48" ht="21" x14ac:dyDescent="0.35">
      <c r="A53" s="93"/>
      <c r="B53" s="92"/>
      <c r="C53" s="94"/>
      <c r="D53" s="62"/>
      <c r="E53" s="94"/>
      <c r="F53" s="94"/>
      <c r="G53" s="62"/>
      <c r="H53" s="94"/>
      <c r="I53" s="62"/>
      <c r="J53" s="62"/>
      <c r="K53" s="114"/>
      <c r="L53" s="62"/>
      <c r="M53" s="62"/>
      <c r="N53" s="62"/>
      <c r="O53" s="62"/>
      <c r="P53" s="94"/>
      <c r="Q53" s="62"/>
      <c r="R53" s="62"/>
      <c r="S53" s="62"/>
      <c r="T53" s="95"/>
      <c r="U53" s="115"/>
      <c r="V53" s="62"/>
      <c r="W53" s="94"/>
      <c r="X53" s="94"/>
      <c r="Y53" s="62"/>
      <c r="Z53" s="62"/>
      <c r="AA53" s="62"/>
      <c r="AB53" s="96"/>
      <c r="AC53" s="96"/>
      <c r="AD53" s="96"/>
      <c r="AE53" s="94"/>
      <c r="AF53" s="94"/>
      <c r="AG53" s="94"/>
      <c r="AH53" s="96"/>
      <c r="AI53" s="96"/>
      <c r="AJ53" s="64"/>
      <c r="AK53" s="71"/>
      <c r="AL53" s="71"/>
      <c r="AM53" s="71"/>
      <c r="AN53" s="71"/>
      <c r="AO53" s="71"/>
      <c r="AT53" s="15"/>
      <c r="AU53" s="15"/>
      <c r="AV53" s="16"/>
    </row>
    <row r="54" spans="1:48" ht="21" x14ac:dyDescent="0.35">
      <c r="A54" s="28"/>
      <c r="B54" s="49"/>
      <c r="C54" s="28"/>
      <c r="D54" s="19"/>
      <c r="E54" s="28"/>
      <c r="F54" s="28"/>
      <c r="G54" s="19"/>
      <c r="H54" s="28"/>
      <c r="I54" s="19"/>
      <c r="J54" s="19"/>
      <c r="K54" s="77"/>
      <c r="L54" s="19"/>
      <c r="M54" s="19"/>
      <c r="N54" s="19"/>
      <c r="O54" s="19"/>
      <c r="P54" s="28"/>
      <c r="Q54" s="19"/>
      <c r="R54" s="19"/>
      <c r="S54" s="19"/>
      <c r="T54" s="40"/>
      <c r="U54" s="47"/>
      <c r="V54" s="19"/>
      <c r="W54" s="28"/>
      <c r="X54" s="28"/>
      <c r="Y54" s="19"/>
      <c r="Z54" s="19"/>
      <c r="AA54" s="19"/>
      <c r="AB54" s="29"/>
      <c r="AC54" s="29"/>
      <c r="AD54" s="29"/>
      <c r="AE54" s="28"/>
      <c r="AF54" s="28"/>
      <c r="AG54" s="28"/>
      <c r="AH54" s="29"/>
      <c r="AI54" s="29"/>
      <c r="AJ54" s="30"/>
      <c r="AK54" s="71"/>
      <c r="AL54" s="71"/>
      <c r="AM54" s="71"/>
      <c r="AN54" s="71"/>
      <c r="AO54" s="71"/>
      <c r="AT54" s="15"/>
      <c r="AU54" s="15"/>
      <c r="AV54" s="16"/>
    </row>
    <row r="55" spans="1:48" ht="21" x14ac:dyDescent="0.35">
      <c r="A55" s="60"/>
      <c r="B55" s="51"/>
      <c r="C55" s="50"/>
      <c r="D55" s="52"/>
      <c r="E55" s="50"/>
      <c r="F55" s="50"/>
      <c r="G55" s="52"/>
      <c r="H55" s="50"/>
      <c r="I55" s="52"/>
      <c r="J55" s="52"/>
      <c r="K55" s="52"/>
      <c r="L55" s="52"/>
      <c r="M55" s="52"/>
      <c r="N55" s="52"/>
      <c r="O55" s="52"/>
      <c r="P55" s="50"/>
      <c r="Q55" s="52"/>
      <c r="R55" s="52"/>
      <c r="S55" s="52"/>
      <c r="T55" s="53"/>
      <c r="U55" s="54"/>
      <c r="V55" s="62"/>
      <c r="W55" s="50"/>
      <c r="X55" s="50"/>
      <c r="Y55" s="52"/>
      <c r="Z55" s="52"/>
      <c r="AA55" s="52"/>
      <c r="AB55" s="55"/>
      <c r="AC55" s="55"/>
      <c r="AD55" s="55"/>
      <c r="AE55" s="50"/>
      <c r="AF55" s="50"/>
      <c r="AG55" s="50"/>
      <c r="AH55" s="63"/>
      <c r="AI55" s="63"/>
      <c r="AJ55" s="64"/>
      <c r="AK55" s="71"/>
      <c r="AL55" s="71"/>
      <c r="AM55" s="71"/>
      <c r="AN55" s="71"/>
      <c r="AO55" s="71"/>
      <c r="AT55" s="15"/>
      <c r="AU55" s="15"/>
      <c r="AV55" s="16"/>
    </row>
    <row r="56" spans="1:48" ht="21" x14ac:dyDescent="0.35">
      <c r="A56" s="31"/>
      <c r="B56" s="49"/>
      <c r="C56" s="28"/>
      <c r="D56" s="19"/>
      <c r="E56" s="28"/>
      <c r="F56" s="28"/>
      <c r="G56" s="19"/>
      <c r="H56" s="28"/>
      <c r="I56" s="19"/>
      <c r="J56" s="19"/>
      <c r="K56" s="77"/>
      <c r="L56" s="19"/>
      <c r="M56" s="19"/>
      <c r="N56" s="19"/>
      <c r="O56" s="19"/>
      <c r="P56" s="28"/>
      <c r="Q56" s="19"/>
      <c r="R56" s="19"/>
      <c r="S56" s="19"/>
      <c r="T56" s="40"/>
      <c r="U56" s="47"/>
      <c r="V56" s="19"/>
      <c r="W56" s="28"/>
      <c r="X56" s="50"/>
      <c r="Y56" s="19"/>
      <c r="Z56" s="19"/>
      <c r="AA56" s="19"/>
      <c r="AB56" s="29"/>
      <c r="AC56" s="29"/>
      <c r="AD56" s="29"/>
      <c r="AE56" s="28"/>
      <c r="AF56" s="28"/>
      <c r="AG56" s="28"/>
      <c r="AH56" s="29"/>
      <c r="AI56" s="29"/>
      <c r="AJ56" s="32"/>
      <c r="AK56" s="71"/>
      <c r="AL56" s="71"/>
      <c r="AM56" s="71"/>
      <c r="AN56" s="71"/>
      <c r="AO56" s="71"/>
      <c r="AT56" s="15"/>
      <c r="AU56" s="15"/>
      <c r="AV56" s="16"/>
    </row>
    <row r="57" spans="1:48" ht="21.75" thickBot="1" x14ac:dyDescent="0.4">
      <c r="A57" s="33"/>
      <c r="B57" s="57"/>
      <c r="C57" s="34"/>
      <c r="D57" s="35"/>
      <c r="E57" s="34"/>
      <c r="F57" s="34"/>
      <c r="G57" s="35"/>
      <c r="H57" s="34"/>
      <c r="I57" s="35"/>
      <c r="J57" s="35"/>
      <c r="K57" s="102"/>
      <c r="L57" s="35"/>
      <c r="M57" s="35"/>
      <c r="N57" s="35"/>
      <c r="O57" s="35"/>
      <c r="P57" s="34"/>
      <c r="Q57" s="35"/>
      <c r="R57" s="35"/>
      <c r="S57" s="35"/>
      <c r="T57" s="43"/>
      <c r="U57" s="58"/>
      <c r="V57" s="35"/>
      <c r="W57" s="34"/>
      <c r="X57" s="103"/>
      <c r="Y57" s="35"/>
      <c r="Z57" s="35"/>
      <c r="AA57" s="35"/>
      <c r="AB57" s="36"/>
      <c r="AC57" s="36"/>
      <c r="AD57" s="36"/>
      <c r="AE57" s="34"/>
      <c r="AF57" s="34"/>
      <c r="AG57" s="34"/>
      <c r="AH57" s="36"/>
      <c r="AI57" s="36"/>
      <c r="AJ57" s="37"/>
      <c r="AK57" s="73"/>
      <c r="AL57" s="73"/>
      <c r="AM57" s="73"/>
      <c r="AN57" s="71"/>
      <c r="AO57" s="71"/>
      <c r="AT57" s="15"/>
      <c r="AU57" s="15"/>
      <c r="AV57" s="16"/>
    </row>
    <row r="58" spans="1:48" ht="21" x14ac:dyDescent="0.35">
      <c r="A58" s="60"/>
      <c r="B58" s="50"/>
      <c r="C58" s="50"/>
      <c r="D58" s="52"/>
      <c r="E58" s="50"/>
      <c r="F58" s="50"/>
      <c r="G58" s="52"/>
      <c r="H58" s="50"/>
      <c r="I58" s="52"/>
      <c r="J58" s="52"/>
      <c r="K58" s="52"/>
      <c r="L58" s="52"/>
      <c r="M58" s="52"/>
      <c r="N58" s="52"/>
      <c r="O58" s="52"/>
      <c r="P58" s="50"/>
      <c r="Q58" s="52"/>
      <c r="R58" s="52"/>
      <c r="S58" s="52"/>
      <c r="T58" s="53"/>
      <c r="U58" s="54"/>
      <c r="V58" s="52"/>
      <c r="W58" s="50"/>
      <c r="X58" s="50"/>
      <c r="Y58" s="52"/>
      <c r="Z58" s="52"/>
      <c r="AA58" s="52"/>
      <c r="AB58" s="55"/>
      <c r="AC58" s="55"/>
      <c r="AD58" s="55"/>
      <c r="AE58" s="50"/>
      <c r="AF58" s="50"/>
      <c r="AG58" s="50"/>
      <c r="AH58" s="55"/>
      <c r="AI58" s="55"/>
      <c r="AJ58" s="61"/>
      <c r="AK58" s="71"/>
      <c r="AL58" s="71"/>
      <c r="AM58" s="71"/>
      <c r="AN58" s="71"/>
      <c r="AO58" s="71"/>
      <c r="AT58" s="15"/>
      <c r="AU58" s="15"/>
      <c r="AV58" s="16"/>
    </row>
    <row r="59" spans="1:48" ht="21" x14ac:dyDescent="0.35">
      <c r="A59" s="31"/>
      <c r="B59" s="28"/>
      <c r="C59" s="28"/>
      <c r="D59" s="19"/>
      <c r="E59" s="28"/>
      <c r="F59" s="28"/>
      <c r="G59" s="19"/>
      <c r="H59" s="28"/>
      <c r="I59" s="19"/>
      <c r="J59" s="19"/>
      <c r="K59" s="19"/>
      <c r="L59" s="19"/>
      <c r="M59" s="19"/>
      <c r="N59" s="19"/>
      <c r="O59" s="19"/>
      <c r="P59" s="28"/>
      <c r="Q59" s="19"/>
      <c r="R59" s="19"/>
      <c r="S59" s="19"/>
      <c r="T59" s="40"/>
      <c r="U59" s="47"/>
      <c r="V59" s="19"/>
      <c r="W59" s="28"/>
      <c r="X59" s="50"/>
      <c r="Y59" s="19"/>
      <c r="Z59" s="19"/>
      <c r="AA59" s="19"/>
      <c r="AB59" s="29"/>
      <c r="AC59" s="29"/>
      <c r="AD59" s="29"/>
      <c r="AE59" s="28"/>
      <c r="AF59" s="28"/>
      <c r="AG59" s="28"/>
      <c r="AH59" s="29"/>
      <c r="AI59" s="29"/>
      <c r="AJ59" s="32"/>
      <c r="AK59" s="71"/>
      <c r="AL59" s="71"/>
      <c r="AM59" s="71"/>
      <c r="AN59" s="71"/>
      <c r="AO59" s="71"/>
      <c r="AT59" s="15"/>
      <c r="AU59" s="15"/>
      <c r="AV59" s="16"/>
    </row>
    <row r="60" spans="1:48" ht="21" x14ac:dyDescent="0.35">
      <c r="A60" s="31"/>
      <c r="B60" s="28"/>
      <c r="C60" s="28"/>
      <c r="D60" s="19"/>
      <c r="E60" s="28"/>
      <c r="F60" s="28"/>
      <c r="G60" s="19"/>
      <c r="H60" s="28"/>
      <c r="I60" s="19"/>
      <c r="J60" s="19"/>
      <c r="K60" s="19"/>
      <c r="L60" s="19"/>
      <c r="M60" s="19"/>
      <c r="N60" s="19"/>
      <c r="O60" s="19"/>
      <c r="P60" s="28"/>
      <c r="Q60" s="19"/>
      <c r="R60" s="19"/>
      <c r="S60" s="19"/>
      <c r="T60" s="40"/>
      <c r="U60" s="47"/>
      <c r="V60" s="19"/>
      <c r="W60" s="28"/>
      <c r="X60" s="50"/>
      <c r="Y60" s="19"/>
      <c r="Z60" s="19"/>
      <c r="AA60" s="19"/>
      <c r="AB60" s="29"/>
      <c r="AC60" s="29"/>
      <c r="AD60" s="29"/>
      <c r="AE60" s="28"/>
      <c r="AF60" s="28"/>
      <c r="AG60" s="28"/>
      <c r="AH60" s="29"/>
      <c r="AI60" s="29"/>
      <c r="AJ60" s="32"/>
      <c r="AK60" s="71"/>
      <c r="AL60" s="71"/>
      <c r="AM60" s="71"/>
      <c r="AN60" s="71"/>
      <c r="AO60" s="71"/>
      <c r="AT60" s="15"/>
      <c r="AU60" s="15"/>
      <c r="AV60" s="16"/>
    </row>
    <row r="61" spans="1:48" ht="21" x14ac:dyDescent="0.35">
      <c r="A61" s="31"/>
      <c r="B61" s="28"/>
      <c r="C61" s="28"/>
      <c r="D61" s="19"/>
      <c r="E61" s="28"/>
      <c r="F61" s="28"/>
      <c r="G61" s="19"/>
      <c r="H61" s="28"/>
      <c r="I61" s="19"/>
      <c r="J61" s="19"/>
      <c r="K61" s="19"/>
      <c r="L61" s="19"/>
      <c r="M61" s="19"/>
      <c r="N61" s="19"/>
      <c r="O61" s="19"/>
      <c r="P61" s="28"/>
      <c r="Q61" s="19"/>
      <c r="R61" s="19"/>
      <c r="S61" s="19"/>
      <c r="T61" s="40"/>
      <c r="U61" s="47"/>
      <c r="V61" s="19"/>
      <c r="W61" s="28"/>
      <c r="X61" s="50"/>
      <c r="Y61" s="19"/>
      <c r="Z61" s="19"/>
      <c r="AA61" s="19"/>
      <c r="AB61" s="29"/>
      <c r="AC61" s="29"/>
      <c r="AD61" s="29"/>
      <c r="AE61" s="28"/>
      <c r="AF61" s="28"/>
      <c r="AG61" s="28"/>
      <c r="AH61" s="29"/>
      <c r="AI61" s="29"/>
      <c r="AJ61" s="32"/>
      <c r="AK61" s="71"/>
      <c r="AL61" s="71"/>
      <c r="AM61" s="71"/>
      <c r="AN61" s="71"/>
      <c r="AO61" s="71"/>
      <c r="AT61" s="15"/>
      <c r="AU61" s="15"/>
      <c r="AV61" s="16"/>
    </row>
    <row r="62" spans="1:48" ht="21" x14ac:dyDescent="0.35">
      <c r="A62" s="31"/>
      <c r="B62" s="28"/>
      <c r="C62" s="28"/>
      <c r="D62" s="19"/>
      <c r="E62" s="28"/>
      <c r="F62" s="28"/>
      <c r="G62" s="19"/>
      <c r="H62" s="28"/>
      <c r="I62" s="19"/>
      <c r="J62" s="19"/>
      <c r="K62" s="19"/>
      <c r="L62" s="19"/>
      <c r="M62" s="19"/>
      <c r="N62" s="19"/>
      <c r="O62" s="19"/>
      <c r="P62" s="28"/>
      <c r="Q62" s="19"/>
      <c r="R62" s="19"/>
      <c r="S62" s="19"/>
      <c r="T62" s="40"/>
      <c r="U62" s="47"/>
      <c r="V62" s="19"/>
      <c r="W62" s="28"/>
      <c r="X62" s="50"/>
      <c r="Y62" s="19"/>
      <c r="Z62" s="19"/>
      <c r="AA62" s="19"/>
      <c r="AB62" s="29"/>
      <c r="AC62" s="29"/>
      <c r="AD62" s="29"/>
      <c r="AE62" s="28"/>
      <c r="AF62" s="28"/>
      <c r="AG62" s="28"/>
      <c r="AH62" s="29"/>
      <c r="AI62" s="29"/>
      <c r="AJ62" s="32"/>
      <c r="AK62" s="71"/>
      <c r="AL62" s="71"/>
      <c r="AM62" s="71"/>
      <c r="AN62" s="71"/>
      <c r="AO62" s="71"/>
      <c r="AT62" s="15"/>
      <c r="AU62" s="15"/>
      <c r="AV62" s="16"/>
    </row>
    <row r="63" spans="1:48" ht="21" x14ac:dyDescent="0.35">
      <c r="A63" s="31"/>
      <c r="B63" s="28"/>
      <c r="C63" s="28"/>
      <c r="D63" s="19"/>
      <c r="E63" s="28"/>
      <c r="F63" s="28"/>
      <c r="G63" s="19"/>
      <c r="H63" s="28"/>
      <c r="I63" s="19"/>
      <c r="J63" s="19"/>
      <c r="K63" s="19"/>
      <c r="L63" s="19"/>
      <c r="M63" s="19"/>
      <c r="N63" s="19"/>
      <c r="O63" s="19"/>
      <c r="P63" s="28"/>
      <c r="Q63" s="19"/>
      <c r="R63" s="19"/>
      <c r="S63" s="19"/>
      <c r="T63" s="40"/>
      <c r="U63" s="47"/>
      <c r="V63" s="19"/>
      <c r="W63" s="28"/>
      <c r="X63" s="50"/>
      <c r="Y63" s="19"/>
      <c r="Z63" s="19"/>
      <c r="AA63" s="19"/>
      <c r="AB63" s="29"/>
      <c r="AC63" s="29"/>
      <c r="AD63" s="29"/>
      <c r="AE63" s="28"/>
      <c r="AF63" s="28"/>
      <c r="AG63" s="28"/>
      <c r="AH63" s="29"/>
      <c r="AI63" s="29"/>
      <c r="AJ63" s="32"/>
      <c r="AK63" s="71"/>
      <c r="AL63" s="71"/>
      <c r="AM63" s="71"/>
      <c r="AN63" s="71"/>
      <c r="AO63" s="71"/>
      <c r="AT63" s="15"/>
      <c r="AU63" s="15"/>
      <c r="AV63" s="16"/>
    </row>
    <row r="64" spans="1:48" ht="21" x14ac:dyDescent="0.35">
      <c r="A64" s="31"/>
      <c r="B64" s="79"/>
      <c r="C64" s="28"/>
      <c r="D64" s="19"/>
      <c r="E64" s="28"/>
      <c r="F64" s="28"/>
      <c r="G64" s="19"/>
      <c r="H64" s="28"/>
      <c r="I64" s="19"/>
      <c r="J64" s="19"/>
      <c r="K64" s="77"/>
      <c r="L64" s="19"/>
      <c r="M64" s="19"/>
      <c r="N64" s="19"/>
      <c r="O64" s="19"/>
      <c r="P64" s="28"/>
      <c r="Q64" s="19"/>
      <c r="R64" s="19"/>
      <c r="S64" s="19"/>
      <c r="T64" s="40"/>
      <c r="U64" s="47"/>
      <c r="V64" s="19"/>
      <c r="W64" s="28"/>
      <c r="X64" s="50"/>
      <c r="Y64" s="19"/>
      <c r="Z64" s="19"/>
      <c r="AA64" s="19"/>
      <c r="AB64" s="29"/>
      <c r="AC64" s="29"/>
      <c r="AD64" s="29"/>
      <c r="AE64" s="28"/>
      <c r="AF64" s="28"/>
      <c r="AG64" s="28"/>
      <c r="AH64" s="29"/>
      <c r="AI64" s="29"/>
      <c r="AJ64" s="32"/>
      <c r="AK64" s="71"/>
      <c r="AL64" s="71"/>
      <c r="AM64" s="71"/>
      <c r="AN64" s="71"/>
      <c r="AO64" s="71"/>
      <c r="AT64" s="15"/>
      <c r="AU64" s="15"/>
      <c r="AV64" s="16"/>
    </row>
    <row r="65" spans="1:55" ht="21" x14ac:dyDescent="0.35">
      <c r="A65" s="31"/>
      <c r="B65" s="28"/>
      <c r="C65" s="28"/>
      <c r="D65" s="19"/>
      <c r="E65" s="28"/>
      <c r="F65" s="28"/>
      <c r="G65" s="19"/>
      <c r="H65" s="28"/>
      <c r="I65" s="19"/>
      <c r="J65" s="19"/>
      <c r="K65" s="19"/>
      <c r="L65" s="19"/>
      <c r="M65" s="19"/>
      <c r="N65" s="19"/>
      <c r="O65" s="19"/>
      <c r="P65" s="28"/>
      <c r="Q65" s="19"/>
      <c r="R65" s="19"/>
      <c r="S65" s="19"/>
      <c r="T65" s="40"/>
      <c r="U65" s="47"/>
      <c r="V65" s="19"/>
      <c r="W65" s="28"/>
      <c r="X65" s="50"/>
      <c r="Y65" s="19"/>
      <c r="Z65" s="19"/>
      <c r="AA65" s="19"/>
      <c r="AB65" s="29"/>
      <c r="AC65" s="29"/>
      <c r="AD65" s="29"/>
      <c r="AE65" s="28"/>
      <c r="AF65" s="28"/>
      <c r="AG65" s="28"/>
      <c r="AH65" s="29"/>
      <c r="AI65" s="29"/>
      <c r="AJ65" s="32"/>
      <c r="AK65" s="71"/>
      <c r="AL65" s="71"/>
      <c r="AM65" s="71"/>
      <c r="AN65" s="71"/>
      <c r="AO65" s="71"/>
      <c r="AT65" s="15"/>
      <c r="AU65" s="15"/>
      <c r="AV65" s="16"/>
    </row>
    <row r="66" spans="1:55" ht="21" x14ac:dyDescent="0.35">
      <c r="A66" s="78"/>
      <c r="B66" s="50"/>
      <c r="C66" s="79"/>
      <c r="D66" s="80"/>
      <c r="E66" s="79"/>
      <c r="F66" s="79"/>
      <c r="G66" s="80"/>
      <c r="H66" s="79"/>
      <c r="I66" s="80"/>
      <c r="J66" s="80"/>
      <c r="K66" s="80"/>
      <c r="L66" s="80"/>
      <c r="M66" s="80"/>
      <c r="N66" s="80"/>
      <c r="O66" s="80"/>
      <c r="P66" s="79"/>
      <c r="Q66" s="80"/>
      <c r="R66" s="80"/>
      <c r="S66" s="80"/>
      <c r="T66" s="81"/>
      <c r="U66" s="82"/>
      <c r="V66" s="80"/>
      <c r="W66" s="28"/>
      <c r="X66" s="50"/>
      <c r="Y66" s="80"/>
      <c r="Z66" s="80"/>
      <c r="AA66" s="80"/>
      <c r="AB66" s="83"/>
      <c r="AC66" s="83"/>
      <c r="AD66" s="83"/>
      <c r="AE66" s="28"/>
      <c r="AF66" s="79"/>
      <c r="AG66" s="79"/>
      <c r="AH66" s="83"/>
      <c r="AI66" s="83"/>
      <c r="AJ66" s="84"/>
      <c r="AK66" s="71"/>
      <c r="AL66" s="71"/>
      <c r="AM66" s="71"/>
      <c r="AN66" s="71"/>
      <c r="AO66" s="71"/>
      <c r="AT66" s="15"/>
      <c r="AU66" s="15"/>
      <c r="AV66" s="16"/>
    </row>
    <row r="67" spans="1:55" s="85" customFormat="1" ht="21" x14ac:dyDescent="0.35">
      <c r="A67" s="28"/>
      <c r="B67" s="28"/>
      <c r="C67" s="28"/>
      <c r="D67" s="19"/>
      <c r="E67" s="28"/>
      <c r="F67" s="28"/>
      <c r="G67" s="19"/>
      <c r="H67" s="28"/>
      <c r="I67" s="19"/>
      <c r="J67" s="19"/>
      <c r="K67" s="77"/>
      <c r="L67" s="19"/>
      <c r="M67" s="19"/>
      <c r="N67" s="19"/>
      <c r="O67" s="19"/>
      <c r="P67" s="28"/>
      <c r="Q67" s="19"/>
      <c r="R67" s="19"/>
      <c r="S67" s="19"/>
      <c r="T67" s="40"/>
      <c r="U67" s="47"/>
      <c r="V67" s="19"/>
      <c r="W67" s="28"/>
      <c r="X67" s="50"/>
      <c r="Y67" s="19"/>
      <c r="Z67" s="19"/>
      <c r="AA67" s="19"/>
      <c r="AB67" s="29"/>
      <c r="AC67" s="29"/>
      <c r="AD67" s="29"/>
      <c r="AE67" s="28"/>
      <c r="AF67" s="28"/>
      <c r="AG67" s="28"/>
      <c r="AH67" s="29"/>
      <c r="AI67" s="29"/>
      <c r="AJ67" s="30"/>
      <c r="AK67" s="30"/>
      <c r="AL67" s="30"/>
      <c r="AM67" s="30"/>
      <c r="AN67" s="30"/>
      <c r="AO67" s="30"/>
      <c r="AT67" s="86"/>
      <c r="AU67" s="86"/>
      <c r="AV67" s="87"/>
      <c r="BC67" s="99"/>
    </row>
    <row r="68" spans="1:55" ht="21" x14ac:dyDescent="0.35">
      <c r="A68" s="60"/>
      <c r="B68" s="28"/>
      <c r="C68" s="50"/>
      <c r="D68" s="52"/>
      <c r="E68" s="50"/>
      <c r="F68" s="50"/>
      <c r="G68" s="52"/>
      <c r="H68" s="50"/>
      <c r="I68" s="52"/>
      <c r="J68" s="52"/>
      <c r="K68" s="88"/>
      <c r="L68" s="52"/>
      <c r="M68" s="52"/>
      <c r="N68" s="52"/>
      <c r="O68" s="52"/>
      <c r="P68" s="50"/>
      <c r="Q68" s="52"/>
      <c r="R68" s="52"/>
      <c r="S68" s="52"/>
      <c r="T68" s="53"/>
      <c r="U68" s="54"/>
      <c r="V68" s="52"/>
      <c r="W68" s="50"/>
      <c r="X68" s="50"/>
      <c r="Y68" s="52"/>
      <c r="Z68" s="52"/>
      <c r="AA68" s="52"/>
      <c r="AB68" s="55"/>
      <c r="AC68" s="55"/>
      <c r="AD68" s="55"/>
      <c r="AE68" s="28"/>
      <c r="AF68" s="50"/>
      <c r="AG68" s="50"/>
      <c r="AH68" s="55"/>
      <c r="AI68" s="55"/>
      <c r="AJ68" s="56"/>
      <c r="AK68" s="71"/>
      <c r="AL68" s="71"/>
      <c r="AM68" s="71"/>
      <c r="AN68" s="71"/>
      <c r="AO68" s="71"/>
    </row>
    <row r="69" spans="1:55" ht="21" x14ac:dyDescent="0.35">
      <c r="A69" s="31"/>
      <c r="B69" s="28"/>
      <c r="C69" s="28"/>
      <c r="D69" s="19"/>
      <c r="E69" s="28"/>
      <c r="F69" s="28"/>
      <c r="G69" s="19"/>
      <c r="H69" s="28"/>
      <c r="I69" s="19"/>
      <c r="J69" s="19"/>
      <c r="K69" s="77"/>
      <c r="L69" s="19"/>
      <c r="M69" s="19"/>
      <c r="N69" s="19"/>
      <c r="O69" s="19"/>
      <c r="P69" s="28"/>
      <c r="Q69" s="19"/>
      <c r="R69" s="19"/>
      <c r="S69" s="19"/>
      <c r="T69" s="40"/>
      <c r="U69" s="47"/>
      <c r="V69" s="19"/>
      <c r="W69" s="28"/>
      <c r="X69" s="28"/>
      <c r="Y69" s="19"/>
      <c r="Z69" s="19"/>
      <c r="AA69" s="19"/>
      <c r="AB69" s="29"/>
      <c r="AC69" s="29"/>
      <c r="AD69" s="29"/>
      <c r="AE69" s="28"/>
      <c r="AF69" s="28"/>
      <c r="AG69" s="28"/>
      <c r="AH69" s="29"/>
      <c r="AI69" s="29"/>
      <c r="AJ69" s="30"/>
      <c r="AK69" s="71"/>
      <c r="AL69" s="71"/>
      <c r="AM69" s="71"/>
      <c r="AN69" s="71"/>
      <c r="AO69" s="71"/>
    </row>
    <row r="70" spans="1:55" ht="21" x14ac:dyDescent="0.35">
      <c r="A70" s="31"/>
      <c r="B70" s="28"/>
      <c r="C70" s="28"/>
      <c r="D70" s="19"/>
      <c r="E70" s="28"/>
      <c r="F70" s="28"/>
      <c r="G70" s="19"/>
      <c r="H70" s="28"/>
      <c r="I70" s="19"/>
      <c r="J70" s="19"/>
      <c r="K70" s="77"/>
      <c r="L70" s="19"/>
      <c r="M70" s="19"/>
      <c r="N70" s="19"/>
      <c r="O70" s="19"/>
      <c r="P70" s="28"/>
      <c r="Q70" s="19"/>
      <c r="R70" s="19"/>
      <c r="S70" s="19"/>
      <c r="T70" s="40"/>
      <c r="U70" s="47"/>
      <c r="V70" s="19"/>
      <c r="W70" s="28"/>
      <c r="X70" s="28"/>
      <c r="Y70" s="19"/>
      <c r="Z70" s="19"/>
      <c r="AA70" s="19"/>
      <c r="AB70" s="29"/>
      <c r="AC70" s="29"/>
      <c r="AD70" s="29"/>
      <c r="AE70" s="28"/>
      <c r="AF70" s="28"/>
      <c r="AG70" s="28"/>
      <c r="AH70" s="29"/>
      <c r="AI70" s="29"/>
      <c r="AJ70" s="30"/>
      <c r="AK70" s="71"/>
      <c r="AL70" s="71"/>
      <c r="AM70" s="71"/>
      <c r="AN70" s="71"/>
      <c r="AO70" s="71"/>
    </row>
    <row r="71" spans="1:55" ht="21" x14ac:dyDescent="0.35">
      <c r="A71" s="31"/>
      <c r="B71" s="28"/>
      <c r="C71" s="28"/>
      <c r="D71" s="19"/>
      <c r="E71" s="28"/>
      <c r="F71" s="28"/>
      <c r="G71" s="19"/>
      <c r="H71" s="28"/>
      <c r="I71" s="19"/>
      <c r="J71" s="19"/>
      <c r="K71" s="77"/>
      <c r="L71" s="19"/>
      <c r="M71" s="19"/>
      <c r="N71" s="19"/>
      <c r="O71" s="19"/>
      <c r="P71" s="28"/>
      <c r="Q71" s="19"/>
      <c r="R71" s="19"/>
      <c r="S71" s="19"/>
      <c r="T71" s="40"/>
      <c r="U71" s="47"/>
      <c r="V71" s="19"/>
      <c r="W71" s="28"/>
      <c r="X71" s="28"/>
      <c r="Y71" s="19"/>
      <c r="Z71" s="19"/>
      <c r="AA71" s="19"/>
      <c r="AB71" s="29"/>
      <c r="AC71" s="29"/>
      <c r="AD71" s="29"/>
      <c r="AE71" s="28"/>
      <c r="AF71" s="28"/>
      <c r="AG71" s="28"/>
      <c r="AH71" s="29"/>
      <c r="AI71" s="29"/>
      <c r="AJ71" s="30"/>
      <c r="AK71" s="71"/>
      <c r="AL71" s="71"/>
      <c r="AM71" s="71"/>
      <c r="AN71" s="71"/>
      <c r="AO71" s="71"/>
    </row>
    <row r="72" spans="1:55" ht="21" x14ac:dyDescent="0.35">
      <c r="A72" s="31"/>
      <c r="B72" s="28"/>
      <c r="C72" s="28"/>
      <c r="D72" s="19"/>
      <c r="E72" s="28"/>
      <c r="F72" s="28"/>
      <c r="G72" s="19"/>
      <c r="H72" s="28"/>
      <c r="I72" s="19"/>
      <c r="J72" s="19"/>
      <c r="K72" s="19"/>
      <c r="L72" s="19"/>
      <c r="M72" s="19"/>
      <c r="N72" s="19"/>
      <c r="O72" s="19"/>
      <c r="P72" s="28"/>
      <c r="Q72" s="19"/>
      <c r="R72" s="19"/>
      <c r="S72" s="19"/>
      <c r="T72" s="40"/>
      <c r="U72" s="47"/>
      <c r="V72" s="19"/>
      <c r="W72" s="28"/>
      <c r="X72" s="28"/>
      <c r="Y72" s="19"/>
      <c r="Z72" s="19"/>
      <c r="AA72" s="19"/>
      <c r="AB72" s="29"/>
      <c r="AC72" s="29"/>
      <c r="AD72" s="29"/>
      <c r="AE72" s="28"/>
      <c r="AF72" s="28"/>
      <c r="AG72" s="28"/>
      <c r="AH72" s="29"/>
      <c r="AI72" s="29"/>
      <c r="AJ72" s="30"/>
      <c r="AK72" s="71"/>
      <c r="AL72" s="71"/>
      <c r="AM72" s="71"/>
      <c r="AN72" s="71"/>
      <c r="AO72" s="71"/>
    </row>
    <row r="73" spans="1:55" ht="21" x14ac:dyDescent="0.35">
      <c r="A73" s="31"/>
      <c r="B73" s="28"/>
      <c r="C73" s="28"/>
      <c r="D73" s="19"/>
      <c r="E73" s="28"/>
      <c r="F73" s="28"/>
      <c r="G73" s="19"/>
      <c r="H73" s="28"/>
      <c r="I73" s="19"/>
      <c r="J73" s="19"/>
      <c r="K73" s="77"/>
      <c r="L73" s="19"/>
      <c r="M73" s="19"/>
      <c r="N73" s="19"/>
      <c r="O73" s="19"/>
      <c r="P73" s="28"/>
      <c r="Q73" s="19"/>
      <c r="R73" s="19"/>
      <c r="S73" s="19"/>
      <c r="T73" s="40"/>
      <c r="U73" s="47"/>
      <c r="V73" s="19"/>
      <c r="W73" s="28"/>
      <c r="X73" s="28"/>
      <c r="Y73" s="19"/>
      <c r="Z73" s="19"/>
      <c r="AA73" s="19"/>
      <c r="AB73" s="29"/>
      <c r="AC73" s="29"/>
      <c r="AD73" s="29"/>
      <c r="AE73" s="28"/>
      <c r="AF73" s="28"/>
      <c r="AG73" s="28"/>
      <c r="AH73" s="29"/>
      <c r="AI73" s="29"/>
      <c r="AJ73" s="30"/>
      <c r="AK73" s="71"/>
      <c r="AL73" s="71"/>
      <c r="AM73" s="71"/>
      <c r="AN73" s="71"/>
      <c r="AO73" s="71"/>
    </row>
    <row r="74" spans="1:55" ht="21" x14ac:dyDescent="0.35">
      <c r="A74" s="31"/>
      <c r="B74" s="28"/>
      <c r="C74" s="28"/>
      <c r="D74" s="19"/>
      <c r="E74" s="28"/>
      <c r="F74" s="28"/>
      <c r="G74" s="19"/>
      <c r="H74" s="28"/>
      <c r="I74" s="19"/>
      <c r="J74" s="19"/>
      <c r="K74" s="19"/>
      <c r="L74" s="19"/>
      <c r="M74" s="19"/>
      <c r="N74" s="19"/>
      <c r="O74" s="19"/>
      <c r="P74" s="28"/>
      <c r="Q74" s="19"/>
      <c r="R74" s="19"/>
      <c r="S74" s="19"/>
      <c r="T74" s="40"/>
      <c r="U74" s="47"/>
      <c r="V74" s="19"/>
      <c r="W74" s="28"/>
      <c r="X74" s="28"/>
      <c r="Y74" s="19"/>
      <c r="Z74" s="19"/>
      <c r="AA74" s="19"/>
      <c r="AB74" s="29"/>
      <c r="AC74" s="29"/>
      <c r="AD74" s="29"/>
      <c r="AE74" s="28"/>
      <c r="AF74" s="28"/>
      <c r="AG74" s="28"/>
      <c r="AH74" s="29"/>
      <c r="AI74" s="29"/>
      <c r="AJ74" s="30"/>
      <c r="AK74" s="71"/>
      <c r="AL74" s="71"/>
      <c r="AM74" s="71"/>
      <c r="AN74" s="71"/>
      <c r="AO74" s="71"/>
    </row>
    <row r="75" spans="1:55" ht="21" x14ac:dyDescent="0.35">
      <c r="A75" s="31"/>
      <c r="B75" s="28"/>
      <c r="C75" s="28"/>
      <c r="D75" s="19"/>
      <c r="E75" s="28"/>
      <c r="F75" s="28"/>
      <c r="G75" s="19"/>
      <c r="H75" s="28"/>
      <c r="I75" s="19"/>
      <c r="J75" s="19"/>
      <c r="K75" s="77"/>
      <c r="L75" s="19"/>
      <c r="M75" s="19"/>
      <c r="N75" s="19"/>
      <c r="O75" s="19"/>
      <c r="P75" s="28"/>
      <c r="Q75" s="19"/>
      <c r="R75" s="19"/>
      <c r="S75" s="19"/>
      <c r="T75" s="40"/>
      <c r="U75" s="47"/>
      <c r="V75" s="19"/>
      <c r="W75" s="28"/>
      <c r="X75" s="28"/>
      <c r="Y75" s="19"/>
      <c r="Z75" s="19"/>
      <c r="AA75" s="19"/>
      <c r="AB75" s="29"/>
      <c r="AC75" s="29"/>
      <c r="AD75" s="29"/>
      <c r="AE75" s="28"/>
      <c r="AF75" s="28"/>
      <c r="AG75" s="28"/>
      <c r="AH75" s="29"/>
      <c r="AI75" s="29"/>
      <c r="AJ75" s="30"/>
      <c r="AK75" s="71"/>
      <c r="AL75" s="71"/>
      <c r="AM75" s="71"/>
      <c r="AN75" s="71"/>
      <c r="AO75" s="71"/>
    </row>
    <row r="76" spans="1:55" ht="21" x14ac:dyDescent="0.35">
      <c r="A76" s="31"/>
      <c r="B76" s="28"/>
      <c r="C76" s="28"/>
      <c r="D76" s="19"/>
      <c r="E76" s="28"/>
      <c r="F76" s="28"/>
      <c r="G76" s="19"/>
      <c r="H76" s="28"/>
      <c r="I76" s="19"/>
      <c r="J76" s="19"/>
      <c r="K76" s="19"/>
      <c r="L76" s="19"/>
      <c r="M76" s="19"/>
      <c r="N76" s="19"/>
      <c r="O76" s="19"/>
      <c r="P76" s="28"/>
      <c r="Q76" s="19"/>
      <c r="R76" s="19"/>
      <c r="S76" s="19"/>
      <c r="T76" s="40"/>
      <c r="U76" s="47"/>
      <c r="V76" s="19"/>
      <c r="W76" s="28"/>
      <c r="X76" s="28"/>
      <c r="Y76" s="19"/>
      <c r="Z76" s="19"/>
      <c r="AA76" s="19"/>
      <c r="AB76" s="29"/>
      <c r="AC76" s="29"/>
      <c r="AD76" s="29"/>
      <c r="AE76" s="28"/>
      <c r="AF76" s="28"/>
      <c r="AG76" s="28"/>
      <c r="AH76" s="29"/>
      <c r="AI76" s="29"/>
      <c r="AJ76" s="30"/>
      <c r="AK76" s="71"/>
      <c r="AL76" s="71"/>
      <c r="AM76" s="71"/>
      <c r="AN76" s="71"/>
      <c r="AO76" s="71"/>
    </row>
    <row r="77" spans="1:55" ht="21.75" thickBot="1" x14ac:dyDescent="0.4">
      <c r="A77" s="31"/>
      <c r="B77" s="34"/>
      <c r="C77" s="28"/>
      <c r="D77" s="19"/>
      <c r="E77" s="28"/>
      <c r="F77" s="28"/>
      <c r="G77" s="19"/>
      <c r="H77" s="28"/>
      <c r="I77" s="19"/>
      <c r="J77" s="19"/>
      <c r="K77" s="19"/>
      <c r="L77" s="19"/>
      <c r="M77" s="19"/>
      <c r="N77" s="19"/>
      <c r="O77" s="19"/>
      <c r="P77" s="28"/>
      <c r="Q77" s="19"/>
      <c r="R77" s="19"/>
      <c r="S77" s="19"/>
      <c r="T77" s="40"/>
      <c r="U77" s="47"/>
      <c r="V77" s="19"/>
      <c r="W77" s="28"/>
      <c r="X77" s="28"/>
      <c r="Y77" s="19"/>
      <c r="Z77" s="19"/>
      <c r="AA77" s="19"/>
      <c r="AB77" s="29"/>
      <c r="AC77" s="29"/>
      <c r="AD77" s="29"/>
      <c r="AE77" s="28"/>
      <c r="AF77" s="28"/>
      <c r="AG77" s="28"/>
      <c r="AH77" s="29"/>
      <c r="AI77" s="29"/>
      <c r="AJ77" s="30"/>
      <c r="AK77" s="71"/>
      <c r="AL77" s="71"/>
      <c r="AM77" s="71"/>
      <c r="AN77" s="71"/>
      <c r="AO77" s="71"/>
    </row>
    <row r="78" spans="1:55" ht="21" x14ac:dyDescent="0.35">
      <c r="A78" s="31"/>
      <c r="B78" s="28"/>
      <c r="C78" s="28"/>
      <c r="D78" s="19"/>
      <c r="E78" s="28"/>
      <c r="F78" s="28"/>
      <c r="G78" s="19"/>
      <c r="H78" s="28"/>
      <c r="I78" s="19"/>
      <c r="J78" s="19"/>
      <c r="K78" s="19"/>
      <c r="L78" s="19"/>
      <c r="M78" s="19"/>
      <c r="N78" s="19"/>
      <c r="O78" s="19"/>
      <c r="P78" s="28"/>
      <c r="Q78" s="19"/>
      <c r="R78" s="19"/>
      <c r="S78" s="19"/>
      <c r="T78" s="40"/>
      <c r="U78" s="47"/>
      <c r="V78" s="19"/>
      <c r="W78" s="28"/>
      <c r="X78" s="28"/>
      <c r="Y78" s="19"/>
      <c r="Z78" s="19"/>
      <c r="AA78" s="19"/>
      <c r="AB78" s="29"/>
      <c r="AC78" s="29"/>
      <c r="AD78" s="29"/>
      <c r="AE78" s="28"/>
      <c r="AF78" s="28"/>
      <c r="AG78" s="28"/>
      <c r="AH78" s="29"/>
      <c r="AI78" s="29"/>
      <c r="AJ78" s="30"/>
      <c r="AK78" s="71"/>
      <c r="AL78" s="71"/>
      <c r="AM78" s="71"/>
      <c r="AN78" s="71"/>
      <c r="AO78" s="71"/>
    </row>
    <row r="79" spans="1:55" ht="21.75" thickBot="1" x14ac:dyDescent="0.4">
      <c r="A79" s="33"/>
      <c r="B79" s="89"/>
      <c r="C79" s="34"/>
      <c r="D79" s="35"/>
      <c r="E79" s="34"/>
      <c r="F79" s="34"/>
      <c r="G79" s="35"/>
      <c r="H79" s="34"/>
      <c r="I79" s="35"/>
      <c r="J79" s="35"/>
      <c r="K79" s="35"/>
      <c r="L79" s="35"/>
      <c r="M79" s="35"/>
      <c r="N79" s="35"/>
      <c r="O79" s="35"/>
      <c r="P79" s="34"/>
      <c r="Q79" s="35"/>
      <c r="R79" s="35"/>
      <c r="S79" s="35"/>
      <c r="T79" s="43"/>
      <c r="U79" s="58"/>
      <c r="V79" s="35"/>
      <c r="W79" s="34"/>
      <c r="X79" s="34"/>
      <c r="Y79" s="35"/>
      <c r="Z79" s="35"/>
      <c r="AA79" s="35"/>
      <c r="AB79" s="36"/>
      <c r="AC79" s="36"/>
      <c r="AD79" s="36"/>
      <c r="AE79" s="28"/>
      <c r="AF79" s="34"/>
      <c r="AG79" s="34"/>
      <c r="AH79" s="36"/>
      <c r="AI79" s="36"/>
      <c r="AJ79" s="59"/>
      <c r="AK79" s="71"/>
      <c r="AL79" s="71"/>
      <c r="AM79" s="71"/>
      <c r="AN79" s="71"/>
      <c r="AO79" s="71"/>
    </row>
    <row r="80" spans="1:55" s="85" customFormat="1" ht="21" x14ac:dyDescent="0.35">
      <c r="A80" s="50"/>
      <c r="B80" s="38"/>
      <c r="C80" s="50"/>
      <c r="D80" s="52"/>
      <c r="E80" s="50"/>
      <c r="F80" s="50"/>
      <c r="G80" s="52"/>
      <c r="H80" s="50"/>
      <c r="I80" s="52"/>
      <c r="J80" s="52"/>
      <c r="K80" s="52"/>
      <c r="L80" s="52"/>
      <c r="M80" s="52"/>
      <c r="N80" s="52"/>
      <c r="O80" s="52"/>
      <c r="P80" s="50"/>
      <c r="Q80" s="52"/>
      <c r="R80" s="52"/>
      <c r="S80" s="52"/>
      <c r="T80" s="53"/>
      <c r="U80" s="54"/>
      <c r="V80" s="52"/>
      <c r="W80" s="50"/>
      <c r="X80" s="50"/>
      <c r="Y80" s="52"/>
      <c r="Z80" s="52"/>
      <c r="AA80" s="52"/>
      <c r="AB80" s="55"/>
      <c r="AC80" s="55"/>
      <c r="AD80" s="55"/>
      <c r="AE80" s="28"/>
      <c r="AF80" s="50"/>
      <c r="AG80" s="50"/>
      <c r="AH80" s="55"/>
      <c r="AI80" s="55"/>
      <c r="AJ80" s="56"/>
      <c r="AK80" s="30"/>
      <c r="AL80" s="30"/>
      <c r="AM80" s="30"/>
      <c r="AN80" s="30"/>
      <c r="AO80" s="30"/>
      <c r="BC80" s="99"/>
    </row>
    <row r="81" spans="1:41" ht="21" x14ac:dyDescent="0.35">
      <c r="A81" s="89"/>
      <c r="B81" s="38"/>
      <c r="C81" s="89"/>
      <c r="D81" s="76"/>
      <c r="E81" s="89"/>
      <c r="F81" s="89"/>
      <c r="G81" s="76"/>
      <c r="H81" s="89"/>
      <c r="I81" s="52"/>
      <c r="J81" s="76"/>
      <c r="K81" s="52"/>
      <c r="L81" s="52"/>
      <c r="M81" s="52"/>
      <c r="N81" s="52"/>
      <c r="O81" s="52"/>
      <c r="P81" s="50"/>
      <c r="Q81" s="52"/>
      <c r="R81" s="52"/>
      <c r="S81" s="52"/>
      <c r="T81" s="53"/>
      <c r="U81" s="54"/>
      <c r="V81" s="52"/>
      <c r="W81" s="50"/>
      <c r="X81" s="50"/>
      <c r="Y81" s="52"/>
      <c r="Z81" s="52"/>
      <c r="AA81" s="52"/>
      <c r="AB81" s="55"/>
      <c r="AC81" s="55"/>
      <c r="AD81" s="55"/>
      <c r="AE81" s="28"/>
      <c r="AF81" s="50"/>
      <c r="AG81" s="50"/>
      <c r="AH81" s="55"/>
      <c r="AI81" s="55"/>
      <c r="AJ81" s="56"/>
      <c r="AK81" s="71"/>
      <c r="AL81" s="71"/>
      <c r="AM81" s="71"/>
      <c r="AN81" s="71"/>
      <c r="AO81" s="71"/>
    </row>
    <row r="82" spans="1:41" ht="21" x14ac:dyDescent="0.35">
      <c r="A82" s="38"/>
      <c r="B82" s="38"/>
      <c r="C82" s="38"/>
      <c r="D82" s="39"/>
      <c r="E82" s="38"/>
      <c r="F82" s="38"/>
      <c r="G82" s="39"/>
      <c r="H82" s="38"/>
      <c r="I82" s="19"/>
      <c r="J82" s="39"/>
      <c r="K82" s="19"/>
      <c r="L82" s="19"/>
      <c r="M82" s="19"/>
      <c r="N82" s="19"/>
      <c r="O82" s="19"/>
      <c r="P82" s="28"/>
      <c r="Q82" s="19"/>
      <c r="R82" s="19"/>
      <c r="S82" s="19"/>
      <c r="T82" s="40"/>
      <c r="U82" s="47"/>
      <c r="V82" s="19"/>
      <c r="W82" s="28"/>
      <c r="X82" s="28"/>
      <c r="Y82" s="19"/>
      <c r="Z82" s="19"/>
      <c r="AA82" s="19"/>
      <c r="AB82" s="29"/>
      <c r="AC82" s="29"/>
      <c r="AD82" s="29"/>
      <c r="AE82" s="28"/>
      <c r="AF82" s="28"/>
      <c r="AG82" s="28"/>
      <c r="AH82" s="29"/>
      <c r="AI82" s="29"/>
      <c r="AJ82" s="30"/>
      <c r="AK82" s="71"/>
      <c r="AL82" s="71"/>
      <c r="AM82" s="71"/>
      <c r="AN82" s="71"/>
      <c r="AO82" s="71"/>
    </row>
    <row r="83" spans="1:41" ht="21" x14ac:dyDescent="0.35">
      <c r="A83" s="38"/>
      <c r="B83" s="38"/>
      <c r="C83" s="38"/>
      <c r="D83" s="39"/>
      <c r="E83" s="38"/>
      <c r="F83" s="38"/>
      <c r="G83" s="39"/>
      <c r="H83" s="38"/>
      <c r="I83" s="19"/>
      <c r="J83" s="39"/>
      <c r="K83" s="19"/>
      <c r="L83" s="19"/>
      <c r="M83" s="19"/>
      <c r="N83" s="19"/>
      <c r="O83" s="19"/>
      <c r="P83" s="28"/>
      <c r="Q83" s="19"/>
      <c r="R83" s="19"/>
      <c r="S83" s="19"/>
      <c r="T83" s="40"/>
      <c r="U83" s="47"/>
      <c r="V83" s="19"/>
      <c r="W83" s="28"/>
      <c r="X83" s="28"/>
      <c r="Y83" s="19"/>
      <c r="Z83" s="19"/>
      <c r="AA83" s="19"/>
      <c r="AB83" s="29"/>
      <c r="AC83" s="29"/>
      <c r="AD83" s="29"/>
      <c r="AE83" s="28"/>
      <c r="AF83" s="28"/>
      <c r="AG83" s="28"/>
      <c r="AH83" s="29"/>
      <c r="AI83" s="29"/>
      <c r="AJ83" s="30"/>
      <c r="AK83" s="71"/>
      <c r="AL83" s="71"/>
      <c r="AM83" s="71"/>
      <c r="AN83" s="71"/>
      <c r="AO83" s="71"/>
    </row>
    <row r="84" spans="1:41" ht="21" x14ac:dyDescent="0.35">
      <c r="A84" s="38"/>
      <c r="B84" s="38"/>
      <c r="C84" s="38"/>
      <c r="D84" s="39"/>
      <c r="E84" s="38"/>
      <c r="F84" s="38"/>
      <c r="G84" s="39"/>
      <c r="H84" s="38"/>
      <c r="I84" s="19"/>
      <c r="J84" s="39"/>
      <c r="K84" s="19"/>
      <c r="L84" s="19"/>
      <c r="M84" s="19"/>
      <c r="N84" s="19"/>
      <c r="O84" s="19"/>
      <c r="P84" s="28"/>
      <c r="Q84" s="19"/>
      <c r="R84" s="19"/>
      <c r="S84" s="19"/>
      <c r="T84" s="40"/>
      <c r="U84" s="47"/>
      <c r="V84" s="19"/>
      <c r="W84" s="28"/>
      <c r="X84" s="28"/>
      <c r="Y84" s="19"/>
      <c r="Z84" s="19"/>
      <c r="AA84" s="19"/>
      <c r="AB84" s="29"/>
      <c r="AC84" s="29"/>
      <c r="AD84" s="29"/>
      <c r="AE84" s="28"/>
      <c r="AF84" s="28"/>
      <c r="AG84" s="28"/>
      <c r="AH84" s="29"/>
      <c r="AI84" s="29"/>
      <c r="AJ84" s="30"/>
      <c r="AK84" s="71"/>
      <c r="AL84" s="71"/>
      <c r="AM84" s="71"/>
      <c r="AN84" s="71"/>
      <c r="AO84" s="71"/>
    </row>
    <row r="85" spans="1:41" ht="21" x14ac:dyDescent="0.35">
      <c r="A85" s="38"/>
      <c r="B85" s="38"/>
      <c r="C85" s="38"/>
      <c r="D85" s="39"/>
      <c r="E85" s="38"/>
      <c r="F85" s="38"/>
      <c r="G85" s="39"/>
      <c r="H85" s="38"/>
      <c r="I85" s="19"/>
      <c r="J85" s="39"/>
      <c r="K85" s="19"/>
      <c r="L85" s="19"/>
      <c r="M85" s="19"/>
      <c r="N85" s="19"/>
      <c r="O85" s="19"/>
      <c r="P85" s="28"/>
      <c r="Q85" s="19"/>
      <c r="R85" s="19"/>
      <c r="S85" s="19"/>
      <c r="T85" s="40"/>
      <c r="U85" s="47"/>
      <c r="V85" s="19"/>
      <c r="W85" s="28"/>
      <c r="X85" s="28"/>
      <c r="Y85" s="19"/>
      <c r="Z85" s="19"/>
      <c r="AA85" s="19"/>
      <c r="AB85" s="29"/>
      <c r="AC85" s="29"/>
      <c r="AD85" s="29"/>
      <c r="AE85" s="28"/>
      <c r="AF85" s="28"/>
      <c r="AG85" s="28"/>
      <c r="AH85" s="29"/>
      <c r="AI85" s="29"/>
      <c r="AJ85" s="30"/>
      <c r="AK85" s="71"/>
      <c r="AL85" s="71"/>
      <c r="AM85" s="71"/>
      <c r="AN85" s="71"/>
      <c r="AO85" s="71"/>
    </row>
    <row r="86" spans="1:41" ht="21" x14ac:dyDescent="0.35">
      <c r="A86" s="38"/>
      <c r="B86" s="38"/>
      <c r="C86" s="38"/>
      <c r="D86" s="39"/>
      <c r="E86" s="38"/>
      <c r="F86" s="38"/>
      <c r="G86" s="39"/>
      <c r="H86" s="38"/>
      <c r="I86" s="19"/>
      <c r="J86" s="39"/>
      <c r="K86" s="19"/>
      <c r="L86" s="19"/>
      <c r="M86" s="19"/>
      <c r="N86" s="19"/>
      <c r="O86" s="19"/>
      <c r="P86" s="28"/>
      <c r="Q86" s="19"/>
      <c r="R86" s="19"/>
      <c r="S86" s="19"/>
      <c r="T86" s="40"/>
      <c r="U86" s="47"/>
      <c r="V86" s="19"/>
      <c r="W86" s="28"/>
      <c r="X86" s="28"/>
      <c r="Y86" s="19"/>
      <c r="Z86" s="19"/>
      <c r="AA86" s="19"/>
      <c r="AB86" s="29"/>
      <c r="AC86" s="29"/>
      <c r="AD86" s="29"/>
      <c r="AE86" s="28"/>
      <c r="AF86" s="28"/>
      <c r="AG86" s="28"/>
      <c r="AH86" s="29"/>
      <c r="AI86" s="29"/>
      <c r="AJ86" s="30"/>
      <c r="AK86" s="71"/>
      <c r="AL86" s="71"/>
      <c r="AM86" s="71"/>
      <c r="AN86" s="71"/>
      <c r="AO86" s="71"/>
    </row>
    <row r="87" spans="1:41" ht="21" x14ac:dyDescent="0.35">
      <c r="A87" s="38"/>
      <c r="B87" s="38"/>
      <c r="C87" s="38"/>
      <c r="D87" s="39"/>
      <c r="E87" s="38"/>
      <c r="F87" s="38"/>
      <c r="G87" s="39"/>
      <c r="H87" s="38"/>
      <c r="I87" s="19"/>
      <c r="J87" s="39"/>
      <c r="K87" s="19"/>
      <c r="L87" s="19"/>
      <c r="M87" s="19"/>
      <c r="N87" s="19"/>
      <c r="O87" s="19"/>
      <c r="P87" s="28"/>
      <c r="Q87" s="19"/>
      <c r="R87" s="19"/>
      <c r="S87" s="19"/>
      <c r="T87" s="40"/>
      <c r="U87" s="47"/>
      <c r="V87" s="19"/>
      <c r="W87" s="28"/>
      <c r="X87" s="28"/>
      <c r="Y87" s="19"/>
      <c r="Z87" s="19"/>
      <c r="AA87" s="19"/>
      <c r="AB87" s="29"/>
      <c r="AC87" s="29"/>
      <c r="AD87" s="29"/>
      <c r="AE87" s="28"/>
      <c r="AF87" s="28"/>
      <c r="AG87" s="28"/>
      <c r="AH87" s="29"/>
      <c r="AI87" s="29"/>
      <c r="AJ87" s="30"/>
      <c r="AK87" s="71"/>
      <c r="AL87" s="71"/>
      <c r="AM87" s="71"/>
      <c r="AN87" s="71"/>
      <c r="AO87" s="71"/>
    </row>
    <row r="88" spans="1:41" ht="21" x14ac:dyDescent="0.35">
      <c r="A88" s="38"/>
      <c r="B88" s="38"/>
      <c r="C88" s="38"/>
      <c r="D88" s="39"/>
      <c r="E88" s="38"/>
      <c r="F88" s="38"/>
      <c r="G88" s="39"/>
      <c r="H88" s="38"/>
      <c r="I88" s="19"/>
      <c r="J88" s="39"/>
      <c r="K88" s="19"/>
      <c r="L88" s="19"/>
      <c r="M88" s="19"/>
      <c r="N88" s="19"/>
      <c r="O88" s="19"/>
      <c r="P88" s="28"/>
      <c r="Q88" s="19"/>
      <c r="R88" s="19"/>
      <c r="S88" s="19"/>
      <c r="T88" s="40"/>
      <c r="U88" s="47"/>
      <c r="V88" s="19"/>
      <c r="W88" s="28"/>
      <c r="X88" s="28"/>
      <c r="Y88" s="19"/>
      <c r="Z88" s="19"/>
      <c r="AA88" s="19"/>
      <c r="AB88" s="29"/>
      <c r="AC88" s="29"/>
      <c r="AD88" s="29"/>
      <c r="AE88" s="28"/>
      <c r="AF88" s="28"/>
      <c r="AG88" s="28"/>
      <c r="AH88" s="29"/>
      <c r="AI88" s="29"/>
      <c r="AJ88" s="30"/>
      <c r="AK88" s="71"/>
      <c r="AL88" s="71"/>
      <c r="AM88" s="71"/>
      <c r="AN88" s="71"/>
      <c r="AO88" s="71"/>
    </row>
    <row r="89" spans="1:41" ht="21" x14ac:dyDescent="0.35">
      <c r="A89" s="38"/>
      <c r="B89" s="38"/>
      <c r="C89" s="38"/>
      <c r="D89" s="39"/>
      <c r="E89" s="38"/>
      <c r="F89" s="38"/>
      <c r="G89" s="39"/>
      <c r="H89" s="38"/>
      <c r="I89" s="19"/>
      <c r="J89" s="39"/>
      <c r="K89" s="19"/>
      <c r="L89" s="19"/>
      <c r="M89" s="19"/>
      <c r="N89" s="19"/>
      <c r="O89" s="19"/>
      <c r="P89" s="28"/>
      <c r="Q89" s="19"/>
      <c r="R89" s="19"/>
      <c r="S89" s="19"/>
      <c r="T89" s="40"/>
      <c r="U89" s="47"/>
      <c r="V89" s="19"/>
      <c r="W89" s="28"/>
      <c r="X89" s="28"/>
      <c r="Y89" s="19"/>
      <c r="Z89" s="19"/>
      <c r="AA89" s="19"/>
      <c r="AB89" s="29"/>
      <c r="AC89" s="29"/>
      <c r="AD89" s="29"/>
      <c r="AE89" s="28"/>
      <c r="AF89" s="28"/>
      <c r="AG89" s="28"/>
      <c r="AH89" s="29"/>
      <c r="AI89" s="29"/>
      <c r="AJ89" s="30"/>
      <c r="AK89" s="71"/>
      <c r="AL89" s="71"/>
      <c r="AM89" s="71"/>
      <c r="AN89" s="71"/>
      <c r="AO89" s="71"/>
    </row>
    <row r="90" spans="1:41" ht="21" x14ac:dyDescent="0.35">
      <c r="A90" s="38"/>
      <c r="B90" s="38"/>
      <c r="C90" s="38"/>
      <c r="D90" s="39"/>
      <c r="E90" s="38"/>
      <c r="F90" s="38"/>
      <c r="G90" s="39"/>
      <c r="H90" s="38"/>
      <c r="I90" s="19"/>
      <c r="J90" s="39"/>
      <c r="K90" s="19"/>
      <c r="L90" s="19"/>
      <c r="M90" s="19"/>
      <c r="N90" s="19"/>
      <c r="O90" s="19"/>
      <c r="P90" s="28"/>
      <c r="Q90" s="19"/>
      <c r="R90" s="19"/>
      <c r="S90" s="19"/>
      <c r="T90" s="40"/>
      <c r="U90" s="47"/>
      <c r="V90" s="19"/>
      <c r="W90" s="28"/>
      <c r="X90" s="28"/>
      <c r="Y90" s="19"/>
      <c r="Z90" s="19"/>
      <c r="AA90" s="19"/>
      <c r="AB90" s="29"/>
      <c r="AC90" s="29"/>
      <c r="AD90" s="29"/>
      <c r="AE90" s="28"/>
      <c r="AF90" s="28"/>
      <c r="AG90" s="28"/>
      <c r="AH90" s="29"/>
      <c r="AI90" s="29"/>
      <c r="AJ90" s="30"/>
      <c r="AK90" s="71"/>
      <c r="AL90" s="71"/>
      <c r="AM90" s="71"/>
      <c r="AN90" s="71"/>
      <c r="AO90" s="71"/>
    </row>
    <row r="91" spans="1:41" ht="21" x14ac:dyDescent="0.35">
      <c r="A91" s="38"/>
      <c r="B91" s="38"/>
      <c r="C91" s="38"/>
      <c r="D91" s="39"/>
      <c r="E91" s="38"/>
      <c r="F91" s="38"/>
      <c r="G91" s="39"/>
      <c r="H91" s="38"/>
      <c r="I91" s="19"/>
      <c r="J91" s="39"/>
      <c r="K91" s="19"/>
      <c r="L91" s="19"/>
      <c r="M91" s="19"/>
      <c r="N91" s="19"/>
      <c r="O91" s="19"/>
      <c r="P91" s="28"/>
      <c r="Q91" s="19"/>
      <c r="R91" s="19"/>
      <c r="S91" s="19"/>
      <c r="T91" s="40"/>
      <c r="U91" s="47"/>
      <c r="V91" s="19"/>
      <c r="W91" s="28"/>
      <c r="X91" s="28"/>
      <c r="Y91" s="19"/>
      <c r="Z91" s="19"/>
      <c r="AA91" s="19"/>
      <c r="AB91" s="29"/>
      <c r="AC91" s="29"/>
      <c r="AD91" s="29"/>
      <c r="AE91" s="28"/>
      <c r="AF91" s="28"/>
      <c r="AG91" s="28"/>
      <c r="AH91" s="29"/>
      <c r="AI91" s="29"/>
      <c r="AJ91" s="30"/>
      <c r="AK91" s="71"/>
      <c r="AL91" s="71"/>
      <c r="AM91" s="71"/>
      <c r="AN91" s="71"/>
      <c r="AO91" s="71"/>
    </row>
    <row r="92" spans="1:41" ht="21" x14ac:dyDescent="0.35">
      <c r="A92" s="38"/>
      <c r="B92" s="38"/>
      <c r="C92" s="38"/>
      <c r="D92" s="39"/>
      <c r="E92" s="38"/>
      <c r="F92" s="38"/>
      <c r="G92" s="39"/>
      <c r="H92" s="38"/>
      <c r="I92" s="19"/>
      <c r="J92" s="39"/>
      <c r="K92" s="19"/>
      <c r="L92" s="19"/>
      <c r="M92" s="19"/>
      <c r="N92" s="19"/>
      <c r="O92" s="19"/>
      <c r="P92" s="28"/>
      <c r="Q92" s="19"/>
      <c r="R92" s="19"/>
      <c r="S92" s="19"/>
      <c r="T92" s="40"/>
      <c r="U92" s="47"/>
      <c r="V92" s="19"/>
      <c r="W92" s="28"/>
      <c r="X92" s="28"/>
      <c r="Y92" s="19"/>
      <c r="Z92" s="19"/>
      <c r="AA92" s="19"/>
      <c r="AB92" s="29"/>
      <c r="AC92" s="29"/>
      <c r="AD92" s="29"/>
      <c r="AE92" s="28"/>
      <c r="AF92" s="28"/>
      <c r="AG92" s="28"/>
      <c r="AH92" s="29"/>
      <c r="AI92" s="29"/>
      <c r="AJ92" s="30"/>
      <c r="AK92" s="71"/>
      <c r="AL92" s="71"/>
      <c r="AM92" s="71"/>
      <c r="AN92" s="71"/>
      <c r="AO92" s="71"/>
    </row>
    <row r="93" spans="1:41" ht="21" x14ac:dyDescent="0.35">
      <c r="A93" s="38"/>
      <c r="B93" s="38"/>
      <c r="C93" s="38"/>
      <c r="D93" s="39"/>
      <c r="E93" s="38"/>
      <c r="F93" s="38"/>
      <c r="G93" s="39"/>
      <c r="H93" s="38"/>
      <c r="I93" s="19"/>
      <c r="J93" s="39"/>
      <c r="K93" s="19"/>
      <c r="L93" s="19"/>
      <c r="M93" s="19"/>
      <c r="N93" s="19"/>
      <c r="O93" s="19"/>
      <c r="P93" s="28"/>
      <c r="Q93" s="19"/>
      <c r="R93" s="19"/>
      <c r="S93" s="19"/>
      <c r="T93" s="40"/>
      <c r="U93" s="47"/>
      <c r="V93" s="19"/>
      <c r="W93" s="28"/>
      <c r="X93" s="28"/>
      <c r="Y93" s="19"/>
      <c r="Z93" s="19"/>
      <c r="AA93" s="19"/>
      <c r="AB93" s="29"/>
      <c r="AC93" s="29"/>
      <c r="AD93" s="29"/>
      <c r="AE93" s="28"/>
      <c r="AF93" s="28"/>
      <c r="AG93" s="28"/>
      <c r="AH93" s="29"/>
      <c r="AI93" s="29"/>
      <c r="AJ93" s="30"/>
      <c r="AK93" s="71"/>
      <c r="AL93" s="71"/>
      <c r="AM93" s="71"/>
      <c r="AN93" s="71"/>
      <c r="AO93" s="71"/>
    </row>
    <row r="94" spans="1:41" ht="21" x14ac:dyDescent="0.35">
      <c r="A94" s="38"/>
      <c r="B94" s="38"/>
      <c r="C94" s="38"/>
      <c r="D94" s="39"/>
      <c r="E94" s="38"/>
      <c r="F94" s="38"/>
      <c r="G94" s="39"/>
      <c r="H94" s="38"/>
      <c r="I94" s="19"/>
      <c r="J94" s="39"/>
      <c r="K94" s="19"/>
      <c r="L94" s="19"/>
      <c r="M94" s="19"/>
      <c r="N94" s="19"/>
      <c r="O94" s="19"/>
      <c r="P94" s="28"/>
      <c r="Q94" s="19"/>
      <c r="R94" s="19"/>
      <c r="S94" s="19"/>
      <c r="T94" s="40"/>
      <c r="U94" s="47"/>
      <c r="V94" s="19"/>
      <c r="W94" s="28"/>
      <c r="X94" s="28"/>
      <c r="Y94" s="19"/>
      <c r="Z94" s="19"/>
      <c r="AA94" s="19"/>
      <c r="AB94" s="29"/>
      <c r="AC94" s="29"/>
      <c r="AD94" s="29"/>
      <c r="AE94" s="28"/>
      <c r="AF94" s="28"/>
      <c r="AG94" s="28"/>
      <c r="AH94" s="29"/>
      <c r="AI94" s="29"/>
      <c r="AJ94" s="30"/>
      <c r="AK94" s="71"/>
      <c r="AL94" s="71"/>
      <c r="AM94" s="71"/>
      <c r="AN94" s="71"/>
      <c r="AO94" s="71"/>
    </row>
    <row r="95" spans="1:41" ht="21" x14ac:dyDescent="0.35">
      <c r="A95" s="38"/>
      <c r="B95" s="38"/>
      <c r="C95" s="38"/>
      <c r="D95" s="39"/>
      <c r="E95" s="38"/>
      <c r="F95" s="38"/>
      <c r="G95" s="39"/>
      <c r="H95" s="38"/>
      <c r="I95" s="19"/>
      <c r="J95" s="39"/>
      <c r="K95" s="19"/>
      <c r="L95" s="19"/>
      <c r="M95" s="19"/>
      <c r="N95" s="19"/>
      <c r="O95" s="19"/>
      <c r="P95" s="28"/>
      <c r="Q95" s="19"/>
      <c r="R95" s="19"/>
      <c r="S95" s="19"/>
      <c r="T95" s="40"/>
      <c r="U95" s="47"/>
      <c r="V95" s="19"/>
      <c r="W95" s="28"/>
      <c r="X95" s="28"/>
      <c r="Y95" s="19"/>
      <c r="Z95" s="19"/>
      <c r="AA95" s="19"/>
      <c r="AB95" s="29"/>
      <c r="AC95" s="29"/>
      <c r="AD95" s="29"/>
      <c r="AE95" s="28"/>
      <c r="AF95" s="28"/>
      <c r="AG95" s="28"/>
      <c r="AH95" s="29"/>
      <c r="AI95" s="29"/>
      <c r="AJ95" s="30"/>
      <c r="AK95" s="71"/>
      <c r="AL95" s="71"/>
      <c r="AM95" s="71"/>
      <c r="AN95" s="71"/>
      <c r="AO95" s="71"/>
    </row>
    <row r="96" spans="1:41" ht="21" x14ac:dyDescent="0.35">
      <c r="A96" s="38"/>
      <c r="B96" s="38"/>
      <c r="C96" s="38"/>
      <c r="D96" s="39"/>
      <c r="E96" s="38"/>
      <c r="F96" s="38"/>
      <c r="G96" s="39"/>
      <c r="H96" s="38"/>
      <c r="I96" s="19"/>
      <c r="J96" s="39"/>
      <c r="K96" s="19"/>
      <c r="L96" s="19"/>
      <c r="M96" s="19"/>
      <c r="N96" s="19"/>
      <c r="O96" s="19"/>
      <c r="P96" s="28"/>
      <c r="Q96" s="19"/>
      <c r="R96" s="19"/>
      <c r="S96" s="19"/>
      <c r="T96" s="40"/>
      <c r="U96" s="47"/>
      <c r="V96" s="19"/>
      <c r="W96" s="28"/>
      <c r="X96" s="28"/>
      <c r="Y96" s="19"/>
      <c r="Z96" s="19"/>
      <c r="AA96" s="19"/>
      <c r="AB96" s="29"/>
      <c r="AC96" s="29"/>
      <c r="AD96" s="29"/>
      <c r="AE96" s="28"/>
      <c r="AF96" s="28"/>
      <c r="AG96" s="28"/>
      <c r="AH96" s="29"/>
      <c r="AI96" s="29"/>
      <c r="AJ96" s="30"/>
      <c r="AK96" s="71"/>
      <c r="AL96" s="71"/>
      <c r="AM96" s="71"/>
      <c r="AN96" s="71"/>
      <c r="AO96" s="71"/>
    </row>
    <row r="97" spans="1:41" ht="21" x14ac:dyDescent="0.35">
      <c r="A97" s="38"/>
      <c r="B97" s="38"/>
      <c r="C97" s="38"/>
      <c r="D97" s="39"/>
      <c r="E97" s="38"/>
      <c r="F97" s="38"/>
      <c r="G97" s="39"/>
      <c r="H97" s="38"/>
      <c r="I97" s="19"/>
      <c r="J97" s="39"/>
      <c r="K97" s="19"/>
      <c r="L97" s="19"/>
      <c r="M97" s="19"/>
      <c r="N97" s="19"/>
      <c r="O97" s="19"/>
      <c r="P97" s="28"/>
      <c r="Q97" s="19"/>
      <c r="R97" s="19"/>
      <c r="S97" s="19"/>
      <c r="T97" s="40"/>
      <c r="U97" s="47"/>
      <c r="V97" s="19"/>
      <c r="W97" s="28"/>
      <c r="X97" s="28"/>
      <c r="Y97" s="19"/>
      <c r="Z97" s="19"/>
      <c r="AA97" s="19"/>
      <c r="AB97" s="29"/>
      <c r="AC97" s="29"/>
      <c r="AD97" s="29"/>
      <c r="AE97" s="28"/>
      <c r="AF97" s="28"/>
      <c r="AG97" s="28"/>
      <c r="AH97" s="29"/>
      <c r="AI97" s="29"/>
      <c r="AJ97" s="30"/>
      <c r="AK97" s="71"/>
      <c r="AL97" s="71"/>
      <c r="AM97" s="71"/>
      <c r="AN97" s="71"/>
      <c r="AO97" s="71"/>
    </row>
    <row r="98" spans="1:41" ht="21" x14ac:dyDescent="0.35">
      <c r="A98" s="38"/>
      <c r="B98" s="38"/>
      <c r="C98" s="38"/>
      <c r="D98" s="39"/>
      <c r="E98" s="38"/>
      <c r="F98" s="38"/>
      <c r="G98" s="39"/>
      <c r="H98" s="38"/>
      <c r="I98" s="19"/>
      <c r="J98" s="39"/>
      <c r="K98" s="19"/>
      <c r="L98" s="19"/>
      <c r="M98" s="19"/>
      <c r="N98" s="19"/>
      <c r="O98" s="19"/>
      <c r="P98" s="28"/>
      <c r="Q98" s="19"/>
      <c r="R98" s="19"/>
      <c r="S98" s="19"/>
      <c r="T98" s="40"/>
      <c r="U98" s="47"/>
      <c r="V98" s="19"/>
      <c r="W98" s="28"/>
      <c r="X98" s="28"/>
      <c r="Y98" s="19"/>
      <c r="Z98" s="19"/>
      <c r="AA98" s="19"/>
      <c r="AB98" s="29"/>
      <c r="AC98" s="29"/>
      <c r="AD98" s="29"/>
      <c r="AE98" s="28"/>
      <c r="AF98" s="28"/>
      <c r="AG98" s="28"/>
      <c r="AH98" s="29"/>
      <c r="AI98" s="29"/>
      <c r="AJ98" s="30"/>
      <c r="AK98" s="71"/>
      <c r="AL98" s="71"/>
      <c r="AM98" s="71"/>
      <c r="AN98" s="71"/>
      <c r="AO98" s="71"/>
    </row>
    <row r="99" spans="1:41" ht="21" x14ac:dyDescent="0.35">
      <c r="A99" s="38"/>
      <c r="B99" s="38"/>
      <c r="C99" s="38"/>
      <c r="D99" s="39"/>
      <c r="E99" s="38"/>
      <c r="F99" s="38"/>
      <c r="G99" s="39"/>
      <c r="H99" s="38"/>
      <c r="I99" s="19"/>
      <c r="J99" s="39"/>
      <c r="K99" s="19"/>
      <c r="L99" s="19"/>
      <c r="M99" s="19"/>
      <c r="N99" s="19"/>
      <c r="O99" s="19"/>
      <c r="P99" s="28"/>
      <c r="Q99" s="19"/>
      <c r="R99" s="19"/>
      <c r="S99" s="19"/>
      <c r="T99" s="40"/>
      <c r="U99" s="47"/>
      <c r="V99" s="19"/>
      <c r="W99" s="28"/>
      <c r="X99" s="28"/>
      <c r="Y99" s="19"/>
      <c r="Z99" s="19"/>
      <c r="AA99" s="19"/>
      <c r="AB99" s="29"/>
      <c r="AC99" s="29"/>
      <c r="AD99" s="29"/>
      <c r="AE99" s="28"/>
      <c r="AF99" s="28"/>
      <c r="AG99" s="28"/>
      <c r="AH99" s="29"/>
      <c r="AI99" s="29"/>
      <c r="AJ99" s="30"/>
      <c r="AK99" s="71"/>
      <c r="AL99" s="71"/>
      <c r="AM99" s="71"/>
      <c r="AN99" s="71"/>
      <c r="AO99" s="71"/>
    </row>
    <row r="100" spans="1:41" ht="21" x14ac:dyDescent="0.35">
      <c r="A100" s="38"/>
      <c r="B100" s="38"/>
      <c r="C100" s="38"/>
      <c r="D100" s="39"/>
      <c r="E100" s="38"/>
      <c r="F100" s="38"/>
      <c r="G100" s="39"/>
      <c r="H100" s="38"/>
      <c r="I100" s="19"/>
      <c r="J100" s="39"/>
      <c r="K100" s="19"/>
      <c r="L100" s="19"/>
      <c r="M100" s="19"/>
      <c r="N100" s="19"/>
      <c r="O100" s="19"/>
      <c r="P100" s="28"/>
      <c r="Q100" s="19"/>
      <c r="R100" s="19"/>
      <c r="S100" s="19"/>
      <c r="T100" s="40"/>
      <c r="U100" s="47"/>
      <c r="V100" s="19"/>
      <c r="W100" s="28"/>
      <c r="X100" s="28"/>
      <c r="Y100" s="19"/>
      <c r="Z100" s="19"/>
      <c r="AA100" s="19"/>
      <c r="AB100" s="29"/>
      <c r="AC100" s="29"/>
      <c r="AD100" s="29"/>
      <c r="AE100" s="28"/>
      <c r="AF100" s="28"/>
      <c r="AG100" s="28"/>
      <c r="AH100" s="29"/>
      <c r="AI100" s="29"/>
      <c r="AJ100" s="30"/>
      <c r="AK100" s="71"/>
      <c r="AL100" s="71"/>
      <c r="AM100" s="71"/>
      <c r="AN100" s="71"/>
      <c r="AO100" s="71"/>
    </row>
    <row r="101" spans="1:41" ht="21" x14ac:dyDescent="0.35">
      <c r="A101" s="38"/>
      <c r="B101" s="38"/>
      <c r="C101" s="38"/>
      <c r="D101" s="39"/>
      <c r="E101" s="38"/>
      <c r="F101" s="38"/>
      <c r="G101" s="39"/>
      <c r="H101" s="38"/>
      <c r="I101" s="19"/>
      <c r="J101" s="39"/>
      <c r="K101" s="19"/>
      <c r="L101" s="19"/>
      <c r="M101" s="19"/>
      <c r="N101" s="19"/>
      <c r="O101" s="19"/>
      <c r="P101" s="28"/>
      <c r="Q101" s="19"/>
      <c r="R101" s="19"/>
      <c r="S101" s="19"/>
      <c r="T101" s="40"/>
      <c r="U101" s="47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28"/>
      <c r="AG101" s="28"/>
      <c r="AH101" s="29"/>
      <c r="AI101" s="29"/>
      <c r="AJ101" s="30"/>
      <c r="AK101" s="71"/>
      <c r="AL101" s="71"/>
      <c r="AM101" s="71"/>
      <c r="AN101" s="71"/>
      <c r="AO101" s="71"/>
    </row>
    <row r="102" spans="1:41" ht="21" x14ac:dyDescent="0.35">
      <c r="A102" s="38"/>
      <c r="B102" s="38"/>
      <c r="C102" s="38"/>
      <c r="D102" s="39"/>
      <c r="E102" s="38"/>
      <c r="F102" s="38"/>
      <c r="G102" s="39"/>
      <c r="H102" s="38"/>
      <c r="I102" s="19"/>
      <c r="J102" s="39"/>
      <c r="K102" s="19"/>
      <c r="L102" s="19"/>
      <c r="M102" s="19"/>
      <c r="N102" s="19"/>
      <c r="O102" s="19"/>
      <c r="P102" s="28"/>
      <c r="Q102" s="19"/>
      <c r="R102" s="19"/>
      <c r="S102" s="19"/>
      <c r="T102" s="40"/>
      <c r="U102" s="47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28"/>
      <c r="AG102" s="28"/>
      <c r="AH102" s="29"/>
      <c r="AI102" s="29"/>
      <c r="AJ102" s="30"/>
      <c r="AK102" s="71"/>
      <c r="AL102" s="71"/>
      <c r="AM102" s="71"/>
      <c r="AN102" s="71"/>
      <c r="AO102" s="71"/>
    </row>
    <row r="103" spans="1:41" ht="21" x14ac:dyDescent="0.35">
      <c r="A103" s="38"/>
      <c r="B103" s="38"/>
      <c r="C103" s="38"/>
      <c r="D103" s="39"/>
      <c r="E103" s="38"/>
      <c r="F103" s="38"/>
      <c r="G103" s="39"/>
      <c r="H103" s="38"/>
      <c r="I103" s="19"/>
      <c r="J103" s="39"/>
      <c r="K103" s="19"/>
      <c r="L103" s="19"/>
      <c r="M103" s="19"/>
      <c r="N103" s="19"/>
      <c r="O103" s="19"/>
      <c r="P103" s="28"/>
      <c r="Q103" s="19"/>
      <c r="R103" s="19"/>
      <c r="S103" s="19"/>
      <c r="T103" s="40"/>
      <c r="U103" s="47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28"/>
      <c r="AG103" s="28"/>
      <c r="AH103" s="29"/>
      <c r="AI103" s="29"/>
      <c r="AJ103" s="30"/>
      <c r="AK103" s="71"/>
      <c r="AL103" s="71"/>
      <c r="AM103" s="71"/>
      <c r="AN103" s="71"/>
      <c r="AO103" s="71"/>
    </row>
    <row r="104" spans="1:41" ht="21" x14ac:dyDescent="0.35">
      <c r="A104" s="38"/>
      <c r="B104" s="38"/>
      <c r="C104" s="38"/>
      <c r="D104" s="39"/>
      <c r="E104" s="38"/>
      <c r="F104" s="38"/>
      <c r="G104" s="39"/>
      <c r="H104" s="38"/>
      <c r="I104" s="19"/>
      <c r="J104" s="39"/>
      <c r="K104" s="19"/>
      <c r="L104" s="19"/>
      <c r="M104" s="19"/>
      <c r="N104" s="19"/>
      <c r="O104" s="19"/>
      <c r="P104" s="28"/>
      <c r="Q104" s="19"/>
      <c r="R104" s="19"/>
      <c r="S104" s="19"/>
      <c r="T104" s="40"/>
      <c r="U104" s="47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28"/>
      <c r="AG104" s="28"/>
      <c r="AH104" s="29"/>
      <c r="AI104" s="29"/>
      <c r="AJ104" s="30"/>
      <c r="AK104" s="71"/>
      <c r="AL104" s="71"/>
      <c r="AM104" s="71"/>
      <c r="AN104" s="71"/>
      <c r="AO104" s="71"/>
    </row>
    <row r="105" spans="1:41" ht="21" x14ac:dyDescent="0.35">
      <c r="A105" s="38"/>
      <c r="B105" s="38"/>
      <c r="C105" s="38"/>
      <c r="D105" s="39"/>
      <c r="E105" s="38"/>
      <c r="F105" s="38"/>
      <c r="G105" s="39"/>
      <c r="H105" s="38"/>
      <c r="I105" s="19"/>
      <c r="J105" s="39"/>
      <c r="K105" s="19"/>
      <c r="L105" s="19"/>
      <c r="M105" s="19"/>
      <c r="N105" s="19"/>
      <c r="O105" s="19"/>
      <c r="P105" s="28"/>
      <c r="Q105" s="19"/>
      <c r="R105" s="19"/>
      <c r="S105" s="19"/>
      <c r="T105" s="40"/>
      <c r="U105" s="47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28"/>
      <c r="AG105" s="28"/>
      <c r="AH105" s="29"/>
      <c r="AI105" s="29"/>
      <c r="AJ105" s="30"/>
      <c r="AK105" s="71"/>
      <c r="AL105" s="71"/>
      <c r="AM105" s="71"/>
      <c r="AN105" s="71"/>
      <c r="AO105" s="71"/>
    </row>
    <row r="106" spans="1:41" ht="21" x14ac:dyDescent="0.35">
      <c r="A106" s="38"/>
      <c r="B106" s="38"/>
      <c r="C106" s="38"/>
      <c r="D106" s="39"/>
      <c r="E106" s="38"/>
      <c r="F106" s="38"/>
      <c r="G106" s="39"/>
      <c r="H106" s="38"/>
      <c r="I106" s="19"/>
      <c r="J106" s="39"/>
      <c r="K106" s="19"/>
      <c r="L106" s="19"/>
      <c r="M106" s="19"/>
      <c r="N106" s="19"/>
      <c r="O106" s="19"/>
      <c r="P106" s="28"/>
      <c r="Q106" s="19"/>
      <c r="R106" s="19"/>
      <c r="S106" s="19"/>
      <c r="T106" s="40"/>
      <c r="U106" s="47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28"/>
      <c r="AG106" s="28"/>
      <c r="AH106" s="29"/>
      <c r="AI106" s="29"/>
      <c r="AJ106" s="30"/>
      <c r="AK106" s="71"/>
      <c r="AL106" s="71"/>
      <c r="AM106" s="71"/>
      <c r="AN106" s="71"/>
      <c r="AO106" s="71"/>
    </row>
    <row r="107" spans="1:41" ht="21" x14ac:dyDescent="0.35">
      <c r="A107" s="38"/>
      <c r="B107" s="38"/>
      <c r="C107" s="38"/>
      <c r="D107" s="39"/>
      <c r="E107" s="38"/>
      <c r="F107" s="38"/>
      <c r="G107" s="39"/>
      <c r="H107" s="38"/>
      <c r="I107" s="19"/>
      <c r="J107" s="39"/>
      <c r="K107" s="19"/>
      <c r="L107" s="19"/>
      <c r="M107" s="19"/>
      <c r="N107" s="19"/>
      <c r="O107" s="19"/>
      <c r="P107" s="28"/>
      <c r="Q107" s="19"/>
      <c r="R107" s="19"/>
      <c r="S107" s="19"/>
      <c r="T107" s="40"/>
      <c r="U107" s="47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71"/>
      <c r="AL107" s="71"/>
      <c r="AM107" s="71"/>
      <c r="AN107" s="71"/>
      <c r="AO107" s="71"/>
    </row>
    <row r="108" spans="1:41" ht="21" x14ac:dyDescent="0.35">
      <c r="A108" s="38"/>
      <c r="B108" s="38"/>
      <c r="C108" s="38"/>
      <c r="D108" s="39"/>
      <c r="E108" s="38"/>
      <c r="F108" s="38"/>
      <c r="G108" s="39"/>
      <c r="H108" s="38"/>
      <c r="I108" s="19"/>
      <c r="J108" s="39"/>
      <c r="K108" s="19"/>
      <c r="L108" s="19"/>
      <c r="M108" s="19"/>
      <c r="N108" s="19"/>
      <c r="O108" s="19"/>
      <c r="P108" s="28"/>
      <c r="Q108" s="19"/>
      <c r="R108" s="19"/>
      <c r="S108" s="19"/>
      <c r="T108" s="40"/>
      <c r="U108" s="47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71"/>
      <c r="AL108" s="71"/>
      <c r="AM108" s="71"/>
      <c r="AN108" s="71"/>
      <c r="AO108" s="71"/>
    </row>
    <row r="109" spans="1:41" ht="21" x14ac:dyDescent="0.35">
      <c r="A109" s="38"/>
      <c r="B109" s="38"/>
      <c r="C109" s="38"/>
      <c r="D109" s="39"/>
      <c r="E109" s="38"/>
      <c r="F109" s="38"/>
      <c r="G109" s="39"/>
      <c r="H109" s="38"/>
      <c r="I109" s="19"/>
      <c r="J109" s="39"/>
      <c r="K109" s="19"/>
      <c r="L109" s="19"/>
      <c r="M109" s="19"/>
      <c r="N109" s="19"/>
      <c r="O109" s="19"/>
      <c r="P109" s="28"/>
      <c r="Q109" s="19"/>
      <c r="R109" s="19"/>
      <c r="S109" s="19"/>
      <c r="T109" s="40"/>
      <c r="U109" s="47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71"/>
      <c r="AL109" s="71"/>
      <c r="AM109" s="71"/>
      <c r="AN109" s="71"/>
      <c r="AO109" s="71"/>
    </row>
    <row r="110" spans="1:41" ht="21" x14ac:dyDescent="0.35">
      <c r="A110" s="38"/>
      <c r="B110" s="38"/>
      <c r="C110" s="38"/>
      <c r="D110" s="39"/>
      <c r="E110" s="38"/>
      <c r="F110" s="38"/>
      <c r="G110" s="39"/>
      <c r="H110" s="38"/>
      <c r="I110" s="19"/>
      <c r="J110" s="39"/>
      <c r="K110" s="19"/>
      <c r="L110" s="19"/>
      <c r="M110" s="19"/>
      <c r="N110" s="19"/>
      <c r="O110" s="19"/>
      <c r="P110" s="28"/>
      <c r="Q110" s="19"/>
      <c r="R110" s="19"/>
      <c r="S110" s="19"/>
      <c r="T110" s="40"/>
      <c r="U110" s="47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71"/>
      <c r="AL110" s="71"/>
      <c r="AM110" s="71"/>
      <c r="AN110" s="71"/>
      <c r="AO110" s="71"/>
    </row>
    <row r="111" spans="1:41" ht="21" x14ac:dyDescent="0.35">
      <c r="A111" s="38"/>
      <c r="B111" s="38"/>
      <c r="C111" s="38"/>
      <c r="D111" s="39"/>
      <c r="E111" s="38"/>
      <c r="F111" s="38"/>
      <c r="G111" s="39"/>
      <c r="H111" s="38"/>
      <c r="I111" s="19"/>
      <c r="J111" s="39"/>
      <c r="K111" s="19"/>
      <c r="L111" s="19"/>
      <c r="M111" s="19"/>
      <c r="N111" s="19"/>
      <c r="O111" s="19"/>
      <c r="P111" s="28"/>
      <c r="Q111" s="19"/>
      <c r="R111" s="19"/>
      <c r="S111" s="19"/>
      <c r="T111" s="40"/>
      <c r="U111" s="47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71"/>
      <c r="AL111" s="71"/>
      <c r="AM111" s="71"/>
      <c r="AN111" s="71"/>
      <c r="AO111" s="71"/>
    </row>
    <row r="112" spans="1:41" ht="21" x14ac:dyDescent="0.35">
      <c r="A112" s="38"/>
      <c r="B112" s="38"/>
      <c r="C112" s="38"/>
      <c r="D112" s="39"/>
      <c r="E112" s="38"/>
      <c r="F112" s="38"/>
      <c r="G112" s="39"/>
      <c r="H112" s="38"/>
      <c r="I112" s="19"/>
      <c r="J112" s="39"/>
      <c r="K112" s="19"/>
      <c r="L112" s="19"/>
      <c r="M112" s="19"/>
      <c r="N112" s="19"/>
      <c r="O112" s="19"/>
      <c r="P112" s="28"/>
      <c r="Q112" s="19"/>
      <c r="R112" s="19"/>
      <c r="S112" s="19"/>
      <c r="T112" s="40"/>
      <c r="U112" s="47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71"/>
      <c r="AL112" s="71"/>
      <c r="AM112" s="71"/>
      <c r="AN112" s="71"/>
      <c r="AO112" s="71"/>
    </row>
    <row r="113" spans="1:41" ht="21" x14ac:dyDescent="0.35">
      <c r="A113" s="38"/>
      <c r="B113" s="38"/>
      <c r="C113" s="38"/>
      <c r="D113" s="39"/>
      <c r="E113" s="38"/>
      <c r="F113" s="38"/>
      <c r="G113" s="39"/>
      <c r="H113" s="38"/>
      <c r="I113" s="19"/>
      <c r="J113" s="39"/>
      <c r="K113" s="19"/>
      <c r="L113" s="19"/>
      <c r="M113" s="19"/>
      <c r="N113" s="19"/>
      <c r="O113" s="19"/>
      <c r="P113" s="28"/>
      <c r="Q113" s="19"/>
      <c r="R113" s="19"/>
      <c r="S113" s="19"/>
      <c r="T113" s="40"/>
      <c r="U113" s="47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71"/>
      <c r="AL113" s="71"/>
      <c r="AM113" s="71"/>
      <c r="AN113" s="71"/>
      <c r="AO113" s="71"/>
    </row>
    <row r="114" spans="1:41" ht="21" x14ac:dyDescent="0.35">
      <c r="A114" s="38"/>
      <c r="B114" s="38"/>
      <c r="C114" s="38"/>
      <c r="D114" s="39"/>
      <c r="E114" s="38"/>
      <c r="F114" s="38"/>
      <c r="G114" s="39"/>
      <c r="H114" s="38"/>
      <c r="I114" s="19"/>
      <c r="J114" s="39"/>
      <c r="K114" s="19"/>
      <c r="L114" s="19"/>
      <c r="M114" s="19"/>
      <c r="N114" s="19"/>
      <c r="O114" s="19"/>
      <c r="P114" s="28"/>
      <c r="Q114" s="19"/>
      <c r="R114" s="19"/>
      <c r="S114" s="19"/>
      <c r="T114" s="40"/>
      <c r="U114" s="47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71"/>
      <c r="AL114" s="71"/>
      <c r="AM114" s="71"/>
      <c r="AN114" s="71"/>
      <c r="AO114" s="71"/>
    </row>
    <row r="115" spans="1:41" ht="21" x14ac:dyDescent="0.35">
      <c r="A115" s="38"/>
      <c r="B115" s="38"/>
      <c r="C115" s="38"/>
      <c r="D115" s="39"/>
      <c r="E115" s="38"/>
      <c r="F115" s="38"/>
      <c r="G115" s="39"/>
      <c r="H115" s="38"/>
      <c r="I115" s="19"/>
      <c r="J115" s="39"/>
      <c r="K115" s="19"/>
      <c r="L115" s="19"/>
      <c r="M115" s="19"/>
      <c r="N115" s="19"/>
      <c r="O115" s="19"/>
      <c r="P115" s="28"/>
      <c r="Q115" s="19"/>
      <c r="R115" s="19"/>
      <c r="S115" s="19"/>
      <c r="T115" s="40"/>
      <c r="U115" s="47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71"/>
      <c r="AL115" s="71"/>
      <c r="AM115" s="71"/>
      <c r="AN115" s="71"/>
      <c r="AO115" s="71"/>
    </row>
    <row r="116" spans="1:41" ht="21" x14ac:dyDescent="0.35">
      <c r="A116" s="38"/>
      <c r="B116" s="38"/>
      <c r="C116" s="38"/>
      <c r="D116" s="39"/>
      <c r="E116" s="38"/>
      <c r="F116" s="38"/>
      <c r="G116" s="39"/>
      <c r="H116" s="38"/>
      <c r="I116" s="19"/>
      <c r="J116" s="39"/>
      <c r="K116" s="19"/>
      <c r="L116" s="19"/>
      <c r="M116" s="19"/>
      <c r="N116" s="19"/>
      <c r="O116" s="19"/>
      <c r="P116" s="28"/>
      <c r="Q116" s="19"/>
      <c r="R116" s="19"/>
      <c r="S116" s="19"/>
      <c r="T116" s="40"/>
      <c r="U116" s="47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71"/>
      <c r="AL116" s="71"/>
      <c r="AM116" s="71"/>
      <c r="AN116" s="71"/>
      <c r="AO116" s="71"/>
    </row>
    <row r="117" spans="1:41" ht="21" x14ac:dyDescent="0.35">
      <c r="A117" s="38"/>
      <c r="B117" s="38"/>
      <c r="C117" s="38"/>
      <c r="D117" s="39"/>
      <c r="E117" s="38"/>
      <c r="F117" s="38"/>
      <c r="G117" s="39"/>
      <c r="H117" s="38"/>
      <c r="I117" s="19"/>
      <c r="J117" s="39"/>
      <c r="K117" s="19"/>
      <c r="L117" s="19"/>
      <c r="M117" s="19"/>
      <c r="N117" s="19"/>
      <c r="O117" s="19"/>
      <c r="P117" s="28"/>
      <c r="Q117" s="19"/>
      <c r="R117" s="19"/>
      <c r="S117" s="19"/>
      <c r="T117" s="40"/>
      <c r="U117" s="47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71"/>
      <c r="AL117" s="71"/>
      <c r="AM117" s="71"/>
      <c r="AN117" s="71"/>
      <c r="AO117" s="71"/>
    </row>
    <row r="118" spans="1:41" ht="21" x14ac:dyDescent="0.35">
      <c r="A118" s="38"/>
      <c r="B118" s="38"/>
      <c r="C118" s="38"/>
      <c r="D118" s="39"/>
      <c r="E118" s="38"/>
      <c r="F118" s="38"/>
      <c r="G118" s="39"/>
      <c r="H118" s="38"/>
      <c r="I118" s="19"/>
      <c r="J118" s="39"/>
      <c r="K118" s="19"/>
      <c r="L118" s="19"/>
      <c r="M118" s="19"/>
      <c r="N118" s="19"/>
      <c r="O118" s="19"/>
      <c r="P118" s="28"/>
      <c r="Q118" s="19"/>
      <c r="R118" s="19"/>
      <c r="S118" s="19"/>
      <c r="T118" s="40"/>
      <c r="U118" s="47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71"/>
      <c r="AL118" s="71"/>
      <c r="AM118" s="71"/>
      <c r="AN118" s="71"/>
      <c r="AO118" s="71"/>
    </row>
    <row r="119" spans="1:41" ht="21" x14ac:dyDescent="0.35">
      <c r="A119" s="38"/>
      <c r="B119" s="38"/>
      <c r="C119" s="38"/>
      <c r="D119" s="39"/>
      <c r="E119" s="38"/>
      <c r="F119" s="38"/>
      <c r="G119" s="39"/>
      <c r="H119" s="38"/>
      <c r="I119" s="19"/>
      <c r="J119" s="39"/>
      <c r="K119" s="19"/>
      <c r="L119" s="19"/>
      <c r="M119" s="19"/>
      <c r="N119" s="19"/>
      <c r="O119" s="19"/>
      <c r="P119" s="28"/>
      <c r="Q119" s="19"/>
      <c r="R119" s="19"/>
      <c r="S119" s="19"/>
      <c r="T119" s="40"/>
      <c r="U119" s="47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71"/>
      <c r="AL119" s="71"/>
      <c r="AM119" s="71"/>
      <c r="AN119" s="71"/>
      <c r="AO119" s="71"/>
    </row>
    <row r="120" spans="1:41" ht="21" x14ac:dyDescent="0.35">
      <c r="A120" s="38"/>
      <c r="B120" s="38"/>
      <c r="C120" s="38"/>
      <c r="D120" s="39"/>
      <c r="E120" s="38"/>
      <c r="F120" s="38"/>
      <c r="G120" s="39"/>
      <c r="H120" s="38"/>
      <c r="I120" s="19"/>
      <c r="J120" s="39"/>
      <c r="K120" s="19"/>
      <c r="L120" s="19"/>
      <c r="M120" s="19"/>
      <c r="N120" s="19"/>
      <c r="O120" s="19"/>
      <c r="P120" s="28"/>
      <c r="Q120" s="19"/>
      <c r="R120" s="19"/>
      <c r="S120" s="19"/>
      <c r="T120" s="40"/>
      <c r="U120" s="47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71"/>
      <c r="AL120" s="71"/>
      <c r="AM120" s="71"/>
      <c r="AN120" s="71"/>
      <c r="AO120" s="71"/>
    </row>
    <row r="121" spans="1:41" ht="21" x14ac:dyDescent="0.35">
      <c r="A121" s="38"/>
      <c r="B121" s="38"/>
      <c r="C121" s="38"/>
      <c r="D121" s="39"/>
      <c r="E121" s="38"/>
      <c r="F121" s="38"/>
      <c r="G121" s="39"/>
      <c r="H121" s="38"/>
      <c r="I121" s="19"/>
      <c r="J121" s="39"/>
      <c r="K121" s="19"/>
      <c r="L121" s="19"/>
      <c r="M121" s="19"/>
      <c r="N121" s="19"/>
      <c r="O121" s="19"/>
      <c r="P121" s="28"/>
      <c r="Q121" s="19"/>
      <c r="R121" s="19"/>
      <c r="S121" s="19"/>
      <c r="T121" s="40"/>
      <c r="U121" s="47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71"/>
      <c r="AL121" s="71"/>
      <c r="AM121" s="71"/>
      <c r="AN121" s="71"/>
      <c r="AO121" s="71"/>
    </row>
    <row r="122" spans="1:41" ht="21" x14ac:dyDescent="0.35">
      <c r="A122" s="38"/>
      <c r="B122" s="38"/>
      <c r="C122" s="38"/>
      <c r="D122" s="39"/>
      <c r="E122" s="38"/>
      <c r="F122" s="38"/>
      <c r="G122" s="39"/>
      <c r="H122" s="38"/>
      <c r="I122" s="19"/>
      <c r="J122" s="39"/>
      <c r="K122" s="19"/>
      <c r="L122" s="19"/>
      <c r="M122" s="19"/>
      <c r="N122" s="19"/>
      <c r="O122" s="19"/>
      <c r="P122" s="28"/>
      <c r="Q122" s="19"/>
      <c r="R122" s="19"/>
      <c r="S122" s="19"/>
      <c r="T122" s="40"/>
      <c r="U122" s="47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71"/>
      <c r="AL122" s="71"/>
      <c r="AM122" s="71"/>
      <c r="AN122" s="71"/>
      <c r="AO122" s="71"/>
    </row>
    <row r="123" spans="1:41" ht="21" x14ac:dyDescent="0.35">
      <c r="A123" s="38"/>
      <c r="B123" s="38"/>
      <c r="C123" s="38"/>
      <c r="D123" s="39"/>
      <c r="E123" s="38"/>
      <c r="F123" s="38"/>
      <c r="G123" s="39"/>
      <c r="H123" s="38"/>
      <c r="I123" s="19"/>
      <c r="J123" s="39"/>
      <c r="K123" s="19"/>
      <c r="L123" s="19"/>
      <c r="M123" s="19"/>
      <c r="N123" s="19"/>
      <c r="O123" s="19"/>
      <c r="P123" s="28"/>
      <c r="Q123" s="19"/>
      <c r="R123" s="19"/>
      <c r="S123" s="19"/>
      <c r="T123" s="40"/>
      <c r="U123" s="47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71"/>
      <c r="AL123" s="71"/>
      <c r="AM123" s="71"/>
      <c r="AN123" s="71"/>
      <c r="AO123" s="71"/>
    </row>
    <row r="124" spans="1:41" ht="21" x14ac:dyDescent="0.35">
      <c r="A124" s="38"/>
      <c r="B124" s="38"/>
      <c r="C124" s="38"/>
      <c r="D124" s="39"/>
      <c r="E124" s="38"/>
      <c r="F124" s="38"/>
      <c r="G124" s="39"/>
      <c r="H124" s="38"/>
      <c r="I124" s="19"/>
      <c r="J124" s="39"/>
      <c r="K124" s="19"/>
      <c r="L124" s="19"/>
      <c r="M124" s="19"/>
      <c r="N124" s="19"/>
      <c r="O124" s="19"/>
      <c r="P124" s="28"/>
      <c r="Q124" s="19"/>
      <c r="R124" s="19"/>
      <c r="S124" s="19"/>
      <c r="T124" s="40"/>
      <c r="U124" s="47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71"/>
      <c r="AL124" s="71"/>
      <c r="AM124" s="71"/>
      <c r="AN124" s="71"/>
      <c r="AO124" s="71"/>
    </row>
    <row r="125" spans="1:41" ht="21" x14ac:dyDescent="0.35">
      <c r="A125" s="38"/>
      <c r="B125" s="38"/>
      <c r="C125" s="38"/>
      <c r="D125" s="39"/>
      <c r="E125" s="38"/>
      <c r="F125" s="38"/>
      <c r="G125" s="39"/>
      <c r="H125" s="38"/>
      <c r="I125" s="19"/>
      <c r="J125" s="39"/>
      <c r="K125" s="19"/>
      <c r="L125" s="19"/>
      <c r="M125" s="19"/>
      <c r="N125" s="19"/>
      <c r="O125" s="19"/>
      <c r="P125" s="28"/>
      <c r="Q125" s="19"/>
      <c r="R125" s="19"/>
      <c r="S125" s="19"/>
      <c r="T125" s="40"/>
      <c r="U125" s="47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71"/>
      <c r="AL125" s="71"/>
      <c r="AM125" s="71"/>
      <c r="AN125" s="71"/>
      <c r="AO125" s="71"/>
    </row>
    <row r="126" spans="1:41" ht="21" x14ac:dyDescent="0.35">
      <c r="A126" s="38"/>
      <c r="B126" s="38"/>
      <c r="C126" s="38"/>
      <c r="D126" s="39"/>
      <c r="E126" s="38"/>
      <c r="F126" s="38"/>
      <c r="G126" s="39"/>
      <c r="H126" s="38"/>
      <c r="I126" s="19"/>
      <c r="J126" s="39"/>
      <c r="K126" s="19"/>
      <c r="L126" s="19"/>
      <c r="M126" s="19"/>
      <c r="N126" s="19"/>
      <c r="O126" s="19"/>
      <c r="P126" s="28"/>
      <c r="Q126" s="19"/>
      <c r="R126" s="19"/>
      <c r="S126" s="19"/>
      <c r="T126" s="40"/>
      <c r="U126" s="47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71"/>
      <c r="AL126" s="71"/>
      <c r="AM126" s="71"/>
      <c r="AN126" s="71"/>
      <c r="AO126" s="71"/>
    </row>
    <row r="127" spans="1:41" ht="21" x14ac:dyDescent="0.35">
      <c r="A127" s="38"/>
      <c r="B127" s="38"/>
      <c r="C127" s="38"/>
      <c r="D127" s="39"/>
      <c r="E127" s="38"/>
      <c r="F127" s="38"/>
      <c r="G127" s="39"/>
      <c r="H127" s="38"/>
      <c r="I127" s="19"/>
      <c r="J127" s="39"/>
      <c r="K127" s="19"/>
      <c r="L127" s="19"/>
      <c r="M127" s="19"/>
      <c r="N127" s="19"/>
      <c r="O127" s="19"/>
      <c r="P127" s="28"/>
      <c r="Q127" s="19"/>
      <c r="R127" s="19"/>
      <c r="S127" s="19"/>
      <c r="T127" s="40"/>
      <c r="U127" s="47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71"/>
      <c r="AL127" s="71"/>
      <c r="AM127" s="71"/>
      <c r="AN127" s="71"/>
      <c r="AO127" s="71"/>
    </row>
    <row r="128" spans="1:41" ht="21" x14ac:dyDescent="0.35">
      <c r="A128" s="38"/>
      <c r="B128" s="38"/>
      <c r="C128" s="38"/>
      <c r="D128" s="39"/>
      <c r="E128" s="38"/>
      <c r="F128" s="38"/>
      <c r="G128" s="39"/>
      <c r="H128" s="38"/>
      <c r="I128" s="19"/>
      <c r="J128" s="39"/>
      <c r="K128" s="19"/>
      <c r="L128" s="19"/>
      <c r="M128" s="19"/>
      <c r="N128" s="19"/>
      <c r="O128" s="19"/>
      <c r="P128" s="28"/>
      <c r="Q128" s="19"/>
      <c r="R128" s="19"/>
      <c r="S128" s="19"/>
      <c r="T128" s="40"/>
      <c r="U128" s="47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71"/>
      <c r="AL128" s="71"/>
      <c r="AM128" s="71"/>
      <c r="AN128" s="71"/>
      <c r="AO128" s="71"/>
    </row>
    <row r="129" spans="1:41" ht="21" x14ac:dyDescent="0.35">
      <c r="A129" s="38"/>
      <c r="B129" s="38"/>
      <c r="C129" s="38"/>
      <c r="D129" s="39"/>
      <c r="E129" s="38"/>
      <c r="F129" s="38"/>
      <c r="G129" s="39"/>
      <c r="H129" s="38"/>
      <c r="I129" s="19"/>
      <c r="J129" s="39"/>
      <c r="K129" s="19"/>
      <c r="L129" s="19"/>
      <c r="M129" s="19"/>
      <c r="N129" s="19"/>
      <c r="O129" s="19"/>
      <c r="P129" s="28"/>
      <c r="Q129" s="19"/>
      <c r="R129" s="19"/>
      <c r="S129" s="19"/>
      <c r="T129" s="40"/>
      <c r="U129" s="47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71"/>
      <c r="AL129" s="71"/>
      <c r="AM129" s="71"/>
      <c r="AN129" s="71"/>
      <c r="AO129" s="71"/>
    </row>
    <row r="130" spans="1:41" ht="21" x14ac:dyDescent="0.35">
      <c r="A130" s="38"/>
      <c r="B130" s="38"/>
      <c r="C130" s="38"/>
      <c r="D130" s="39"/>
      <c r="E130" s="38"/>
      <c r="F130" s="38"/>
      <c r="G130" s="39"/>
      <c r="H130" s="38"/>
      <c r="I130" s="19"/>
      <c r="J130" s="39"/>
      <c r="K130" s="19"/>
      <c r="L130" s="19"/>
      <c r="M130" s="19"/>
      <c r="N130" s="19"/>
      <c r="O130" s="19"/>
      <c r="P130" s="28"/>
      <c r="Q130" s="19"/>
      <c r="R130" s="19"/>
      <c r="S130" s="19"/>
      <c r="T130" s="40"/>
      <c r="U130" s="47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71"/>
      <c r="AL130" s="71"/>
      <c r="AM130" s="71"/>
      <c r="AN130" s="71"/>
      <c r="AO130" s="71"/>
    </row>
    <row r="131" spans="1:41" ht="21" x14ac:dyDescent="0.35">
      <c r="A131" s="38"/>
      <c r="B131" s="38"/>
      <c r="C131" s="38"/>
      <c r="D131" s="39"/>
      <c r="E131" s="38"/>
      <c r="F131" s="38"/>
      <c r="G131" s="39"/>
      <c r="H131" s="38"/>
      <c r="I131" s="19"/>
      <c r="J131" s="39"/>
      <c r="K131" s="19"/>
      <c r="L131" s="19"/>
      <c r="M131" s="19"/>
      <c r="N131" s="19"/>
      <c r="O131" s="19"/>
      <c r="P131" s="28"/>
      <c r="Q131" s="19"/>
      <c r="R131" s="19"/>
      <c r="S131" s="19"/>
      <c r="T131" s="40"/>
      <c r="U131" s="47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71"/>
      <c r="AL131" s="71"/>
      <c r="AM131" s="71"/>
      <c r="AN131" s="71"/>
      <c r="AO131" s="71"/>
    </row>
    <row r="132" spans="1:41" ht="21" x14ac:dyDescent="0.35">
      <c r="A132" s="38"/>
      <c r="B132" s="38"/>
      <c r="C132" s="38"/>
      <c r="D132" s="39"/>
      <c r="E132" s="38"/>
      <c r="F132" s="38"/>
      <c r="G132" s="39"/>
      <c r="H132" s="38"/>
      <c r="I132" s="19"/>
      <c r="J132" s="39"/>
      <c r="K132" s="19"/>
      <c r="L132" s="19"/>
      <c r="M132" s="19"/>
      <c r="N132" s="19"/>
      <c r="O132" s="19"/>
      <c r="P132" s="28"/>
      <c r="Q132" s="19"/>
      <c r="R132" s="19"/>
      <c r="S132" s="19"/>
      <c r="T132" s="40"/>
      <c r="U132" s="47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71"/>
      <c r="AL132" s="71"/>
      <c r="AM132" s="71"/>
      <c r="AN132" s="71"/>
      <c r="AO132" s="71"/>
    </row>
    <row r="133" spans="1:41" ht="21" x14ac:dyDescent="0.35">
      <c r="A133" s="38"/>
      <c r="B133" s="38"/>
      <c r="C133" s="38"/>
      <c r="D133" s="39"/>
      <c r="E133" s="38"/>
      <c r="F133" s="38"/>
      <c r="G133" s="39"/>
      <c r="H133" s="38"/>
      <c r="I133" s="19"/>
      <c r="J133" s="39"/>
      <c r="K133" s="19"/>
      <c r="L133" s="19"/>
      <c r="M133" s="19"/>
      <c r="N133" s="19"/>
      <c r="O133" s="19"/>
      <c r="P133" s="28"/>
      <c r="Q133" s="19"/>
      <c r="R133" s="19"/>
      <c r="S133" s="19"/>
      <c r="T133" s="40"/>
      <c r="U133" s="47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71"/>
      <c r="AL133" s="71"/>
      <c r="AM133" s="71"/>
      <c r="AN133" s="71"/>
      <c r="AO133" s="71"/>
    </row>
    <row r="134" spans="1:41" ht="21" x14ac:dyDescent="0.35">
      <c r="A134" s="38"/>
      <c r="B134" s="38"/>
      <c r="C134" s="38"/>
      <c r="D134" s="39"/>
      <c r="E134" s="38"/>
      <c r="F134" s="38"/>
      <c r="G134" s="39"/>
      <c r="H134" s="38"/>
      <c r="I134" s="19"/>
      <c r="J134" s="39"/>
      <c r="K134" s="19"/>
      <c r="L134" s="19"/>
      <c r="M134" s="19"/>
      <c r="N134" s="19"/>
      <c r="O134" s="19"/>
      <c r="P134" s="28"/>
      <c r="Q134" s="19"/>
      <c r="R134" s="19"/>
      <c r="S134" s="19"/>
      <c r="T134" s="40"/>
      <c r="U134" s="47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71"/>
      <c r="AL134" s="71"/>
      <c r="AM134" s="71"/>
      <c r="AN134" s="71"/>
      <c r="AO134" s="71"/>
    </row>
    <row r="135" spans="1:41" ht="21" x14ac:dyDescent="0.35">
      <c r="A135" s="38"/>
      <c r="B135" s="38"/>
      <c r="C135" s="38"/>
      <c r="D135" s="39"/>
      <c r="E135" s="38"/>
      <c r="F135" s="38"/>
      <c r="G135" s="39"/>
      <c r="H135" s="38"/>
      <c r="I135" s="19"/>
      <c r="J135" s="39"/>
      <c r="K135" s="19"/>
      <c r="L135" s="19"/>
      <c r="M135" s="19"/>
      <c r="N135" s="19"/>
      <c r="O135" s="19"/>
      <c r="P135" s="28"/>
      <c r="Q135" s="19"/>
      <c r="R135" s="19"/>
      <c r="S135" s="19"/>
      <c r="T135" s="40"/>
      <c r="U135" s="47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71"/>
      <c r="AL135" s="71"/>
      <c r="AM135" s="71"/>
      <c r="AN135" s="71"/>
      <c r="AO135" s="71"/>
    </row>
    <row r="136" spans="1:41" ht="21" x14ac:dyDescent="0.35">
      <c r="A136" s="38"/>
      <c r="B136" s="38"/>
      <c r="C136" s="38"/>
      <c r="D136" s="39"/>
      <c r="E136" s="38"/>
      <c r="F136" s="38"/>
      <c r="G136" s="39"/>
      <c r="H136" s="38"/>
      <c r="I136" s="19"/>
      <c r="J136" s="39"/>
      <c r="K136" s="19"/>
      <c r="L136" s="19"/>
      <c r="M136" s="19"/>
      <c r="N136" s="19"/>
      <c r="O136" s="19"/>
      <c r="P136" s="28"/>
      <c r="Q136" s="19"/>
      <c r="R136" s="19"/>
      <c r="S136" s="19"/>
      <c r="T136" s="40"/>
      <c r="U136" s="47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71"/>
      <c r="AL136" s="71"/>
      <c r="AM136" s="71"/>
      <c r="AN136" s="71"/>
      <c r="AO136" s="71"/>
    </row>
    <row r="137" spans="1:41" ht="21" x14ac:dyDescent="0.35">
      <c r="A137" s="38"/>
      <c r="B137" s="38"/>
      <c r="C137" s="38"/>
      <c r="D137" s="39"/>
      <c r="E137" s="38"/>
      <c r="F137" s="38"/>
      <c r="G137" s="39"/>
      <c r="H137" s="38"/>
      <c r="I137" s="19"/>
      <c r="J137" s="39"/>
      <c r="K137" s="19"/>
      <c r="L137" s="19"/>
      <c r="M137" s="19"/>
      <c r="N137" s="19"/>
      <c r="O137" s="19"/>
      <c r="P137" s="28"/>
      <c r="Q137" s="19"/>
      <c r="R137" s="19"/>
      <c r="S137" s="19"/>
      <c r="T137" s="40"/>
      <c r="U137" s="47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71"/>
      <c r="AL137" s="71"/>
      <c r="AM137" s="71"/>
      <c r="AN137" s="71"/>
      <c r="AO137" s="71"/>
    </row>
    <row r="138" spans="1:41" ht="21" x14ac:dyDescent="0.35">
      <c r="A138" s="38"/>
      <c r="B138" s="38"/>
      <c r="C138" s="38"/>
      <c r="D138" s="39"/>
      <c r="E138" s="38"/>
      <c r="F138" s="38"/>
      <c r="G138" s="39"/>
      <c r="H138" s="38"/>
      <c r="I138" s="19"/>
      <c r="J138" s="39"/>
      <c r="K138" s="19"/>
      <c r="L138" s="19"/>
      <c r="M138" s="19"/>
      <c r="N138" s="19"/>
      <c r="O138" s="19"/>
      <c r="P138" s="28"/>
      <c r="Q138" s="19"/>
      <c r="R138" s="19"/>
      <c r="S138" s="19"/>
      <c r="T138" s="40"/>
      <c r="U138" s="47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71"/>
      <c r="AL138" s="71"/>
      <c r="AM138" s="71"/>
      <c r="AN138" s="71"/>
      <c r="AO138" s="71"/>
    </row>
    <row r="139" spans="1:41" ht="21" x14ac:dyDescent="0.35">
      <c r="A139" s="38"/>
      <c r="B139" s="38"/>
      <c r="C139" s="38"/>
      <c r="D139" s="39"/>
      <c r="E139" s="38"/>
      <c r="F139" s="38"/>
      <c r="G139" s="39"/>
      <c r="H139" s="38"/>
      <c r="I139" s="19"/>
      <c r="J139" s="39"/>
      <c r="K139" s="19"/>
      <c r="L139" s="19"/>
      <c r="M139" s="19"/>
      <c r="N139" s="19"/>
      <c r="O139" s="19"/>
      <c r="P139" s="28"/>
      <c r="Q139" s="19"/>
      <c r="R139" s="19"/>
      <c r="S139" s="19"/>
      <c r="T139" s="40"/>
      <c r="U139" s="47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71"/>
      <c r="AL139" s="71"/>
      <c r="AM139" s="71"/>
      <c r="AN139" s="71"/>
      <c r="AO139" s="71"/>
    </row>
    <row r="140" spans="1:41" ht="21" x14ac:dyDescent="0.35">
      <c r="A140" s="38"/>
      <c r="B140" s="38"/>
      <c r="C140" s="38"/>
      <c r="D140" s="39"/>
      <c r="E140" s="38"/>
      <c r="F140" s="38"/>
      <c r="G140" s="39"/>
      <c r="H140" s="38"/>
      <c r="I140" s="19"/>
      <c r="J140" s="39"/>
      <c r="K140" s="19"/>
      <c r="L140" s="19"/>
      <c r="M140" s="19"/>
      <c r="N140" s="19"/>
      <c r="O140" s="19"/>
      <c r="P140" s="28"/>
      <c r="Q140" s="19"/>
      <c r="R140" s="19"/>
      <c r="S140" s="19"/>
      <c r="T140" s="40"/>
      <c r="U140" s="47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71"/>
      <c r="AL140" s="71"/>
      <c r="AM140" s="71"/>
      <c r="AN140" s="71"/>
      <c r="AO140" s="71"/>
    </row>
    <row r="141" spans="1:41" ht="21" x14ac:dyDescent="0.35">
      <c r="A141" s="38"/>
      <c r="B141" s="38"/>
      <c r="C141" s="38"/>
      <c r="D141" s="39"/>
      <c r="E141" s="38"/>
      <c r="F141" s="38"/>
      <c r="G141" s="39"/>
      <c r="H141" s="38"/>
      <c r="I141" s="19"/>
      <c r="J141" s="39"/>
      <c r="K141" s="19"/>
      <c r="L141" s="19"/>
      <c r="M141" s="19"/>
      <c r="N141" s="19"/>
      <c r="O141" s="19"/>
      <c r="P141" s="28"/>
      <c r="Q141" s="19"/>
      <c r="R141" s="19"/>
      <c r="S141" s="19"/>
      <c r="T141" s="40"/>
      <c r="U141" s="47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71"/>
      <c r="AL141" s="71"/>
      <c r="AM141" s="71"/>
      <c r="AN141" s="71"/>
      <c r="AO141" s="71"/>
    </row>
    <row r="142" spans="1:41" ht="21" x14ac:dyDescent="0.35">
      <c r="A142" s="38"/>
      <c r="B142" s="38"/>
      <c r="C142" s="38"/>
      <c r="D142" s="39"/>
      <c r="E142" s="38"/>
      <c r="F142" s="38"/>
      <c r="G142" s="39"/>
      <c r="H142" s="38"/>
      <c r="I142" s="19"/>
      <c r="J142" s="39"/>
      <c r="K142" s="19"/>
      <c r="L142" s="19"/>
      <c r="M142" s="19"/>
      <c r="N142" s="19"/>
      <c r="O142" s="19"/>
      <c r="P142" s="28"/>
      <c r="Q142" s="19"/>
      <c r="R142" s="19"/>
      <c r="S142" s="19"/>
      <c r="T142" s="40"/>
      <c r="U142" s="47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71"/>
      <c r="AL142" s="71"/>
      <c r="AM142" s="71"/>
      <c r="AN142" s="71"/>
      <c r="AO142" s="71"/>
    </row>
    <row r="143" spans="1:41" ht="21" x14ac:dyDescent="0.35">
      <c r="A143" s="38"/>
      <c r="B143" s="38"/>
      <c r="C143" s="38"/>
      <c r="D143" s="39"/>
      <c r="E143" s="38"/>
      <c r="F143" s="38"/>
      <c r="G143" s="39"/>
      <c r="H143" s="38"/>
      <c r="I143" s="19"/>
      <c r="J143" s="39"/>
      <c r="K143" s="19"/>
      <c r="L143" s="19"/>
      <c r="M143" s="19"/>
      <c r="N143" s="19"/>
      <c r="O143" s="19"/>
      <c r="P143" s="28"/>
      <c r="Q143" s="19"/>
      <c r="R143" s="19"/>
      <c r="S143" s="19"/>
      <c r="T143" s="40"/>
      <c r="U143" s="47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71"/>
      <c r="AL143" s="71"/>
      <c r="AM143" s="71"/>
      <c r="AN143" s="71"/>
      <c r="AO143" s="71"/>
    </row>
    <row r="144" spans="1:41" ht="21" x14ac:dyDescent="0.35">
      <c r="A144" s="38"/>
      <c r="B144" s="38"/>
      <c r="C144" s="38"/>
      <c r="D144" s="39"/>
      <c r="E144" s="38"/>
      <c r="F144" s="38"/>
      <c r="G144" s="39"/>
      <c r="H144" s="38"/>
      <c r="I144" s="19"/>
      <c r="J144" s="39"/>
      <c r="K144" s="19"/>
      <c r="L144" s="19"/>
      <c r="M144" s="19"/>
      <c r="N144" s="19"/>
      <c r="O144" s="19"/>
      <c r="P144" s="28"/>
      <c r="Q144" s="19"/>
      <c r="R144" s="19"/>
      <c r="S144" s="19"/>
      <c r="T144" s="40"/>
      <c r="U144" s="47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71"/>
      <c r="AL144" s="71"/>
      <c r="AM144" s="71"/>
      <c r="AN144" s="71"/>
      <c r="AO144" s="71"/>
    </row>
    <row r="145" spans="1:41" ht="21" x14ac:dyDescent="0.35">
      <c r="A145" s="38"/>
      <c r="B145" s="38"/>
      <c r="C145" s="38"/>
      <c r="D145" s="39"/>
      <c r="E145" s="38"/>
      <c r="F145" s="38"/>
      <c r="G145" s="39"/>
      <c r="H145" s="38"/>
      <c r="I145" s="19"/>
      <c r="J145" s="39"/>
      <c r="K145" s="19"/>
      <c r="L145" s="19"/>
      <c r="M145" s="19"/>
      <c r="N145" s="19"/>
      <c r="O145" s="19"/>
      <c r="P145" s="28"/>
      <c r="Q145" s="19"/>
      <c r="R145" s="19"/>
      <c r="S145" s="19"/>
      <c r="T145" s="40"/>
      <c r="U145" s="47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71"/>
      <c r="AL145" s="71"/>
      <c r="AM145" s="71"/>
      <c r="AN145" s="71"/>
      <c r="AO145" s="71"/>
    </row>
    <row r="146" spans="1:41" ht="21" x14ac:dyDescent="0.35">
      <c r="A146" s="38"/>
      <c r="B146" s="38"/>
      <c r="C146" s="38"/>
      <c r="D146" s="39"/>
      <c r="E146" s="38"/>
      <c r="F146" s="38"/>
      <c r="G146" s="39"/>
      <c r="H146" s="38"/>
      <c r="I146" s="19"/>
      <c r="J146" s="39"/>
      <c r="K146" s="19"/>
      <c r="L146" s="19"/>
      <c r="M146" s="19"/>
      <c r="N146" s="19"/>
      <c r="O146" s="19"/>
      <c r="P146" s="28"/>
      <c r="Q146" s="19"/>
      <c r="R146" s="19"/>
      <c r="S146" s="19"/>
      <c r="T146" s="40"/>
      <c r="U146" s="47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71"/>
      <c r="AL146" s="71"/>
      <c r="AM146" s="71"/>
      <c r="AN146" s="71"/>
      <c r="AO146" s="71"/>
    </row>
    <row r="147" spans="1:41" ht="21" x14ac:dyDescent="0.35">
      <c r="A147" s="38"/>
      <c r="B147" s="38"/>
      <c r="C147" s="38"/>
      <c r="D147" s="39"/>
      <c r="E147" s="38"/>
      <c r="F147" s="38"/>
      <c r="G147" s="39"/>
      <c r="H147" s="38"/>
      <c r="I147" s="19"/>
      <c r="J147" s="39"/>
      <c r="K147" s="19"/>
      <c r="L147" s="19"/>
      <c r="M147" s="19"/>
      <c r="N147" s="19"/>
      <c r="O147" s="19"/>
      <c r="P147" s="28"/>
      <c r="Q147" s="19"/>
      <c r="R147" s="19"/>
      <c r="S147" s="19"/>
      <c r="T147" s="40"/>
      <c r="U147" s="47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71"/>
      <c r="AL147" s="71"/>
      <c r="AM147" s="71"/>
      <c r="AN147" s="71"/>
      <c r="AO147" s="71"/>
    </row>
    <row r="148" spans="1:41" ht="21" x14ac:dyDescent="0.35">
      <c r="A148" s="38"/>
      <c r="B148" s="38"/>
      <c r="C148" s="38"/>
      <c r="D148" s="39"/>
      <c r="E148" s="38"/>
      <c r="F148" s="38"/>
      <c r="G148" s="39"/>
      <c r="H148" s="38"/>
      <c r="I148" s="19"/>
      <c r="J148" s="39"/>
      <c r="K148" s="19"/>
      <c r="L148" s="19"/>
      <c r="M148" s="19"/>
      <c r="N148" s="19"/>
      <c r="O148" s="19"/>
      <c r="P148" s="28"/>
      <c r="Q148" s="19"/>
      <c r="R148" s="19"/>
      <c r="S148" s="19"/>
      <c r="T148" s="40"/>
      <c r="U148" s="47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71"/>
      <c r="AL148" s="71"/>
      <c r="AM148" s="71"/>
      <c r="AN148" s="71"/>
      <c r="AO148" s="71"/>
    </row>
    <row r="149" spans="1:41" ht="21" x14ac:dyDescent="0.35">
      <c r="A149" s="38"/>
      <c r="B149" s="38"/>
      <c r="C149" s="38"/>
      <c r="D149" s="39"/>
      <c r="E149" s="38"/>
      <c r="F149" s="38"/>
      <c r="G149" s="39"/>
      <c r="H149" s="38"/>
      <c r="I149" s="19"/>
      <c r="J149" s="39"/>
      <c r="K149" s="19"/>
      <c r="L149" s="19"/>
      <c r="M149" s="19"/>
      <c r="N149" s="19"/>
      <c r="O149" s="19"/>
      <c r="P149" s="28"/>
      <c r="Q149" s="19"/>
      <c r="R149" s="19"/>
      <c r="S149" s="19"/>
      <c r="T149" s="40"/>
      <c r="U149" s="47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71"/>
      <c r="AL149" s="71"/>
      <c r="AM149" s="71"/>
      <c r="AN149" s="71"/>
      <c r="AO149" s="71"/>
    </row>
    <row r="150" spans="1:41" ht="21" x14ac:dyDescent="0.35">
      <c r="A150" s="38"/>
      <c r="B150" s="38"/>
      <c r="C150" s="38"/>
      <c r="D150" s="39"/>
      <c r="E150" s="38"/>
      <c r="F150" s="38"/>
      <c r="G150" s="39"/>
      <c r="H150" s="38"/>
      <c r="I150" s="19"/>
      <c r="J150" s="39"/>
      <c r="K150" s="19"/>
      <c r="L150" s="19"/>
      <c r="M150" s="19"/>
      <c r="N150" s="19"/>
      <c r="O150" s="19"/>
      <c r="P150" s="28"/>
      <c r="Q150" s="19"/>
      <c r="R150" s="19"/>
      <c r="S150" s="19"/>
      <c r="T150" s="40"/>
      <c r="U150" s="47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71"/>
      <c r="AL150" s="71"/>
      <c r="AM150" s="71"/>
      <c r="AN150" s="71"/>
      <c r="AO150" s="71"/>
    </row>
    <row r="151" spans="1:41" ht="21" x14ac:dyDescent="0.35">
      <c r="A151" s="38"/>
      <c r="B151" s="38"/>
      <c r="C151" s="38"/>
      <c r="D151" s="39"/>
      <c r="E151" s="38"/>
      <c r="F151" s="38"/>
      <c r="G151" s="39"/>
      <c r="H151" s="38"/>
      <c r="I151" s="19"/>
      <c r="J151" s="39"/>
      <c r="K151" s="19"/>
      <c r="L151" s="19"/>
      <c r="M151" s="19"/>
      <c r="N151" s="19"/>
      <c r="O151" s="19"/>
      <c r="P151" s="28"/>
      <c r="Q151" s="19"/>
      <c r="R151" s="19"/>
      <c r="S151" s="19"/>
      <c r="T151" s="40"/>
      <c r="U151" s="47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71"/>
      <c r="AL151" s="71"/>
      <c r="AM151" s="71"/>
      <c r="AN151" s="71"/>
      <c r="AO151" s="71"/>
    </row>
    <row r="152" spans="1:41" ht="21" x14ac:dyDescent="0.35">
      <c r="A152" s="38"/>
      <c r="B152" s="38"/>
      <c r="C152" s="38"/>
      <c r="D152" s="39"/>
      <c r="E152" s="38"/>
      <c r="F152" s="38"/>
      <c r="G152" s="39"/>
      <c r="H152" s="38"/>
      <c r="I152" s="19"/>
      <c r="J152" s="39"/>
      <c r="K152" s="19"/>
      <c r="L152" s="19"/>
      <c r="M152" s="19"/>
      <c r="N152" s="19"/>
      <c r="O152" s="19"/>
      <c r="P152" s="28"/>
      <c r="Q152" s="19"/>
      <c r="R152" s="19"/>
      <c r="S152" s="19"/>
      <c r="T152" s="40"/>
      <c r="U152" s="47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71"/>
      <c r="AL152" s="71"/>
      <c r="AM152" s="71"/>
      <c r="AN152" s="71"/>
      <c r="AO152" s="71"/>
    </row>
    <row r="153" spans="1:41" ht="21" x14ac:dyDescent="0.35">
      <c r="A153" s="38"/>
      <c r="B153" s="38"/>
      <c r="C153" s="38"/>
      <c r="D153" s="39"/>
      <c r="E153" s="38"/>
      <c r="F153" s="38"/>
      <c r="G153" s="39"/>
      <c r="H153" s="38"/>
      <c r="I153" s="19"/>
      <c r="J153" s="39"/>
      <c r="K153" s="19"/>
      <c r="L153" s="19"/>
      <c r="M153" s="19"/>
      <c r="N153" s="19"/>
      <c r="O153" s="19"/>
      <c r="P153" s="28"/>
      <c r="Q153" s="19"/>
      <c r="R153" s="19"/>
      <c r="S153" s="19"/>
      <c r="T153" s="40"/>
      <c r="U153" s="47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71"/>
      <c r="AL153" s="71"/>
      <c r="AM153" s="71"/>
      <c r="AN153" s="71"/>
      <c r="AO153" s="71"/>
    </row>
    <row r="154" spans="1:41" ht="21" x14ac:dyDescent="0.35">
      <c r="A154" s="38"/>
      <c r="B154" s="38"/>
      <c r="C154" s="38"/>
      <c r="D154" s="39"/>
      <c r="E154" s="38"/>
      <c r="F154" s="38"/>
      <c r="G154" s="39"/>
      <c r="H154" s="38"/>
      <c r="I154" s="19"/>
      <c r="J154" s="39"/>
      <c r="K154" s="19"/>
      <c r="L154" s="19"/>
      <c r="M154" s="19"/>
      <c r="N154" s="19"/>
      <c r="O154" s="19"/>
      <c r="P154" s="28"/>
      <c r="Q154" s="19"/>
      <c r="R154" s="19"/>
      <c r="S154" s="19"/>
      <c r="T154" s="40"/>
      <c r="U154" s="47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71"/>
      <c r="AL154" s="71"/>
      <c r="AM154" s="71"/>
      <c r="AN154" s="71"/>
      <c r="AO154" s="71"/>
    </row>
    <row r="155" spans="1:41" ht="21" x14ac:dyDescent="0.35">
      <c r="A155" s="38"/>
      <c r="B155" s="38"/>
      <c r="C155" s="38"/>
      <c r="D155" s="39"/>
      <c r="E155" s="38"/>
      <c r="F155" s="38"/>
      <c r="G155" s="39"/>
      <c r="H155" s="38"/>
      <c r="I155" s="19"/>
      <c r="J155" s="39"/>
      <c r="K155" s="19"/>
      <c r="L155" s="19"/>
      <c r="M155" s="19"/>
      <c r="N155" s="19"/>
      <c r="O155" s="19"/>
      <c r="P155" s="28"/>
      <c r="Q155" s="19"/>
      <c r="R155" s="19"/>
      <c r="S155" s="19"/>
      <c r="T155" s="40"/>
      <c r="U155" s="47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71"/>
      <c r="AL155" s="71"/>
      <c r="AM155" s="71"/>
      <c r="AN155" s="71"/>
      <c r="AO155" s="71"/>
    </row>
    <row r="156" spans="1:41" ht="21" x14ac:dyDescent="0.35">
      <c r="A156" s="38"/>
      <c r="B156" s="38"/>
      <c r="C156" s="38"/>
      <c r="D156" s="39"/>
      <c r="E156" s="38"/>
      <c r="F156" s="38"/>
      <c r="G156" s="39"/>
      <c r="H156" s="38"/>
      <c r="I156" s="19"/>
      <c r="J156" s="39"/>
      <c r="K156" s="19"/>
      <c r="L156" s="19"/>
      <c r="M156" s="19"/>
      <c r="N156" s="19"/>
      <c r="O156" s="19"/>
      <c r="P156" s="28"/>
      <c r="Q156" s="19"/>
      <c r="R156" s="19"/>
      <c r="S156" s="19"/>
      <c r="T156" s="40"/>
      <c r="U156" s="47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71"/>
      <c r="AL156" s="71"/>
      <c r="AM156" s="71"/>
      <c r="AN156" s="71"/>
      <c r="AO156" s="71"/>
    </row>
    <row r="157" spans="1:41" ht="21" x14ac:dyDescent="0.35">
      <c r="A157" s="38"/>
      <c r="B157" s="38"/>
      <c r="C157" s="38"/>
      <c r="D157" s="39"/>
      <c r="E157" s="38"/>
      <c r="F157" s="38"/>
      <c r="G157" s="39"/>
      <c r="H157" s="38"/>
      <c r="I157" s="19"/>
      <c r="J157" s="39"/>
      <c r="K157" s="19"/>
      <c r="L157" s="19"/>
      <c r="M157" s="19"/>
      <c r="N157" s="19"/>
      <c r="O157" s="19"/>
      <c r="P157" s="28"/>
      <c r="Q157" s="19"/>
      <c r="R157" s="19"/>
      <c r="S157" s="19"/>
      <c r="T157" s="40"/>
      <c r="U157" s="47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71"/>
      <c r="AL157" s="71"/>
      <c r="AM157" s="71"/>
      <c r="AN157" s="71"/>
      <c r="AO157" s="71"/>
    </row>
    <row r="158" spans="1:41" ht="21" x14ac:dyDescent="0.35">
      <c r="A158" s="38"/>
      <c r="B158" s="38"/>
      <c r="C158" s="38"/>
      <c r="D158" s="39"/>
      <c r="E158" s="38"/>
      <c r="F158" s="38"/>
      <c r="G158" s="39"/>
      <c r="H158" s="38"/>
      <c r="I158" s="19"/>
      <c r="J158" s="39"/>
      <c r="K158" s="19"/>
      <c r="L158" s="19"/>
      <c r="M158" s="19"/>
      <c r="N158" s="19"/>
      <c r="O158" s="19"/>
      <c r="P158" s="28"/>
      <c r="Q158" s="19"/>
      <c r="R158" s="19"/>
      <c r="S158" s="19"/>
      <c r="T158" s="40"/>
      <c r="U158" s="47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71"/>
      <c r="AL158" s="71"/>
      <c r="AM158" s="71"/>
      <c r="AN158" s="71"/>
      <c r="AO158" s="71"/>
    </row>
    <row r="159" spans="1:41" ht="21" x14ac:dyDescent="0.35">
      <c r="A159" s="38"/>
      <c r="B159" s="38"/>
      <c r="C159" s="38"/>
      <c r="D159" s="39"/>
      <c r="E159" s="38"/>
      <c r="F159" s="38"/>
      <c r="G159" s="39"/>
      <c r="H159" s="38"/>
      <c r="I159" s="19"/>
      <c r="J159" s="39"/>
      <c r="K159" s="19"/>
      <c r="L159" s="19"/>
      <c r="M159" s="19"/>
      <c r="N159" s="19"/>
      <c r="O159" s="19"/>
      <c r="P159" s="28"/>
      <c r="Q159" s="19"/>
      <c r="R159" s="19"/>
      <c r="S159" s="19"/>
      <c r="T159" s="40"/>
      <c r="U159" s="47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71"/>
      <c r="AL159" s="71"/>
      <c r="AM159" s="71"/>
      <c r="AN159" s="71"/>
      <c r="AO159" s="71"/>
    </row>
    <row r="160" spans="1:41" ht="21" x14ac:dyDescent="0.35">
      <c r="A160" s="38"/>
      <c r="B160" s="38"/>
      <c r="C160" s="38"/>
      <c r="D160" s="39"/>
      <c r="E160" s="38"/>
      <c r="F160" s="38"/>
      <c r="G160" s="39"/>
      <c r="H160" s="38"/>
      <c r="I160" s="19"/>
      <c r="J160" s="39"/>
      <c r="K160" s="19"/>
      <c r="L160" s="19"/>
      <c r="M160" s="19"/>
      <c r="N160" s="19"/>
      <c r="O160" s="19"/>
      <c r="P160" s="28"/>
      <c r="Q160" s="19"/>
      <c r="R160" s="19"/>
      <c r="S160" s="19"/>
      <c r="T160" s="40"/>
      <c r="U160" s="47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71"/>
      <c r="AL160" s="71"/>
      <c r="AM160" s="71"/>
      <c r="AN160" s="71"/>
      <c r="AO160" s="71"/>
    </row>
    <row r="161" spans="1:41" ht="21" x14ac:dyDescent="0.35">
      <c r="A161" s="38"/>
      <c r="B161" s="38"/>
      <c r="C161" s="38"/>
      <c r="D161" s="39"/>
      <c r="E161" s="38"/>
      <c r="F161" s="38"/>
      <c r="G161" s="39"/>
      <c r="H161" s="38"/>
      <c r="I161" s="19"/>
      <c r="J161" s="39"/>
      <c r="K161" s="19"/>
      <c r="L161" s="19"/>
      <c r="M161" s="19"/>
      <c r="N161" s="19"/>
      <c r="O161" s="19"/>
      <c r="P161" s="28"/>
      <c r="Q161" s="19"/>
      <c r="R161" s="19"/>
      <c r="S161" s="19"/>
      <c r="T161" s="40"/>
      <c r="U161" s="47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71"/>
      <c r="AL161" s="71"/>
      <c r="AM161" s="71"/>
      <c r="AN161" s="71"/>
      <c r="AO161" s="71"/>
    </row>
    <row r="162" spans="1:41" ht="21" x14ac:dyDescent="0.35">
      <c r="A162" s="38"/>
      <c r="B162" s="38"/>
      <c r="C162" s="38"/>
      <c r="D162" s="39"/>
      <c r="E162" s="38"/>
      <c r="F162" s="38"/>
      <c r="G162" s="39"/>
      <c r="H162" s="38"/>
      <c r="I162" s="19"/>
      <c r="J162" s="39"/>
      <c r="K162" s="19"/>
      <c r="L162" s="19"/>
      <c r="M162" s="19"/>
      <c r="N162" s="19"/>
      <c r="O162" s="19"/>
      <c r="P162" s="28"/>
      <c r="Q162" s="19"/>
      <c r="R162" s="19"/>
      <c r="S162" s="19"/>
      <c r="T162" s="40"/>
      <c r="U162" s="47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71"/>
      <c r="AL162" s="71"/>
      <c r="AM162" s="71"/>
      <c r="AN162" s="71"/>
      <c r="AO162" s="71"/>
    </row>
    <row r="163" spans="1:41" ht="21" x14ac:dyDescent="0.35">
      <c r="A163" s="38"/>
      <c r="B163" s="38"/>
      <c r="C163" s="38"/>
      <c r="D163" s="39"/>
      <c r="E163" s="38"/>
      <c r="F163" s="38"/>
      <c r="G163" s="39"/>
      <c r="H163" s="38"/>
      <c r="I163" s="19"/>
      <c r="J163" s="39"/>
      <c r="K163" s="19"/>
      <c r="L163" s="19"/>
      <c r="M163" s="19"/>
      <c r="N163" s="19"/>
      <c r="O163" s="19"/>
      <c r="P163" s="28"/>
      <c r="Q163" s="19"/>
      <c r="R163" s="19"/>
      <c r="S163" s="19"/>
      <c r="T163" s="40"/>
      <c r="U163" s="47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71"/>
      <c r="AL163" s="71"/>
      <c r="AM163" s="71"/>
      <c r="AN163" s="71"/>
      <c r="AO163" s="71"/>
    </row>
    <row r="164" spans="1:41" ht="21" x14ac:dyDescent="0.35">
      <c r="A164" s="38"/>
      <c r="B164" s="38"/>
      <c r="C164" s="38"/>
      <c r="D164" s="39"/>
      <c r="E164" s="38"/>
      <c r="F164" s="38"/>
      <c r="G164" s="39"/>
      <c r="H164" s="38"/>
      <c r="I164" s="19"/>
      <c r="J164" s="39"/>
      <c r="K164" s="19"/>
      <c r="L164" s="19"/>
      <c r="M164" s="19"/>
      <c r="N164" s="19"/>
      <c r="O164" s="19"/>
      <c r="P164" s="28"/>
      <c r="Q164" s="19"/>
      <c r="R164" s="19"/>
      <c r="S164" s="19"/>
      <c r="T164" s="40"/>
      <c r="U164" s="47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71"/>
      <c r="AL164" s="71"/>
      <c r="AM164" s="71"/>
      <c r="AN164" s="71"/>
      <c r="AO164" s="71"/>
    </row>
    <row r="165" spans="1:41" ht="21" x14ac:dyDescent="0.35">
      <c r="A165" s="38"/>
      <c r="B165" s="38"/>
      <c r="C165" s="38"/>
      <c r="D165" s="39"/>
      <c r="E165" s="38"/>
      <c r="F165" s="38"/>
      <c r="G165" s="39"/>
      <c r="H165" s="38"/>
      <c r="I165" s="19"/>
      <c r="J165" s="39"/>
      <c r="K165" s="19"/>
      <c r="L165" s="19"/>
      <c r="M165" s="19"/>
      <c r="N165" s="19"/>
      <c r="O165" s="19"/>
      <c r="P165" s="28"/>
      <c r="Q165" s="19"/>
      <c r="R165" s="19"/>
      <c r="S165" s="19"/>
      <c r="T165" s="40"/>
      <c r="U165" s="47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71"/>
      <c r="AL165" s="71"/>
      <c r="AM165" s="71"/>
      <c r="AN165" s="71"/>
      <c r="AO165" s="71"/>
    </row>
    <row r="166" spans="1:41" ht="21" x14ac:dyDescent="0.35">
      <c r="A166" s="38"/>
      <c r="B166" s="38"/>
      <c r="C166" s="38"/>
      <c r="D166" s="39"/>
      <c r="E166" s="38"/>
      <c r="F166" s="38"/>
      <c r="G166" s="39"/>
      <c r="H166" s="38"/>
      <c r="I166" s="19"/>
      <c r="J166" s="39"/>
      <c r="K166" s="19"/>
      <c r="L166" s="19"/>
      <c r="M166" s="19"/>
      <c r="N166" s="19"/>
      <c r="O166" s="19"/>
      <c r="P166" s="28"/>
      <c r="Q166" s="19"/>
      <c r="R166" s="19"/>
      <c r="S166" s="19"/>
      <c r="T166" s="40"/>
      <c r="U166" s="47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71"/>
      <c r="AL166" s="71"/>
      <c r="AM166" s="71"/>
      <c r="AN166" s="71"/>
      <c r="AO166" s="71"/>
    </row>
    <row r="167" spans="1:41" ht="21" x14ac:dyDescent="0.35">
      <c r="A167" s="38"/>
      <c r="B167" s="38"/>
      <c r="C167" s="38"/>
      <c r="D167" s="39"/>
      <c r="E167" s="38"/>
      <c r="F167" s="38"/>
      <c r="G167" s="39"/>
      <c r="H167" s="38"/>
      <c r="I167" s="19"/>
      <c r="J167" s="39"/>
      <c r="K167" s="19"/>
      <c r="L167" s="19"/>
      <c r="M167" s="19"/>
      <c r="N167" s="19"/>
      <c r="O167" s="19"/>
      <c r="P167" s="28"/>
      <c r="Q167" s="19"/>
      <c r="R167" s="19"/>
      <c r="S167" s="19"/>
      <c r="T167" s="40"/>
      <c r="U167" s="47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71"/>
      <c r="AL167" s="71"/>
      <c r="AM167" s="71"/>
      <c r="AN167" s="71"/>
      <c r="AO167" s="71"/>
    </row>
    <row r="168" spans="1:41" ht="21" x14ac:dyDescent="0.35">
      <c r="A168" s="38"/>
      <c r="B168" s="38"/>
      <c r="C168" s="38"/>
      <c r="D168" s="39"/>
      <c r="E168" s="38"/>
      <c r="F168" s="38"/>
      <c r="G168" s="39"/>
      <c r="H168" s="38"/>
      <c r="I168" s="19"/>
      <c r="J168" s="39"/>
      <c r="K168" s="19"/>
      <c r="L168" s="19"/>
      <c r="M168" s="19"/>
      <c r="N168" s="19"/>
      <c r="O168" s="19"/>
      <c r="P168" s="28"/>
      <c r="Q168" s="19"/>
      <c r="R168" s="19"/>
      <c r="S168" s="19"/>
      <c r="T168" s="40"/>
      <c r="U168" s="47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71"/>
      <c r="AL168" s="71"/>
      <c r="AM168" s="71"/>
      <c r="AN168" s="71"/>
      <c r="AO168" s="71"/>
    </row>
    <row r="169" spans="1:41" ht="21" x14ac:dyDescent="0.35">
      <c r="A169" s="38"/>
      <c r="B169" s="38"/>
      <c r="C169" s="38"/>
      <c r="D169" s="39"/>
      <c r="E169" s="38"/>
      <c r="F169" s="38"/>
      <c r="G169" s="39"/>
      <c r="H169" s="38"/>
      <c r="I169" s="19"/>
      <c r="J169" s="39"/>
      <c r="K169" s="19"/>
      <c r="L169" s="19"/>
      <c r="M169" s="19"/>
      <c r="N169" s="19"/>
      <c r="O169" s="19"/>
      <c r="P169" s="28"/>
      <c r="Q169" s="19"/>
      <c r="R169" s="19"/>
      <c r="S169" s="19"/>
      <c r="T169" s="40"/>
      <c r="U169" s="47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71"/>
      <c r="AL169" s="71"/>
      <c r="AM169" s="71"/>
      <c r="AN169" s="71"/>
      <c r="AO169" s="71"/>
    </row>
    <row r="170" spans="1:41" ht="21" x14ac:dyDescent="0.35">
      <c r="A170" s="38"/>
      <c r="B170" s="38"/>
      <c r="C170" s="38"/>
      <c r="D170" s="39"/>
      <c r="E170" s="38"/>
      <c r="F170" s="38"/>
      <c r="G170" s="39"/>
      <c r="H170" s="38"/>
      <c r="I170" s="19"/>
      <c r="J170" s="39"/>
      <c r="K170" s="19"/>
      <c r="L170" s="19"/>
      <c r="M170" s="19"/>
      <c r="N170" s="19"/>
      <c r="O170" s="19"/>
      <c r="P170" s="28"/>
      <c r="Q170" s="19"/>
      <c r="R170" s="19"/>
      <c r="S170" s="19"/>
      <c r="T170" s="40"/>
      <c r="U170" s="47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71"/>
      <c r="AL170" s="71"/>
      <c r="AM170" s="71"/>
      <c r="AN170" s="71"/>
      <c r="AO170" s="71"/>
    </row>
    <row r="171" spans="1:41" ht="21" x14ac:dyDescent="0.35">
      <c r="A171" s="38"/>
      <c r="B171" s="38"/>
      <c r="C171" s="38"/>
      <c r="D171" s="39"/>
      <c r="E171" s="38"/>
      <c r="F171" s="38"/>
      <c r="G171" s="39"/>
      <c r="H171" s="38"/>
      <c r="I171" s="19"/>
      <c r="J171" s="39"/>
      <c r="K171" s="19"/>
      <c r="L171" s="19"/>
      <c r="M171" s="19"/>
      <c r="N171" s="19"/>
      <c r="O171" s="19"/>
      <c r="P171" s="28"/>
      <c r="Q171" s="19"/>
      <c r="R171" s="19"/>
      <c r="S171" s="19"/>
      <c r="T171" s="40"/>
      <c r="U171" s="47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71"/>
      <c r="AL171" s="71"/>
      <c r="AM171" s="71"/>
      <c r="AN171" s="71"/>
      <c r="AO171" s="71"/>
    </row>
    <row r="172" spans="1:41" ht="21" x14ac:dyDescent="0.35">
      <c r="A172" s="38"/>
      <c r="B172" s="38"/>
      <c r="C172" s="38"/>
      <c r="D172" s="39"/>
      <c r="E172" s="38"/>
      <c r="F172" s="38"/>
      <c r="G172" s="39"/>
      <c r="H172" s="38"/>
      <c r="I172" s="19"/>
      <c r="J172" s="39"/>
      <c r="K172" s="19"/>
      <c r="L172" s="19"/>
      <c r="M172" s="19"/>
      <c r="N172" s="19"/>
      <c r="O172" s="19"/>
      <c r="P172" s="28"/>
      <c r="Q172" s="19"/>
      <c r="R172" s="19"/>
      <c r="S172" s="19"/>
      <c r="T172" s="40"/>
      <c r="U172" s="47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71"/>
      <c r="AL172" s="71"/>
      <c r="AM172" s="71"/>
      <c r="AN172" s="71"/>
      <c r="AO172" s="71"/>
    </row>
    <row r="173" spans="1:41" ht="21" x14ac:dyDescent="0.35">
      <c r="A173" s="38"/>
      <c r="B173" s="38"/>
      <c r="C173" s="38"/>
      <c r="D173" s="39"/>
      <c r="E173" s="38"/>
      <c r="F173" s="38"/>
      <c r="G173" s="39"/>
      <c r="H173" s="38"/>
      <c r="I173" s="19"/>
      <c r="J173" s="39"/>
      <c r="K173" s="19"/>
      <c r="L173" s="19"/>
      <c r="M173" s="19"/>
      <c r="N173" s="19"/>
      <c r="O173" s="19"/>
      <c r="P173" s="28"/>
      <c r="Q173" s="19"/>
      <c r="R173" s="19"/>
      <c r="S173" s="19"/>
      <c r="T173" s="40"/>
      <c r="U173" s="47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71"/>
      <c r="AL173" s="71"/>
      <c r="AM173" s="71"/>
      <c r="AN173" s="71"/>
      <c r="AO173" s="71"/>
    </row>
    <row r="174" spans="1:41" ht="21" x14ac:dyDescent="0.35">
      <c r="A174" s="38"/>
      <c r="B174" s="38"/>
      <c r="C174" s="38"/>
      <c r="D174" s="39"/>
      <c r="E174" s="38"/>
      <c r="F174" s="38"/>
      <c r="G174" s="39"/>
      <c r="H174" s="38"/>
      <c r="I174" s="19"/>
      <c r="J174" s="39"/>
      <c r="K174" s="19"/>
      <c r="L174" s="19"/>
      <c r="M174" s="19"/>
      <c r="N174" s="19"/>
      <c r="O174" s="19"/>
      <c r="P174" s="28"/>
      <c r="Q174" s="19"/>
      <c r="R174" s="19"/>
      <c r="S174" s="19"/>
      <c r="T174" s="40"/>
      <c r="U174" s="47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71"/>
      <c r="AL174" s="71"/>
      <c r="AM174" s="71"/>
      <c r="AN174" s="71"/>
      <c r="AO174" s="71"/>
    </row>
    <row r="175" spans="1:41" ht="21" x14ac:dyDescent="0.35">
      <c r="A175" s="38"/>
      <c r="B175" s="38"/>
      <c r="C175" s="38"/>
      <c r="D175" s="39"/>
      <c r="E175" s="38"/>
      <c r="F175" s="38"/>
      <c r="G175" s="39"/>
      <c r="H175" s="38"/>
      <c r="I175" s="19"/>
      <c r="J175" s="39"/>
      <c r="K175" s="19"/>
      <c r="L175" s="19"/>
      <c r="M175" s="19"/>
      <c r="N175" s="19"/>
      <c r="O175" s="19"/>
      <c r="P175" s="28"/>
      <c r="Q175" s="19"/>
      <c r="R175" s="19"/>
      <c r="S175" s="19"/>
      <c r="T175" s="40"/>
      <c r="U175" s="47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71"/>
      <c r="AL175" s="71"/>
      <c r="AM175" s="71"/>
      <c r="AN175" s="71"/>
      <c r="AO175" s="71"/>
    </row>
    <row r="176" spans="1:41" ht="21" x14ac:dyDescent="0.35">
      <c r="A176" s="38"/>
      <c r="B176" s="38"/>
      <c r="C176" s="38"/>
      <c r="D176" s="39"/>
      <c r="E176" s="38"/>
      <c r="F176" s="38"/>
      <c r="G176" s="39"/>
      <c r="H176" s="38"/>
      <c r="I176" s="19"/>
      <c r="J176" s="39"/>
      <c r="K176" s="19"/>
      <c r="L176" s="19"/>
      <c r="M176" s="19"/>
      <c r="N176" s="19"/>
      <c r="O176" s="19"/>
      <c r="P176" s="28"/>
      <c r="Q176" s="19"/>
      <c r="R176" s="19"/>
      <c r="S176" s="19"/>
      <c r="T176" s="40"/>
      <c r="U176" s="47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71"/>
      <c r="AL176" s="71"/>
      <c r="AM176" s="71"/>
      <c r="AN176" s="71"/>
      <c r="AO176" s="71"/>
    </row>
    <row r="177" spans="1:41" ht="21" x14ac:dyDescent="0.35">
      <c r="A177" s="38"/>
      <c r="B177" s="38"/>
      <c r="C177" s="38"/>
      <c r="D177" s="39"/>
      <c r="E177" s="38"/>
      <c r="F177" s="38"/>
      <c r="G177" s="39"/>
      <c r="H177" s="38"/>
      <c r="I177" s="19"/>
      <c r="J177" s="39"/>
      <c r="K177" s="19"/>
      <c r="L177" s="19"/>
      <c r="M177" s="19"/>
      <c r="N177" s="19"/>
      <c r="O177" s="19"/>
      <c r="P177" s="28"/>
      <c r="Q177" s="19"/>
      <c r="R177" s="19"/>
      <c r="S177" s="19"/>
      <c r="T177" s="40"/>
      <c r="U177" s="47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71"/>
      <c r="AL177" s="71"/>
      <c r="AM177" s="71"/>
      <c r="AN177" s="71"/>
      <c r="AO177" s="71"/>
    </row>
    <row r="178" spans="1:41" ht="21" x14ac:dyDescent="0.35">
      <c r="A178" s="38"/>
      <c r="B178" s="38"/>
      <c r="C178" s="38"/>
      <c r="D178" s="39"/>
      <c r="E178" s="38"/>
      <c r="F178" s="38"/>
      <c r="G178" s="39"/>
      <c r="H178" s="38"/>
      <c r="I178" s="19"/>
      <c r="J178" s="39"/>
      <c r="K178" s="19"/>
      <c r="L178" s="19"/>
      <c r="M178" s="19"/>
      <c r="N178" s="19"/>
      <c r="O178" s="19"/>
      <c r="P178" s="28"/>
      <c r="Q178" s="19"/>
      <c r="R178" s="19"/>
      <c r="S178" s="19"/>
      <c r="T178" s="40"/>
      <c r="U178" s="47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71"/>
      <c r="AL178" s="71"/>
      <c r="AM178" s="71"/>
      <c r="AN178" s="71"/>
      <c r="AO178" s="71"/>
    </row>
    <row r="179" spans="1:41" ht="21" x14ac:dyDescent="0.35">
      <c r="A179" s="38"/>
      <c r="B179" s="38"/>
      <c r="C179" s="38"/>
      <c r="D179" s="39"/>
      <c r="E179" s="38"/>
      <c r="F179" s="38"/>
      <c r="G179" s="39"/>
      <c r="H179" s="38"/>
      <c r="I179" s="19"/>
      <c r="J179" s="39"/>
      <c r="K179" s="19"/>
      <c r="L179" s="19"/>
      <c r="M179" s="19"/>
      <c r="N179" s="19"/>
      <c r="O179" s="19"/>
      <c r="P179" s="28"/>
      <c r="Q179" s="19"/>
      <c r="R179" s="19"/>
      <c r="S179" s="19"/>
      <c r="T179" s="40"/>
      <c r="U179" s="47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71"/>
      <c r="AL179" s="71"/>
      <c r="AM179" s="71"/>
      <c r="AN179" s="71"/>
      <c r="AO179" s="71"/>
    </row>
    <row r="180" spans="1:41" ht="21" x14ac:dyDescent="0.35">
      <c r="A180" s="38"/>
      <c r="B180" s="38"/>
      <c r="C180" s="38"/>
      <c r="D180" s="39"/>
      <c r="E180" s="38"/>
      <c r="F180" s="38"/>
      <c r="G180" s="39"/>
      <c r="H180" s="38"/>
      <c r="I180" s="19"/>
      <c r="J180" s="39"/>
      <c r="K180" s="19"/>
      <c r="L180" s="19"/>
      <c r="M180" s="19"/>
      <c r="N180" s="19"/>
      <c r="O180" s="19"/>
      <c r="P180" s="28"/>
      <c r="Q180" s="19"/>
      <c r="R180" s="19"/>
      <c r="S180" s="19"/>
      <c r="T180" s="40"/>
      <c r="U180" s="47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71"/>
      <c r="AL180" s="71"/>
      <c r="AM180" s="71"/>
      <c r="AN180" s="71"/>
      <c r="AO180" s="71"/>
    </row>
    <row r="181" spans="1:41" ht="21" x14ac:dyDescent="0.35">
      <c r="A181" s="38"/>
      <c r="B181" s="38"/>
      <c r="C181" s="38"/>
      <c r="D181" s="39"/>
      <c r="E181" s="38"/>
      <c r="F181" s="38"/>
      <c r="G181" s="39"/>
      <c r="H181" s="38"/>
      <c r="I181" s="19"/>
      <c r="J181" s="39"/>
      <c r="K181" s="19"/>
      <c r="L181" s="19"/>
      <c r="M181" s="19"/>
      <c r="N181" s="19"/>
      <c r="O181" s="19"/>
      <c r="P181" s="28"/>
      <c r="Q181" s="19"/>
      <c r="R181" s="19"/>
      <c r="S181" s="19"/>
      <c r="T181" s="40"/>
      <c r="U181" s="47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71"/>
      <c r="AL181" s="71"/>
      <c r="AM181" s="71"/>
      <c r="AN181" s="71"/>
      <c r="AO181" s="71"/>
    </row>
    <row r="182" spans="1:41" ht="21" x14ac:dyDescent="0.35">
      <c r="A182" s="38"/>
      <c r="B182" s="38"/>
      <c r="C182" s="38"/>
      <c r="D182" s="39"/>
      <c r="E182" s="38"/>
      <c r="F182" s="38"/>
      <c r="G182" s="39"/>
      <c r="H182" s="38"/>
      <c r="I182" s="19"/>
      <c r="J182" s="39"/>
      <c r="K182" s="19"/>
      <c r="L182" s="19"/>
      <c r="M182" s="19"/>
      <c r="N182" s="19"/>
      <c r="O182" s="19"/>
      <c r="P182" s="28"/>
      <c r="Q182" s="19"/>
      <c r="R182" s="19"/>
      <c r="S182" s="19"/>
      <c r="T182" s="40"/>
      <c r="U182" s="47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71"/>
      <c r="AL182" s="71"/>
      <c r="AM182" s="71"/>
      <c r="AN182" s="71"/>
      <c r="AO182" s="71"/>
    </row>
    <row r="183" spans="1:41" ht="21" x14ac:dyDescent="0.35">
      <c r="A183" s="38"/>
      <c r="B183" s="38"/>
      <c r="C183" s="38"/>
      <c r="D183" s="39"/>
      <c r="E183" s="38"/>
      <c r="F183" s="38"/>
      <c r="G183" s="39"/>
      <c r="H183" s="38"/>
      <c r="I183" s="19"/>
      <c r="J183" s="39"/>
      <c r="K183" s="19"/>
      <c r="L183" s="19"/>
      <c r="M183" s="19"/>
      <c r="N183" s="19"/>
      <c r="O183" s="19"/>
      <c r="P183" s="28"/>
      <c r="Q183" s="19"/>
      <c r="R183" s="19"/>
      <c r="S183" s="19"/>
      <c r="T183" s="40"/>
      <c r="U183" s="47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71"/>
      <c r="AL183" s="71"/>
      <c r="AM183" s="71"/>
      <c r="AN183" s="71"/>
      <c r="AO183" s="71"/>
    </row>
    <row r="184" spans="1:41" ht="21" x14ac:dyDescent="0.35">
      <c r="A184" s="38"/>
      <c r="B184" s="38"/>
      <c r="C184" s="38"/>
      <c r="D184" s="39"/>
      <c r="E184" s="38"/>
      <c r="F184" s="38"/>
      <c r="G184" s="39"/>
      <c r="H184" s="38"/>
      <c r="I184" s="19"/>
      <c r="J184" s="39"/>
      <c r="K184" s="19"/>
      <c r="L184" s="19"/>
      <c r="M184" s="19"/>
      <c r="N184" s="19"/>
      <c r="O184" s="19"/>
      <c r="P184" s="28"/>
      <c r="Q184" s="19"/>
      <c r="R184" s="19"/>
      <c r="S184" s="19"/>
      <c r="T184" s="40"/>
      <c r="U184" s="47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71"/>
      <c r="AL184" s="71"/>
      <c r="AM184" s="71"/>
      <c r="AN184" s="71"/>
      <c r="AO184" s="71"/>
    </row>
    <row r="185" spans="1:41" ht="21" x14ac:dyDescent="0.35">
      <c r="A185" s="38"/>
      <c r="B185" s="38"/>
      <c r="C185" s="38"/>
      <c r="D185" s="39"/>
      <c r="E185" s="38"/>
      <c r="F185" s="38"/>
      <c r="G185" s="39"/>
      <c r="H185" s="38"/>
      <c r="I185" s="19"/>
      <c r="J185" s="39"/>
      <c r="K185" s="19"/>
      <c r="L185" s="19"/>
      <c r="M185" s="19"/>
      <c r="N185" s="19"/>
      <c r="O185" s="19"/>
      <c r="P185" s="28"/>
      <c r="Q185" s="19"/>
      <c r="R185" s="19"/>
      <c r="S185" s="19"/>
      <c r="T185" s="40"/>
      <c r="U185" s="47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71"/>
      <c r="AL185" s="71"/>
      <c r="AM185" s="71"/>
      <c r="AN185" s="71"/>
      <c r="AO185" s="71"/>
    </row>
    <row r="186" spans="1:41" ht="21" x14ac:dyDescent="0.35">
      <c r="A186" s="38"/>
      <c r="B186" s="38"/>
      <c r="C186" s="38"/>
      <c r="D186" s="39"/>
      <c r="E186" s="38"/>
      <c r="F186" s="38"/>
      <c r="G186" s="39"/>
      <c r="H186" s="38"/>
      <c r="I186" s="19"/>
      <c r="J186" s="39"/>
      <c r="K186" s="19"/>
      <c r="L186" s="19"/>
      <c r="M186" s="19"/>
      <c r="N186" s="19"/>
      <c r="O186" s="19"/>
      <c r="P186" s="28"/>
      <c r="Q186" s="19"/>
      <c r="R186" s="19"/>
      <c r="S186" s="19"/>
      <c r="T186" s="40"/>
      <c r="U186" s="47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71"/>
      <c r="AL186" s="71"/>
      <c r="AM186" s="71"/>
      <c r="AN186" s="71"/>
      <c r="AO186" s="71"/>
    </row>
    <row r="187" spans="1:41" ht="21" x14ac:dyDescent="0.35">
      <c r="A187" s="38"/>
      <c r="B187" s="38"/>
      <c r="C187" s="38"/>
      <c r="D187" s="39"/>
      <c r="E187" s="38"/>
      <c r="F187" s="38"/>
      <c r="G187" s="39"/>
      <c r="H187" s="38"/>
      <c r="I187" s="19"/>
      <c r="J187" s="39"/>
      <c r="K187" s="19"/>
      <c r="L187" s="19"/>
      <c r="M187" s="19"/>
      <c r="N187" s="19"/>
      <c r="O187" s="19"/>
      <c r="P187" s="28"/>
      <c r="Q187" s="19"/>
      <c r="R187" s="19"/>
      <c r="S187" s="19"/>
      <c r="T187" s="40"/>
      <c r="U187" s="47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71"/>
      <c r="AL187" s="71"/>
      <c r="AM187" s="71"/>
      <c r="AN187" s="71"/>
      <c r="AO187" s="71"/>
    </row>
    <row r="188" spans="1:41" ht="21" x14ac:dyDescent="0.35">
      <c r="A188" s="38"/>
      <c r="B188" s="38"/>
      <c r="C188" s="38"/>
      <c r="D188" s="39"/>
      <c r="E188" s="38"/>
      <c r="F188" s="38"/>
      <c r="G188" s="39"/>
      <c r="H188" s="38"/>
      <c r="I188" s="19"/>
      <c r="J188" s="39"/>
      <c r="K188" s="19"/>
      <c r="L188" s="19"/>
      <c r="M188" s="19"/>
      <c r="N188" s="19"/>
      <c r="O188" s="19"/>
      <c r="P188" s="28"/>
      <c r="Q188" s="19"/>
      <c r="R188" s="19"/>
      <c r="S188" s="19"/>
      <c r="T188" s="40"/>
      <c r="U188" s="47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71"/>
      <c r="AL188" s="71"/>
      <c r="AM188" s="71"/>
      <c r="AN188" s="71"/>
      <c r="AO188" s="71"/>
    </row>
    <row r="189" spans="1:41" ht="21" x14ac:dyDescent="0.35">
      <c r="A189" s="38"/>
      <c r="B189" s="38"/>
      <c r="C189" s="38"/>
      <c r="D189" s="39"/>
      <c r="E189" s="38"/>
      <c r="F189" s="38"/>
      <c r="G189" s="39"/>
      <c r="H189" s="38"/>
      <c r="I189" s="19"/>
      <c r="J189" s="39"/>
      <c r="K189" s="19"/>
      <c r="L189" s="19"/>
      <c r="M189" s="19"/>
      <c r="N189" s="19"/>
      <c r="O189" s="19"/>
      <c r="P189" s="28"/>
      <c r="Q189" s="19"/>
      <c r="R189" s="19"/>
      <c r="S189" s="19"/>
      <c r="T189" s="40"/>
      <c r="U189" s="47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71"/>
      <c r="AL189" s="71"/>
      <c r="AM189" s="71"/>
      <c r="AN189" s="71"/>
      <c r="AO189" s="71"/>
    </row>
    <row r="190" spans="1:41" ht="21" x14ac:dyDescent="0.35">
      <c r="A190" s="38"/>
      <c r="B190" s="38"/>
      <c r="C190" s="38"/>
      <c r="D190" s="39"/>
      <c r="E190" s="38"/>
      <c r="F190" s="38"/>
      <c r="G190" s="39"/>
      <c r="H190" s="38"/>
      <c r="I190" s="19"/>
      <c r="J190" s="39"/>
      <c r="K190" s="19"/>
      <c r="L190" s="19"/>
      <c r="M190" s="19"/>
      <c r="N190" s="19"/>
      <c r="O190" s="19"/>
      <c r="P190" s="28"/>
      <c r="Q190" s="19"/>
      <c r="R190" s="19"/>
      <c r="S190" s="19"/>
      <c r="T190" s="40"/>
      <c r="U190" s="47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71"/>
      <c r="AL190" s="71"/>
      <c r="AM190" s="71"/>
      <c r="AN190" s="71"/>
      <c r="AO190" s="71"/>
    </row>
    <row r="191" spans="1:41" ht="21" x14ac:dyDescent="0.35">
      <c r="A191" s="38"/>
      <c r="B191" s="38"/>
      <c r="C191" s="38"/>
      <c r="D191" s="39"/>
      <c r="E191" s="38"/>
      <c r="F191" s="38"/>
      <c r="G191" s="39"/>
      <c r="H191" s="38"/>
      <c r="I191" s="19"/>
      <c r="J191" s="39"/>
      <c r="K191" s="19"/>
      <c r="L191" s="19"/>
      <c r="M191" s="19"/>
      <c r="N191" s="19"/>
      <c r="O191" s="19"/>
      <c r="P191" s="28"/>
      <c r="Q191" s="19"/>
      <c r="R191" s="19"/>
      <c r="S191" s="19"/>
      <c r="T191" s="40"/>
      <c r="U191" s="47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71"/>
      <c r="AL191" s="71"/>
      <c r="AM191" s="71"/>
      <c r="AN191" s="71"/>
      <c r="AO191" s="71"/>
    </row>
    <row r="192" spans="1:41" ht="21" x14ac:dyDescent="0.35">
      <c r="A192" s="38"/>
      <c r="B192" s="38"/>
      <c r="C192" s="38"/>
      <c r="D192" s="39"/>
      <c r="E192" s="38"/>
      <c r="F192" s="38"/>
      <c r="G192" s="39"/>
      <c r="H192" s="38"/>
      <c r="I192" s="19"/>
      <c r="J192" s="39"/>
      <c r="K192" s="19"/>
      <c r="L192" s="19"/>
      <c r="M192" s="19"/>
      <c r="N192" s="19"/>
      <c r="O192" s="19"/>
      <c r="P192" s="28"/>
      <c r="Q192" s="19"/>
      <c r="R192" s="19"/>
      <c r="S192" s="19"/>
      <c r="T192" s="40"/>
      <c r="U192" s="47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71"/>
      <c r="AL192" s="71"/>
      <c r="AM192" s="71"/>
      <c r="AN192" s="71"/>
      <c r="AO192" s="71"/>
    </row>
    <row r="193" spans="1:41" ht="21" x14ac:dyDescent="0.35">
      <c r="A193" s="38"/>
      <c r="B193" s="38"/>
      <c r="C193" s="38"/>
      <c r="D193" s="39"/>
      <c r="E193" s="38"/>
      <c r="F193" s="38"/>
      <c r="G193" s="39"/>
      <c r="H193" s="38"/>
      <c r="I193" s="19"/>
      <c r="J193" s="39"/>
      <c r="K193" s="19"/>
      <c r="L193" s="19"/>
      <c r="M193" s="19"/>
      <c r="N193" s="19"/>
      <c r="O193" s="19"/>
      <c r="P193" s="28"/>
      <c r="Q193" s="19"/>
      <c r="R193" s="19"/>
      <c r="S193" s="19"/>
      <c r="T193" s="40"/>
      <c r="U193" s="47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71"/>
      <c r="AL193" s="71"/>
      <c r="AM193" s="71"/>
      <c r="AN193" s="71"/>
      <c r="AO193" s="71"/>
    </row>
    <row r="194" spans="1:41" ht="21" x14ac:dyDescent="0.35">
      <c r="A194" s="38"/>
      <c r="B194" s="38"/>
      <c r="C194" s="38"/>
      <c r="D194" s="39"/>
      <c r="E194" s="38"/>
      <c r="F194" s="38"/>
      <c r="G194" s="39"/>
      <c r="H194" s="38"/>
      <c r="I194" s="19"/>
      <c r="J194" s="39"/>
      <c r="K194" s="19"/>
      <c r="L194" s="19"/>
      <c r="M194" s="19"/>
      <c r="N194" s="19"/>
      <c r="O194" s="19"/>
      <c r="P194" s="28"/>
      <c r="Q194" s="19"/>
      <c r="R194" s="19"/>
      <c r="S194" s="19"/>
      <c r="T194" s="40"/>
      <c r="U194" s="47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71"/>
      <c r="AL194" s="71"/>
      <c r="AM194" s="71"/>
      <c r="AN194" s="71"/>
      <c r="AO194" s="71"/>
    </row>
    <row r="195" spans="1:41" ht="21" x14ac:dyDescent="0.35">
      <c r="A195" s="38"/>
      <c r="B195" s="38"/>
      <c r="C195" s="38"/>
      <c r="D195" s="39"/>
      <c r="E195" s="38"/>
      <c r="F195" s="38"/>
      <c r="G195" s="39"/>
      <c r="H195" s="38"/>
      <c r="I195" s="19"/>
      <c r="J195" s="39"/>
      <c r="K195" s="19"/>
      <c r="L195" s="19"/>
      <c r="M195" s="19"/>
      <c r="N195" s="19"/>
      <c r="O195" s="19"/>
      <c r="P195" s="28"/>
      <c r="Q195" s="19"/>
      <c r="R195" s="19"/>
      <c r="S195" s="19"/>
      <c r="T195" s="40"/>
      <c r="U195" s="47"/>
      <c r="V195" s="19"/>
      <c r="W195" s="28"/>
      <c r="X195" s="28"/>
      <c r="Y195" s="19"/>
      <c r="Z195" s="19"/>
      <c r="AA195" s="19"/>
      <c r="AB195" s="29"/>
      <c r="AC195" s="29"/>
      <c r="AD195" s="29"/>
      <c r="AE195" s="28"/>
      <c r="AF195" s="28"/>
      <c r="AG195" s="28"/>
      <c r="AH195" s="29"/>
      <c r="AI195" s="29"/>
      <c r="AJ195" s="30"/>
      <c r="AK195" s="71"/>
      <c r="AL195" s="71"/>
      <c r="AM195" s="71"/>
      <c r="AN195" s="71"/>
      <c r="AO195" s="71"/>
    </row>
    <row r="196" spans="1:41" ht="21" x14ac:dyDescent="0.35">
      <c r="A196" s="38"/>
      <c r="B196" s="38"/>
      <c r="C196" s="38"/>
      <c r="D196" s="39"/>
      <c r="E196" s="38"/>
      <c r="F196" s="38"/>
      <c r="G196" s="39"/>
      <c r="H196" s="38"/>
      <c r="I196" s="19"/>
      <c r="J196" s="39"/>
      <c r="K196" s="19"/>
      <c r="L196" s="19"/>
      <c r="M196" s="19"/>
      <c r="N196" s="19"/>
      <c r="O196" s="19"/>
      <c r="P196" s="28"/>
      <c r="Q196" s="19"/>
      <c r="R196" s="19"/>
      <c r="S196" s="19"/>
      <c r="T196" s="40"/>
      <c r="U196" s="47"/>
      <c r="V196" s="19"/>
      <c r="W196" s="28"/>
      <c r="X196" s="28"/>
      <c r="Y196" s="19"/>
      <c r="Z196" s="19"/>
      <c r="AA196" s="19"/>
      <c r="AB196" s="29"/>
      <c r="AC196" s="29"/>
      <c r="AD196" s="29"/>
      <c r="AE196" s="28"/>
      <c r="AF196" s="28"/>
      <c r="AG196" s="28"/>
      <c r="AH196" s="29"/>
      <c r="AI196" s="29"/>
      <c r="AJ196" s="30"/>
      <c r="AK196" s="71"/>
      <c r="AL196" s="71"/>
      <c r="AM196" s="71"/>
      <c r="AN196" s="71"/>
      <c r="AO196" s="71"/>
    </row>
    <row r="197" spans="1:41" ht="21" x14ac:dyDescent="0.35">
      <c r="A197" s="38"/>
      <c r="B197" s="38"/>
      <c r="C197" s="38"/>
      <c r="D197" s="39"/>
      <c r="E197" s="38"/>
      <c r="F197" s="38"/>
      <c r="G197" s="39"/>
      <c r="H197" s="38"/>
      <c r="I197" s="19"/>
      <c r="J197" s="39"/>
      <c r="K197" s="19"/>
      <c r="L197" s="19"/>
      <c r="M197" s="19"/>
      <c r="N197" s="19"/>
      <c r="O197" s="19"/>
      <c r="P197" s="28"/>
      <c r="Q197" s="19"/>
      <c r="R197" s="19"/>
      <c r="S197" s="19"/>
      <c r="T197" s="40"/>
      <c r="U197" s="47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28"/>
      <c r="AG197" s="28"/>
      <c r="AH197" s="29"/>
      <c r="AI197" s="29"/>
      <c r="AJ197" s="30"/>
      <c r="AK197" s="71"/>
      <c r="AL197" s="71"/>
      <c r="AM197" s="71"/>
      <c r="AN197" s="71"/>
      <c r="AO197" s="71"/>
    </row>
    <row r="198" spans="1:41" ht="21" x14ac:dyDescent="0.35">
      <c r="A198" s="38"/>
      <c r="B198" s="38"/>
      <c r="C198" s="38"/>
      <c r="D198" s="39"/>
      <c r="E198" s="38"/>
      <c r="F198" s="38"/>
      <c r="G198" s="39"/>
      <c r="H198" s="38"/>
      <c r="I198" s="19"/>
      <c r="J198" s="39"/>
      <c r="K198" s="19"/>
      <c r="L198" s="19"/>
      <c r="M198" s="19"/>
      <c r="N198" s="19"/>
      <c r="O198" s="19"/>
      <c r="P198" s="28"/>
      <c r="Q198" s="19"/>
      <c r="R198" s="19"/>
      <c r="S198" s="19"/>
      <c r="T198" s="40"/>
      <c r="U198" s="47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28"/>
      <c r="AG198" s="28"/>
      <c r="AH198" s="29"/>
      <c r="AI198" s="29"/>
      <c r="AJ198" s="30"/>
      <c r="AK198" s="71"/>
      <c r="AL198" s="71"/>
      <c r="AM198" s="71"/>
      <c r="AN198" s="71"/>
      <c r="AO198" s="71"/>
    </row>
    <row r="199" spans="1:41" ht="21" x14ac:dyDescent="0.35">
      <c r="A199" s="38"/>
      <c r="B199" s="38"/>
      <c r="C199" s="38"/>
      <c r="D199" s="39"/>
      <c r="E199" s="38"/>
      <c r="F199" s="38"/>
      <c r="G199" s="39"/>
      <c r="H199" s="38"/>
      <c r="I199" s="19"/>
      <c r="J199" s="39"/>
      <c r="K199" s="19"/>
      <c r="L199" s="19"/>
      <c r="M199" s="19"/>
      <c r="N199" s="19"/>
      <c r="O199" s="19"/>
      <c r="P199" s="28"/>
      <c r="Q199" s="19"/>
      <c r="R199" s="19"/>
      <c r="S199" s="19"/>
      <c r="T199" s="40"/>
      <c r="U199" s="47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71"/>
      <c r="AL199" s="71"/>
      <c r="AM199" s="71"/>
      <c r="AN199" s="71"/>
      <c r="AO199" s="71"/>
    </row>
    <row r="200" spans="1:41" ht="21" x14ac:dyDescent="0.35">
      <c r="A200" s="38"/>
      <c r="B200" s="38"/>
      <c r="C200" s="38"/>
      <c r="D200" s="39"/>
      <c r="E200" s="38"/>
      <c r="F200" s="38"/>
      <c r="G200" s="39"/>
      <c r="H200" s="38"/>
      <c r="I200" s="19"/>
      <c r="J200" s="39"/>
      <c r="K200" s="19"/>
      <c r="L200" s="19"/>
      <c r="M200" s="19"/>
      <c r="N200" s="19"/>
      <c r="O200" s="19"/>
      <c r="P200" s="28"/>
      <c r="Q200" s="19"/>
      <c r="R200" s="19"/>
      <c r="S200" s="19"/>
      <c r="T200" s="40"/>
      <c r="U200" s="47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71"/>
      <c r="AL200" s="71"/>
      <c r="AM200" s="71"/>
      <c r="AN200" s="71"/>
      <c r="AO200" s="71"/>
    </row>
    <row r="201" spans="1:41" ht="21" x14ac:dyDescent="0.35">
      <c r="A201" s="38"/>
      <c r="B201" s="38"/>
      <c r="C201" s="38"/>
      <c r="D201" s="39"/>
      <c r="E201" s="38"/>
      <c r="F201" s="38"/>
      <c r="G201" s="39"/>
      <c r="H201" s="38"/>
      <c r="I201" s="19"/>
      <c r="J201" s="39"/>
      <c r="K201" s="19"/>
      <c r="L201" s="19"/>
      <c r="M201" s="19"/>
      <c r="N201" s="19"/>
      <c r="O201" s="19"/>
      <c r="P201" s="28"/>
      <c r="Q201" s="19"/>
      <c r="R201" s="19"/>
      <c r="S201" s="19"/>
      <c r="T201" s="40"/>
      <c r="U201" s="47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71"/>
      <c r="AL201" s="71"/>
      <c r="AM201" s="71"/>
      <c r="AN201" s="71"/>
      <c r="AO201" s="71"/>
    </row>
    <row r="202" spans="1:41" ht="21" x14ac:dyDescent="0.35">
      <c r="A202" s="38"/>
      <c r="B202" s="38"/>
      <c r="C202" s="38"/>
      <c r="D202" s="39"/>
      <c r="E202" s="38"/>
      <c r="F202" s="38"/>
      <c r="G202" s="39"/>
      <c r="H202" s="38"/>
      <c r="I202" s="19"/>
      <c r="J202" s="39"/>
      <c r="K202" s="19"/>
      <c r="L202" s="19"/>
      <c r="M202" s="19"/>
      <c r="N202" s="19"/>
      <c r="O202" s="19"/>
      <c r="P202" s="28"/>
      <c r="Q202" s="19"/>
      <c r="R202" s="19"/>
      <c r="S202" s="19"/>
      <c r="T202" s="40"/>
      <c r="U202" s="47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71"/>
      <c r="AL202" s="71"/>
      <c r="AM202" s="71"/>
      <c r="AN202" s="71"/>
      <c r="AO202" s="71"/>
    </row>
    <row r="203" spans="1:41" ht="21" x14ac:dyDescent="0.35">
      <c r="A203" s="38"/>
      <c r="B203" s="38"/>
      <c r="C203" s="38"/>
      <c r="D203" s="39"/>
      <c r="E203" s="38"/>
      <c r="F203" s="38"/>
      <c r="G203" s="39"/>
      <c r="H203" s="38"/>
      <c r="I203" s="19"/>
      <c r="J203" s="39"/>
      <c r="K203" s="19"/>
      <c r="L203" s="19"/>
      <c r="M203" s="19"/>
      <c r="N203" s="19"/>
      <c r="O203" s="19"/>
      <c r="P203" s="28"/>
      <c r="Q203" s="19"/>
      <c r="R203" s="19"/>
      <c r="S203" s="19"/>
      <c r="T203" s="40"/>
      <c r="U203" s="47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71"/>
      <c r="AL203" s="71"/>
      <c r="AM203" s="71"/>
      <c r="AN203" s="71"/>
      <c r="AO203" s="71"/>
    </row>
    <row r="204" spans="1:41" ht="21" x14ac:dyDescent="0.35">
      <c r="A204" s="38"/>
      <c r="B204" s="38"/>
      <c r="C204" s="38"/>
      <c r="D204" s="39"/>
      <c r="E204" s="38"/>
      <c r="F204" s="38"/>
      <c r="G204" s="39"/>
      <c r="H204" s="38"/>
      <c r="I204" s="19"/>
      <c r="J204" s="39"/>
      <c r="K204" s="19"/>
      <c r="L204" s="19"/>
      <c r="M204" s="19"/>
      <c r="N204" s="19"/>
      <c r="O204" s="19"/>
      <c r="P204" s="28"/>
      <c r="Q204" s="19"/>
      <c r="R204" s="19"/>
      <c r="S204" s="19"/>
      <c r="T204" s="40"/>
      <c r="U204" s="47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71"/>
      <c r="AL204" s="71"/>
      <c r="AM204" s="71"/>
      <c r="AN204" s="71"/>
      <c r="AO204" s="71"/>
    </row>
    <row r="205" spans="1:41" ht="21" x14ac:dyDescent="0.35">
      <c r="A205" s="38"/>
      <c r="B205" s="38"/>
      <c r="C205" s="38"/>
      <c r="D205" s="39"/>
      <c r="E205" s="38"/>
      <c r="F205" s="38"/>
      <c r="G205" s="39"/>
      <c r="H205" s="38"/>
      <c r="I205" s="19"/>
      <c r="J205" s="39"/>
      <c r="K205" s="19"/>
      <c r="L205" s="19"/>
      <c r="M205" s="19"/>
      <c r="N205" s="19"/>
      <c r="O205" s="19"/>
      <c r="P205" s="28"/>
      <c r="Q205" s="19"/>
      <c r="R205" s="19"/>
      <c r="S205" s="19"/>
      <c r="T205" s="40"/>
      <c r="U205" s="47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71"/>
      <c r="AL205" s="71"/>
      <c r="AM205" s="71"/>
      <c r="AN205" s="71"/>
      <c r="AO205" s="71"/>
    </row>
    <row r="206" spans="1:41" ht="21" x14ac:dyDescent="0.35">
      <c r="A206" s="38"/>
      <c r="B206" s="38"/>
      <c r="C206" s="38"/>
      <c r="D206" s="39"/>
      <c r="E206" s="38"/>
      <c r="F206" s="38"/>
      <c r="G206" s="39"/>
      <c r="H206" s="38"/>
      <c r="I206" s="19"/>
      <c r="J206" s="39"/>
      <c r="K206" s="19"/>
      <c r="L206" s="19"/>
      <c r="M206" s="19"/>
      <c r="N206" s="19"/>
      <c r="O206" s="19"/>
      <c r="P206" s="28"/>
      <c r="Q206" s="19"/>
      <c r="R206" s="19"/>
      <c r="S206" s="19"/>
      <c r="T206" s="40"/>
      <c r="U206" s="47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71"/>
      <c r="AL206" s="71"/>
      <c r="AM206" s="71"/>
      <c r="AN206" s="71"/>
      <c r="AO206" s="71"/>
    </row>
    <row r="207" spans="1:41" ht="21" x14ac:dyDescent="0.35">
      <c r="A207" s="38"/>
      <c r="B207" s="38"/>
      <c r="C207" s="38"/>
      <c r="D207" s="39"/>
      <c r="E207" s="38"/>
      <c r="F207" s="38"/>
      <c r="G207" s="39"/>
      <c r="H207" s="38"/>
      <c r="I207" s="19"/>
      <c r="J207" s="39"/>
      <c r="K207" s="19"/>
      <c r="L207" s="19"/>
      <c r="M207" s="19"/>
      <c r="N207" s="19"/>
      <c r="O207" s="19"/>
      <c r="P207" s="28"/>
      <c r="Q207" s="19"/>
      <c r="R207" s="19"/>
      <c r="S207" s="19"/>
      <c r="T207" s="40"/>
      <c r="U207" s="47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71"/>
      <c r="AL207" s="71"/>
      <c r="AM207" s="71"/>
      <c r="AN207" s="71"/>
      <c r="AO207" s="71"/>
    </row>
    <row r="208" spans="1:41" ht="21" x14ac:dyDescent="0.35">
      <c r="A208" s="38"/>
      <c r="B208" s="38"/>
      <c r="C208" s="38"/>
      <c r="D208" s="39"/>
      <c r="E208" s="38"/>
      <c r="F208" s="38"/>
      <c r="G208" s="39"/>
      <c r="H208" s="38"/>
      <c r="I208" s="19"/>
      <c r="J208" s="39"/>
      <c r="K208" s="19"/>
      <c r="L208" s="19"/>
      <c r="M208" s="19"/>
      <c r="N208" s="19"/>
      <c r="O208" s="19"/>
      <c r="P208" s="28"/>
      <c r="Q208" s="19"/>
      <c r="R208" s="19"/>
      <c r="S208" s="19"/>
      <c r="T208" s="40"/>
      <c r="U208" s="47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71"/>
      <c r="AL208" s="71"/>
      <c r="AM208" s="71"/>
      <c r="AN208" s="71"/>
      <c r="AO208" s="71"/>
    </row>
    <row r="209" spans="1:41" ht="21" x14ac:dyDescent="0.35">
      <c r="A209" s="38"/>
      <c r="B209" s="38"/>
      <c r="C209" s="38"/>
      <c r="D209" s="39"/>
      <c r="E209" s="38"/>
      <c r="F209" s="38"/>
      <c r="G209" s="39"/>
      <c r="H209" s="38"/>
      <c r="I209" s="19"/>
      <c r="J209" s="39"/>
      <c r="K209" s="19"/>
      <c r="L209" s="19"/>
      <c r="M209" s="19"/>
      <c r="N209" s="19"/>
      <c r="O209" s="19"/>
      <c r="P209" s="28"/>
      <c r="Q209" s="19"/>
      <c r="R209" s="19"/>
      <c r="S209" s="19"/>
      <c r="T209" s="40"/>
      <c r="U209" s="47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71"/>
      <c r="AL209" s="71"/>
      <c r="AM209" s="71"/>
      <c r="AN209" s="71"/>
      <c r="AO209" s="71"/>
    </row>
    <row r="210" spans="1:41" ht="21" x14ac:dyDescent="0.35">
      <c r="A210" s="38"/>
      <c r="B210" s="38"/>
      <c r="C210" s="38"/>
      <c r="D210" s="39"/>
      <c r="E210" s="38"/>
      <c r="F210" s="38"/>
      <c r="G210" s="39"/>
      <c r="H210" s="38"/>
      <c r="I210" s="19"/>
      <c r="J210" s="39"/>
      <c r="K210" s="19"/>
      <c r="L210" s="19"/>
      <c r="M210" s="19"/>
      <c r="N210" s="19"/>
      <c r="O210" s="19"/>
      <c r="P210" s="28"/>
      <c r="Q210" s="19"/>
      <c r="R210" s="19"/>
      <c r="S210" s="19"/>
      <c r="T210" s="40"/>
      <c r="U210" s="47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71"/>
      <c r="AL210" s="71"/>
      <c r="AM210" s="71"/>
      <c r="AN210" s="71"/>
      <c r="AO210" s="71"/>
    </row>
    <row r="211" spans="1:41" ht="21" x14ac:dyDescent="0.35">
      <c r="A211" s="38"/>
      <c r="B211" s="38"/>
      <c r="C211" s="38"/>
      <c r="D211" s="39"/>
      <c r="E211" s="38"/>
      <c r="F211" s="38"/>
      <c r="G211" s="39"/>
      <c r="H211" s="38"/>
      <c r="I211" s="19"/>
      <c r="J211" s="39"/>
      <c r="K211" s="19"/>
      <c r="L211" s="19"/>
      <c r="M211" s="19"/>
      <c r="N211" s="19"/>
      <c r="O211" s="19"/>
      <c r="P211" s="28"/>
      <c r="Q211" s="19"/>
      <c r="R211" s="19"/>
      <c r="S211" s="19"/>
      <c r="T211" s="40"/>
      <c r="U211" s="47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71"/>
      <c r="AL211" s="71"/>
      <c r="AM211" s="71"/>
      <c r="AN211" s="71"/>
      <c r="AO211" s="71"/>
    </row>
    <row r="212" spans="1:41" ht="21" x14ac:dyDescent="0.35">
      <c r="A212" s="38"/>
      <c r="B212" s="38"/>
      <c r="C212" s="38"/>
      <c r="D212" s="39"/>
      <c r="E212" s="38"/>
      <c r="F212" s="38"/>
      <c r="G212" s="39"/>
      <c r="H212" s="38"/>
      <c r="I212" s="19"/>
      <c r="J212" s="39"/>
      <c r="K212" s="19"/>
      <c r="L212" s="19"/>
      <c r="M212" s="19"/>
      <c r="N212" s="19"/>
      <c r="O212" s="19"/>
      <c r="P212" s="28"/>
      <c r="Q212" s="19"/>
      <c r="R212" s="19"/>
      <c r="S212" s="19"/>
      <c r="T212" s="40"/>
      <c r="U212" s="47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71"/>
      <c r="AL212" s="71"/>
      <c r="AM212" s="71"/>
      <c r="AN212" s="71"/>
      <c r="AO212" s="71"/>
    </row>
    <row r="213" spans="1:41" ht="21" x14ac:dyDescent="0.35">
      <c r="A213" s="38"/>
      <c r="B213" s="38"/>
      <c r="C213" s="38"/>
      <c r="D213" s="39"/>
      <c r="E213" s="38"/>
      <c r="F213" s="38"/>
      <c r="G213" s="39"/>
      <c r="H213" s="38"/>
      <c r="I213" s="19"/>
      <c r="J213" s="39"/>
      <c r="K213" s="19"/>
      <c r="L213" s="19"/>
      <c r="M213" s="19"/>
      <c r="N213" s="19"/>
      <c r="O213" s="19"/>
      <c r="P213" s="28"/>
      <c r="Q213" s="19"/>
      <c r="R213" s="19"/>
      <c r="S213" s="19"/>
      <c r="T213" s="40"/>
      <c r="U213" s="47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71"/>
      <c r="AL213" s="71"/>
      <c r="AM213" s="71"/>
      <c r="AN213" s="71"/>
      <c r="AO213" s="71"/>
    </row>
    <row r="214" spans="1:41" ht="21" x14ac:dyDescent="0.35">
      <c r="A214" s="38"/>
      <c r="B214" s="38"/>
      <c r="C214" s="38"/>
      <c r="D214" s="39"/>
      <c r="E214" s="38"/>
      <c r="F214" s="38"/>
      <c r="G214" s="39"/>
      <c r="H214" s="38"/>
      <c r="I214" s="19"/>
      <c r="J214" s="39"/>
      <c r="K214" s="19"/>
      <c r="L214" s="19"/>
      <c r="M214" s="19"/>
      <c r="N214" s="19"/>
      <c r="O214" s="19"/>
      <c r="P214" s="28"/>
      <c r="Q214" s="19"/>
      <c r="R214" s="19"/>
      <c r="S214" s="19"/>
      <c r="T214" s="40"/>
      <c r="U214" s="47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71"/>
      <c r="AL214" s="71"/>
      <c r="AM214" s="71"/>
      <c r="AN214" s="71"/>
      <c r="AO214" s="71"/>
    </row>
    <row r="215" spans="1:41" ht="21" x14ac:dyDescent="0.35">
      <c r="A215" s="38"/>
      <c r="B215" s="38"/>
      <c r="C215" s="38"/>
      <c r="D215" s="39"/>
      <c r="E215" s="38"/>
      <c r="F215" s="38"/>
      <c r="G215" s="39"/>
      <c r="H215" s="38"/>
      <c r="I215" s="19"/>
      <c r="J215" s="39"/>
      <c r="K215" s="19"/>
      <c r="L215" s="19"/>
      <c r="M215" s="19"/>
      <c r="N215" s="19"/>
      <c r="O215" s="19"/>
      <c r="P215" s="28"/>
      <c r="Q215" s="19"/>
      <c r="R215" s="19"/>
      <c r="S215" s="19"/>
      <c r="T215" s="40"/>
      <c r="U215" s="47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71"/>
      <c r="AL215" s="71"/>
      <c r="AM215" s="71"/>
      <c r="AN215" s="71"/>
      <c r="AO215" s="71"/>
    </row>
    <row r="216" spans="1:41" ht="21" x14ac:dyDescent="0.35">
      <c r="A216" s="38"/>
      <c r="B216" s="38"/>
      <c r="C216" s="38"/>
      <c r="D216" s="39"/>
      <c r="E216" s="38"/>
      <c r="F216" s="38"/>
      <c r="G216" s="39"/>
      <c r="H216" s="38"/>
      <c r="I216" s="19"/>
      <c r="J216" s="39"/>
      <c r="K216" s="19"/>
      <c r="L216" s="19"/>
      <c r="M216" s="19"/>
      <c r="N216" s="19"/>
      <c r="O216" s="19"/>
      <c r="P216" s="28"/>
      <c r="Q216" s="19"/>
      <c r="R216" s="19"/>
      <c r="S216" s="19"/>
      <c r="T216" s="40"/>
      <c r="U216" s="47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71"/>
      <c r="AL216" s="71"/>
      <c r="AM216" s="71"/>
      <c r="AN216" s="71"/>
      <c r="AO216" s="71"/>
    </row>
    <row r="217" spans="1:41" ht="21" x14ac:dyDescent="0.35">
      <c r="A217" s="38"/>
      <c r="B217" s="38"/>
      <c r="C217" s="38"/>
      <c r="D217" s="39"/>
      <c r="E217" s="38"/>
      <c r="F217" s="38"/>
      <c r="G217" s="39"/>
      <c r="H217" s="38"/>
      <c r="I217" s="19"/>
      <c r="J217" s="39"/>
      <c r="K217" s="19"/>
      <c r="L217" s="19"/>
      <c r="M217" s="19"/>
      <c r="N217" s="19"/>
      <c r="O217" s="19"/>
      <c r="P217" s="28"/>
      <c r="Q217" s="19"/>
      <c r="R217" s="19"/>
      <c r="S217" s="19"/>
      <c r="T217" s="40"/>
      <c r="U217" s="47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71"/>
      <c r="AL217" s="71"/>
      <c r="AM217" s="71"/>
      <c r="AN217" s="71"/>
      <c r="AO217" s="71"/>
    </row>
    <row r="218" spans="1:41" ht="21" x14ac:dyDescent="0.35">
      <c r="A218" s="38"/>
      <c r="B218" s="38"/>
      <c r="C218" s="38"/>
      <c r="D218" s="39"/>
      <c r="E218" s="38"/>
      <c r="F218" s="38"/>
      <c r="G218" s="39"/>
      <c r="H218" s="38"/>
      <c r="I218" s="19"/>
      <c r="J218" s="39"/>
      <c r="K218" s="19"/>
      <c r="L218" s="19"/>
      <c r="M218" s="19"/>
      <c r="N218" s="19"/>
      <c r="O218" s="19"/>
      <c r="P218" s="28"/>
      <c r="Q218" s="19"/>
      <c r="R218" s="19"/>
      <c r="S218" s="19"/>
      <c r="T218" s="40"/>
      <c r="U218" s="47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71"/>
      <c r="AL218" s="71"/>
      <c r="AM218" s="71"/>
      <c r="AN218" s="71"/>
      <c r="AO218" s="71"/>
    </row>
    <row r="219" spans="1:41" ht="21" x14ac:dyDescent="0.35">
      <c r="A219" s="38"/>
      <c r="B219" s="38"/>
      <c r="C219" s="38"/>
      <c r="D219" s="39"/>
      <c r="E219" s="38"/>
      <c r="F219" s="38"/>
      <c r="G219" s="39"/>
      <c r="H219" s="38"/>
      <c r="I219" s="19"/>
      <c r="J219" s="39"/>
      <c r="K219" s="19"/>
      <c r="L219" s="19"/>
      <c r="M219" s="19"/>
      <c r="N219" s="19"/>
      <c r="O219" s="19"/>
      <c r="P219" s="28"/>
      <c r="Q219" s="19"/>
      <c r="R219" s="19"/>
      <c r="S219" s="19"/>
      <c r="T219" s="40"/>
      <c r="U219" s="47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71"/>
      <c r="AL219" s="71"/>
      <c r="AM219" s="71"/>
      <c r="AN219" s="71"/>
      <c r="AO219" s="71"/>
    </row>
    <row r="220" spans="1:41" ht="21" x14ac:dyDescent="0.35">
      <c r="A220" s="38"/>
      <c r="B220" s="38"/>
      <c r="C220" s="38"/>
      <c r="D220" s="39"/>
      <c r="E220" s="38"/>
      <c r="F220" s="38"/>
      <c r="G220" s="39"/>
      <c r="H220" s="38"/>
      <c r="I220" s="19"/>
      <c r="J220" s="39"/>
      <c r="K220" s="19"/>
      <c r="L220" s="19"/>
      <c r="M220" s="19"/>
      <c r="N220" s="19"/>
      <c r="O220" s="19"/>
      <c r="P220" s="28"/>
      <c r="Q220" s="19"/>
      <c r="R220" s="19"/>
      <c r="S220" s="19"/>
      <c r="T220" s="40"/>
      <c r="U220" s="47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71"/>
      <c r="AL220" s="71"/>
      <c r="AM220" s="71"/>
      <c r="AN220" s="71"/>
      <c r="AO220" s="71"/>
    </row>
    <row r="221" spans="1:41" ht="21" x14ac:dyDescent="0.35">
      <c r="A221" s="38"/>
      <c r="B221" s="38"/>
      <c r="C221" s="38"/>
      <c r="D221" s="39"/>
      <c r="E221" s="38"/>
      <c r="F221" s="38"/>
      <c r="G221" s="39"/>
      <c r="H221" s="38"/>
      <c r="I221" s="19"/>
      <c r="J221" s="39"/>
      <c r="K221" s="19"/>
      <c r="L221" s="19"/>
      <c r="M221" s="19"/>
      <c r="N221" s="19"/>
      <c r="O221" s="19"/>
      <c r="P221" s="28"/>
      <c r="Q221" s="19"/>
      <c r="R221" s="19"/>
      <c r="S221" s="19"/>
      <c r="T221" s="40"/>
      <c r="U221" s="47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71"/>
      <c r="AL221" s="71"/>
      <c r="AM221" s="71"/>
      <c r="AN221" s="71"/>
      <c r="AO221" s="71"/>
    </row>
    <row r="222" spans="1:41" ht="21" x14ac:dyDescent="0.35">
      <c r="A222" s="38"/>
      <c r="B222" s="38"/>
      <c r="C222" s="38"/>
      <c r="D222" s="39"/>
      <c r="E222" s="38"/>
      <c r="F222" s="38"/>
      <c r="G222" s="39"/>
      <c r="H222" s="38"/>
      <c r="I222" s="19"/>
      <c r="J222" s="39"/>
      <c r="K222" s="19"/>
      <c r="L222" s="19"/>
      <c r="M222" s="19"/>
      <c r="N222" s="19"/>
      <c r="O222" s="19"/>
      <c r="P222" s="28"/>
      <c r="Q222" s="19"/>
      <c r="R222" s="19"/>
      <c r="S222" s="19"/>
      <c r="T222" s="40"/>
      <c r="U222" s="47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71"/>
      <c r="AL222" s="71"/>
      <c r="AM222" s="71"/>
      <c r="AN222" s="71"/>
      <c r="AO222" s="71"/>
    </row>
    <row r="223" spans="1:41" ht="21" x14ac:dyDescent="0.35">
      <c r="A223" s="38"/>
      <c r="B223" s="38"/>
      <c r="C223" s="38"/>
      <c r="D223" s="39"/>
      <c r="E223" s="38"/>
      <c r="F223" s="38"/>
      <c r="G223" s="39"/>
      <c r="H223" s="38"/>
      <c r="I223" s="19"/>
      <c r="J223" s="39"/>
      <c r="K223" s="19"/>
      <c r="L223" s="19"/>
      <c r="M223" s="19"/>
      <c r="N223" s="19"/>
      <c r="O223" s="19"/>
      <c r="P223" s="28"/>
      <c r="Q223" s="19"/>
      <c r="R223" s="19"/>
      <c r="S223" s="19"/>
      <c r="T223" s="40"/>
      <c r="U223" s="47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71"/>
      <c r="AL223" s="71"/>
      <c r="AM223" s="71"/>
      <c r="AN223" s="71"/>
      <c r="AO223" s="71"/>
    </row>
    <row r="224" spans="1:41" ht="21" x14ac:dyDescent="0.35">
      <c r="A224" s="38"/>
      <c r="B224" s="38"/>
      <c r="C224" s="38"/>
      <c r="D224" s="39"/>
      <c r="E224" s="38"/>
      <c r="F224" s="38"/>
      <c r="G224" s="39"/>
      <c r="H224" s="38"/>
      <c r="I224" s="19"/>
      <c r="J224" s="39"/>
      <c r="K224" s="19"/>
      <c r="L224" s="19"/>
      <c r="M224" s="19"/>
      <c r="N224" s="19"/>
      <c r="O224" s="19"/>
      <c r="P224" s="28"/>
      <c r="Q224" s="19"/>
      <c r="R224" s="19"/>
      <c r="S224" s="19"/>
      <c r="T224" s="40"/>
      <c r="U224" s="47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71"/>
      <c r="AL224" s="71"/>
      <c r="AM224" s="71"/>
      <c r="AN224" s="71"/>
      <c r="AO224" s="71"/>
    </row>
    <row r="225" spans="1:41" ht="21" x14ac:dyDescent="0.35">
      <c r="A225" s="38"/>
      <c r="B225" s="38"/>
      <c r="C225" s="38"/>
      <c r="D225" s="39"/>
      <c r="E225" s="38"/>
      <c r="F225" s="38"/>
      <c r="G225" s="39"/>
      <c r="H225" s="38"/>
      <c r="I225" s="19"/>
      <c r="J225" s="39"/>
      <c r="K225" s="19"/>
      <c r="L225" s="19"/>
      <c r="M225" s="19"/>
      <c r="N225" s="19"/>
      <c r="O225" s="19"/>
      <c r="P225" s="28"/>
      <c r="Q225" s="19"/>
      <c r="R225" s="19"/>
      <c r="S225" s="19"/>
      <c r="T225" s="40"/>
      <c r="U225" s="47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71"/>
      <c r="AL225" s="71"/>
      <c r="AM225" s="71"/>
      <c r="AN225" s="71"/>
      <c r="AO225" s="71"/>
    </row>
    <row r="226" spans="1:41" ht="21" x14ac:dyDescent="0.35">
      <c r="A226" s="38"/>
      <c r="B226" s="38"/>
      <c r="C226" s="38"/>
      <c r="D226" s="39"/>
      <c r="E226" s="38"/>
      <c r="F226" s="38"/>
      <c r="G226" s="39"/>
      <c r="H226" s="38"/>
      <c r="I226" s="19"/>
      <c r="J226" s="39"/>
      <c r="K226" s="19"/>
      <c r="L226" s="19"/>
      <c r="M226" s="19"/>
      <c r="N226" s="19"/>
      <c r="O226" s="19"/>
      <c r="P226" s="28"/>
      <c r="Q226" s="19"/>
      <c r="R226" s="19"/>
      <c r="S226" s="19"/>
      <c r="T226" s="40"/>
      <c r="U226" s="47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71"/>
      <c r="AL226" s="71"/>
      <c r="AM226" s="71"/>
      <c r="AN226" s="71"/>
      <c r="AO226" s="71"/>
    </row>
    <row r="227" spans="1:41" ht="21" x14ac:dyDescent="0.35">
      <c r="A227" s="38"/>
      <c r="B227" s="38"/>
      <c r="C227" s="38"/>
      <c r="D227" s="39"/>
      <c r="E227" s="38"/>
      <c r="F227" s="38"/>
      <c r="G227" s="39"/>
      <c r="H227" s="38"/>
      <c r="I227" s="19"/>
      <c r="J227" s="39"/>
      <c r="K227" s="19"/>
      <c r="L227" s="19"/>
      <c r="M227" s="19"/>
      <c r="N227" s="19"/>
      <c r="O227" s="19"/>
      <c r="P227" s="28"/>
      <c r="Q227" s="19"/>
      <c r="R227" s="19"/>
      <c r="S227" s="19"/>
      <c r="T227" s="40"/>
      <c r="U227" s="47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71"/>
      <c r="AL227" s="71"/>
      <c r="AM227" s="71"/>
      <c r="AN227" s="71"/>
      <c r="AO227" s="71"/>
    </row>
    <row r="228" spans="1:41" ht="21" x14ac:dyDescent="0.35">
      <c r="A228" s="38"/>
      <c r="B228" s="38"/>
      <c r="C228" s="38"/>
      <c r="D228" s="39"/>
      <c r="E228" s="38"/>
      <c r="F228" s="38"/>
      <c r="G228" s="39"/>
      <c r="H228" s="38"/>
      <c r="I228" s="19"/>
      <c r="J228" s="39"/>
      <c r="K228" s="19"/>
      <c r="L228" s="19"/>
      <c r="M228" s="19"/>
      <c r="N228" s="19"/>
      <c r="O228" s="19"/>
      <c r="P228" s="28"/>
      <c r="Q228" s="19"/>
      <c r="R228" s="19"/>
      <c r="S228" s="19"/>
      <c r="T228" s="40"/>
      <c r="U228" s="47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71"/>
      <c r="AL228" s="71"/>
      <c r="AM228" s="71"/>
      <c r="AN228" s="71"/>
      <c r="AO228" s="71"/>
    </row>
    <row r="229" spans="1:41" ht="21" x14ac:dyDescent="0.35">
      <c r="A229" s="38"/>
      <c r="B229" s="38"/>
      <c r="C229" s="38"/>
      <c r="D229" s="39"/>
      <c r="E229" s="38"/>
      <c r="F229" s="38"/>
      <c r="G229" s="39"/>
      <c r="H229" s="38"/>
      <c r="I229" s="19"/>
      <c r="J229" s="39"/>
      <c r="K229" s="19"/>
      <c r="L229" s="19"/>
      <c r="M229" s="19"/>
      <c r="N229" s="19"/>
      <c r="O229" s="19"/>
      <c r="P229" s="28"/>
      <c r="Q229" s="19"/>
      <c r="R229" s="19"/>
      <c r="S229" s="19"/>
      <c r="T229" s="40"/>
      <c r="U229" s="47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71"/>
      <c r="AL229" s="71"/>
      <c r="AM229" s="71"/>
      <c r="AN229" s="71"/>
      <c r="AO229" s="71"/>
    </row>
    <row r="230" spans="1:41" ht="21" x14ac:dyDescent="0.35">
      <c r="A230" s="38"/>
      <c r="B230" s="38"/>
      <c r="C230" s="38"/>
      <c r="D230" s="39"/>
      <c r="E230" s="38"/>
      <c r="F230" s="38"/>
      <c r="G230" s="39"/>
      <c r="H230" s="38"/>
      <c r="I230" s="19"/>
      <c r="J230" s="39"/>
      <c r="K230" s="19"/>
      <c r="L230" s="19"/>
      <c r="M230" s="19"/>
      <c r="N230" s="19"/>
      <c r="O230" s="19"/>
      <c r="P230" s="28"/>
      <c r="Q230" s="19"/>
      <c r="R230" s="19"/>
      <c r="S230" s="19"/>
      <c r="T230" s="40"/>
      <c r="U230" s="47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71"/>
      <c r="AL230" s="71"/>
      <c r="AM230" s="71"/>
      <c r="AN230" s="71"/>
      <c r="AO230" s="71"/>
    </row>
    <row r="231" spans="1:41" ht="21" x14ac:dyDescent="0.35">
      <c r="A231" s="38"/>
      <c r="B231" s="38"/>
      <c r="C231" s="38"/>
      <c r="D231" s="39"/>
      <c r="E231" s="38"/>
      <c r="F231" s="38"/>
      <c r="G231" s="39"/>
      <c r="H231" s="38"/>
      <c r="I231" s="19"/>
      <c r="J231" s="39"/>
      <c r="K231" s="19"/>
      <c r="L231" s="19"/>
      <c r="M231" s="19"/>
      <c r="N231" s="19"/>
      <c r="O231" s="19"/>
      <c r="P231" s="28"/>
      <c r="Q231" s="19"/>
      <c r="R231" s="19"/>
      <c r="S231" s="19"/>
      <c r="T231" s="40"/>
      <c r="U231" s="47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71"/>
      <c r="AL231" s="71"/>
      <c r="AM231" s="71"/>
      <c r="AN231" s="71"/>
      <c r="AO231" s="71"/>
    </row>
    <row r="232" spans="1:41" ht="21" x14ac:dyDescent="0.35">
      <c r="A232" s="38"/>
      <c r="B232" s="38"/>
      <c r="C232" s="38"/>
      <c r="D232" s="39"/>
      <c r="E232" s="38"/>
      <c r="F232" s="38"/>
      <c r="G232" s="39"/>
      <c r="H232" s="38"/>
      <c r="I232" s="19"/>
      <c r="J232" s="39"/>
      <c r="K232" s="19"/>
      <c r="L232" s="19"/>
      <c r="M232" s="19"/>
      <c r="N232" s="19"/>
      <c r="O232" s="19"/>
      <c r="P232" s="28"/>
      <c r="Q232" s="19"/>
      <c r="R232" s="19"/>
      <c r="S232" s="19"/>
      <c r="T232" s="40"/>
      <c r="U232" s="47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71"/>
      <c r="AL232" s="71"/>
      <c r="AM232" s="71"/>
      <c r="AN232" s="71"/>
      <c r="AO232" s="71"/>
    </row>
    <row r="233" spans="1:41" ht="21" x14ac:dyDescent="0.35">
      <c r="A233" s="38"/>
      <c r="B233" s="38"/>
      <c r="C233" s="38"/>
      <c r="D233" s="39"/>
      <c r="E233" s="38"/>
      <c r="F233" s="38"/>
      <c r="G233" s="39"/>
      <c r="H233" s="38"/>
      <c r="I233" s="19"/>
      <c r="J233" s="39"/>
      <c r="K233" s="19"/>
      <c r="L233" s="19"/>
      <c r="M233" s="19"/>
      <c r="N233" s="19"/>
      <c r="O233" s="19"/>
      <c r="P233" s="28"/>
      <c r="Q233" s="19"/>
      <c r="R233" s="19"/>
      <c r="S233" s="19"/>
      <c r="T233" s="40"/>
      <c r="U233" s="47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71"/>
      <c r="AL233" s="71"/>
      <c r="AM233" s="71"/>
      <c r="AN233" s="71"/>
      <c r="AO233" s="71"/>
    </row>
    <row r="234" spans="1:41" ht="21" x14ac:dyDescent="0.35">
      <c r="A234" s="38"/>
      <c r="B234" s="38"/>
      <c r="C234" s="38"/>
      <c r="D234" s="39"/>
      <c r="E234" s="38"/>
      <c r="F234" s="38"/>
      <c r="G234" s="39"/>
      <c r="H234" s="38"/>
      <c r="I234" s="19"/>
      <c r="J234" s="39"/>
      <c r="K234" s="19"/>
      <c r="L234" s="19"/>
      <c r="M234" s="19"/>
      <c r="N234" s="19"/>
      <c r="O234" s="19"/>
      <c r="P234" s="28"/>
      <c r="Q234" s="19"/>
      <c r="R234" s="19"/>
      <c r="S234" s="19"/>
      <c r="T234" s="40"/>
      <c r="U234" s="47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71"/>
      <c r="AL234" s="71"/>
      <c r="AM234" s="71"/>
      <c r="AN234" s="71"/>
      <c r="AO234" s="71"/>
    </row>
    <row r="235" spans="1:41" ht="21" x14ac:dyDescent="0.35">
      <c r="A235" s="38"/>
      <c r="B235" s="38"/>
      <c r="C235" s="38"/>
      <c r="D235" s="39"/>
      <c r="E235" s="38"/>
      <c r="F235" s="38"/>
      <c r="G235" s="39"/>
      <c r="H235" s="38"/>
      <c r="I235" s="19"/>
      <c r="J235" s="39"/>
      <c r="K235" s="19"/>
      <c r="L235" s="19"/>
      <c r="M235" s="19"/>
      <c r="N235" s="19"/>
      <c r="O235" s="19"/>
      <c r="P235" s="28"/>
      <c r="Q235" s="19"/>
      <c r="R235" s="19"/>
      <c r="S235" s="19"/>
      <c r="T235" s="40"/>
      <c r="U235" s="47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71"/>
      <c r="AL235" s="71"/>
      <c r="AM235" s="71"/>
      <c r="AN235" s="71"/>
      <c r="AO235" s="71"/>
    </row>
    <row r="236" spans="1:41" ht="21" x14ac:dyDescent="0.35">
      <c r="A236" s="38"/>
      <c r="B236" s="38"/>
      <c r="C236" s="38"/>
      <c r="D236" s="39"/>
      <c r="E236" s="38"/>
      <c r="F236" s="38"/>
      <c r="G236" s="39"/>
      <c r="H236" s="38"/>
      <c r="I236" s="19"/>
      <c r="J236" s="39"/>
      <c r="K236" s="19"/>
      <c r="L236" s="19"/>
      <c r="M236" s="19"/>
      <c r="N236" s="19"/>
      <c r="O236" s="19"/>
      <c r="P236" s="28"/>
      <c r="Q236" s="19"/>
      <c r="R236" s="19"/>
      <c r="S236" s="19"/>
      <c r="T236" s="40"/>
      <c r="U236" s="47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71"/>
      <c r="AL236" s="71"/>
      <c r="AM236" s="71"/>
      <c r="AN236" s="71"/>
      <c r="AO236" s="71"/>
    </row>
    <row r="237" spans="1:41" ht="21" x14ac:dyDescent="0.35">
      <c r="A237" s="38"/>
      <c r="B237" s="38"/>
      <c r="C237" s="38"/>
      <c r="D237" s="39"/>
      <c r="E237" s="38"/>
      <c r="F237" s="38"/>
      <c r="G237" s="39"/>
      <c r="H237" s="38"/>
      <c r="I237" s="19"/>
      <c r="J237" s="39"/>
      <c r="K237" s="19"/>
      <c r="L237" s="19"/>
      <c r="M237" s="19"/>
      <c r="N237" s="19"/>
      <c r="O237" s="19"/>
      <c r="P237" s="28"/>
      <c r="Q237" s="19"/>
      <c r="R237" s="19"/>
      <c r="S237" s="19"/>
      <c r="T237" s="40"/>
      <c r="U237" s="47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71"/>
      <c r="AL237" s="71"/>
      <c r="AM237" s="71"/>
      <c r="AN237" s="71"/>
      <c r="AO237" s="71"/>
    </row>
    <row r="238" spans="1:41" ht="21" x14ac:dyDescent="0.35">
      <c r="A238" s="38"/>
      <c r="B238" s="38"/>
      <c r="C238" s="38"/>
      <c r="D238" s="39"/>
      <c r="E238" s="38"/>
      <c r="F238" s="38"/>
      <c r="G238" s="39"/>
      <c r="H238" s="38"/>
      <c r="I238" s="19"/>
      <c r="J238" s="39"/>
      <c r="K238" s="19"/>
      <c r="L238" s="19"/>
      <c r="M238" s="19"/>
      <c r="N238" s="19"/>
      <c r="O238" s="19"/>
      <c r="P238" s="28"/>
      <c r="Q238" s="19"/>
      <c r="R238" s="19"/>
      <c r="S238" s="19"/>
      <c r="T238" s="40"/>
      <c r="U238" s="47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71"/>
      <c r="AL238" s="71"/>
      <c r="AM238" s="71"/>
      <c r="AN238" s="71"/>
      <c r="AO238" s="71"/>
    </row>
    <row r="239" spans="1:41" ht="21" x14ac:dyDescent="0.35">
      <c r="A239" s="38"/>
      <c r="B239" s="38"/>
      <c r="C239" s="38"/>
      <c r="D239" s="39"/>
      <c r="E239" s="38"/>
      <c r="F239" s="38"/>
      <c r="G239" s="39"/>
      <c r="H239" s="38"/>
      <c r="I239" s="19"/>
      <c r="J239" s="39"/>
      <c r="K239" s="19"/>
      <c r="L239" s="19"/>
      <c r="M239" s="19"/>
      <c r="N239" s="19"/>
      <c r="O239" s="19"/>
      <c r="P239" s="28"/>
      <c r="Q239" s="19"/>
      <c r="R239" s="19"/>
      <c r="S239" s="19"/>
      <c r="T239" s="40"/>
      <c r="U239" s="47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71"/>
      <c r="AL239" s="71"/>
      <c r="AM239" s="71"/>
      <c r="AN239" s="71"/>
      <c r="AO239" s="71"/>
    </row>
    <row r="240" spans="1:41" ht="21" x14ac:dyDescent="0.35">
      <c r="A240" s="38"/>
      <c r="B240" s="38"/>
      <c r="C240" s="38"/>
      <c r="D240" s="39"/>
      <c r="E240" s="38"/>
      <c r="F240" s="38"/>
      <c r="G240" s="39"/>
      <c r="H240" s="38"/>
      <c r="I240" s="19"/>
      <c r="J240" s="39"/>
      <c r="K240" s="19"/>
      <c r="L240" s="19"/>
      <c r="M240" s="19"/>
      <c r="N240" s="19"/>
      <c r="O240" s="19"/>
      <c r="P240" s="28"/>
      <c r="Q240" s="19"/>
      <c r="R240" s="19"/>
      <c r="S240" s="19"/>
      <c r="T240" s="40"/>
      <c r="U240" s="47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71"/>
      <c r="AL240" s="71"/>
      <c r="AM240" s="71"/>
      <c r="AN240" s="71"/>
      <c r="AO240" s="71"/>
    </row>
    <row r="241" spans="1:41" ht="21" x14ac:dyDescent="0.35">
      <c r="A241" s="38"/>
      <c r="B241" s="38"/>
      <c r="C241" s="38"/>
      <c r="D241" s="39"/>
      <c r="E241" s="38"/>
      <c r="F241" s="38"/>
      <c r="G241" s="39"/>
      <c r="H241" s="38"/>
      <c r="I241" s="19"/>
      <c r="J241" s="39"/>
      <c r="K241" s="19"/>
      <c r="L241" s="19"/>
      <c r="M241" s="19"/>
      <c r="N241" s="19"/>
      <c r="O241" s="19"/>
      <c r="P241" s="28"/>
      <c r="Q241" s="19"/>
      <c r="R241" s="19"/>
      <c r="S241" s="19"/>
      <c r="T241" s="40"/>
      <c r="U241" s="47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71"/>
      <c r="AL241" s="71"/>
      <c r="AM241" s="71"/>
      <c r="AN241" s="71"/>
      <c r="AO241" s="71"/>
    </row>
    <row r="242" spans="1:41" ht="21" x14ac:dyDescent="0.35">
      <c r="A242" s="38"/>
      <c r="B242" s="38"/>
      <c r="C242" s="38"/>
      <c r="D242" s="39"/>
      <c r="E242" s="38"/>
      <c r="F242" s="38"/>
      <c r="G242" s="39"/>
      <c r="H242" s="38"/>
      <c r="I242" s="19"/>
      <c r="J242" s="39"/>
      <c r="K242" s="19"/>
      <c r="L242" s="19"/>
      <c r="M242" s="19"/>
      <c r="N242" s="19"/>
      <c r="O242" s="19"/>
      <c r="P242" s="28"/>
      <c r="Q242" s="19"/>
      <c r="R242" s="19"/>
      <c r="S242" s="19"/>
      <c r="T242" s="40"/>
      <c r="U242" s="47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71"/>
      <c r="AL242" s="71"/>
      <c r="AM242" s="71"/>
      <c r="AN242" s="71"/>
      <c r="AO242" s="71"/>
    </row>
    <row r="243" spans="1:41" ht="21" x14ac:dyDescent="0.35">
      <c r="A243" s="38"/>
      <c r="B243" s="38"/>
      <c r="C243" s="38"/>
      <c r="D243" s="39"/>
      <c r="E243" s="38"/>
      <c r="F243" s="38"/>
      <c r="G243" s="39"/>
      <c r="H243" s="38"/>
      <c r="I243" s="19"/>
      <c r="J243" s="39"/>
      <c r="K243" s="19"/>
      <c r="L243" s="19"/>
      <c r="M243" s="19"/>
      <c r="N243" s="19"/>
      <c r="O243" s="19"/>
      <c r="P243" s="28"/>
      <c r="Q243" s="19"/>
      <c r="R243" s="19"/>
      <c r="S243" s="19"/>
      <c r="T243" s="40"/>
      <c r="U243" s="47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71"/>
      <c r="AL243" s="71"/>
      <c r="AM243" s="71"/>
      <c r="AN243" s="71"/>
      <c r="AO243" s="71"/>
    </row>
    <row r="244" spans="1:41" ht="21" x14ac:dyDescent="0.35">
      <c r="A244" s="38"/>
      <c r="B244" s="38"/>
      <c r="C244" s="38"/>
      <c r="D244" s="39"/>
      <c r="E244" s="38"/>
      <c r="F244" s="38"/>
      <c r="G244" s="39"/>
      <c r="H244" s="38"/>
      <c r="I244" s="19"/>
      <c r="J244" s="39"/>
      <c r="K244" s="19"/>
      <c r="L244" s="19"/>
      <c r="M244" s="19"/>
      <c r="N244" s="19"/>
      <c r="O244" s="19"/>
      <c r="P244" s="28"/>
      <c r="Q244" s="19"/>
      <c r="R244" s="19"/>
      <c r="S244" s="19"/>
      <c r="T244" s="40"/>
      <c r="U244" s="47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71"/>
      <c r="AL244" s="71"/>
      <c r="AM244" s="71"/>
      <c r="AN244" s="71"/>
      <c r="AO244" s="71"/>
    </row>
    <row r="245" spans="1:41" ht="21" x14ac:dyDescent="0.35">
      <c r="A245" s="38"/>
      <c r="B245" s="38"/>
      <c r="C245" s="38"/>
      <c r="D245" s="39"/>
      <c r="E245" s="38"/>
      <c r="F245" s="38"/>
      <c r="G245" s="39"/>
      <c r="H245" s="38"/>
      <c r="I245" s="19"/>
      <c r="J245" s="39"/>
      <c r="K245" s="19"/>
      <c r="L245" s="19"/>
      <c r="M245" s="19"/>
      <c r="N245" s="19"/>
      <c r="O245" s="19"/>
      <c r="P245" s="28"/>
      <c r="Q245" s="19"/>
      <c r="R245" s="19"/>
      <c r="S245" s="19"/>
      <c r="T245" s="40"/>
      <c r="U245" s="47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71"/>
      <c r="AL245" s="71"/>
      <c r="AM245" s="71"/>
      <c r="AN245" s="71"/>
      <c r="AO245" s="71"/>
    </row>
    <row r="246" spans="1:41" ht="21" x14ac:dyDescent="0.35">
      <c r="A246" s="38"/>
      <c r="B246" s="38"/>
      <c r="C246" s="38"/>
      <c r="D246" s="39"/>
      <c r="E246" s="38"/>
      <c r="F246" s="38"/>
      <c r="G246" s="39"/>
      <c r="H246" s="38"/>
      <c r="I246" s="19"/>
      <c r="J246" s="39"/>
      <c r="K246" s="19"/>
      <c r="L246" s="19"/>
      <c r="M246" s="19"/>
      <c r="N246" s="19"/>
      <c r="O246" s="19"/>
      <c r="P246" s="28"/>
      <c r="Q246" s="19"/>
      <c r="R246" s="19"/>
      <c r="S246" s="19"/>
      <c r="T246" s="40"/>
      <c r="U246" s="47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71"/>
      <c r="AL246" s="71"/>
      <c r="AM246" s="71"/>
      <c r="AN246" s="71"/>
      <c r="AO246" s="71"/>
    </row>
    <row r="247" spans="1:41" ht="21" x14ac:dyDescent="0.35">
      <c r="A247" s="38"/>
      <c r="B247" s="38"/>
      <c r="C247" s="38"/>
      <c r="D247" s="39"/>
      <c r="E247" s="38"/>
      <c r="F247" s="38"/>
      <c r="G247" s="39"/>
      <c r="H247" s="38"/>
      <c r="I247" s="19"/>
      <c r="J247" s="39"/>
      <c r="K247" s="19"/>
      <c r="L247" s="19"/>
      <c r="M247" s="19"/>
      <c r="N247" s="19"/>
      <c r="O247" s="19"/>
      <c r="P247" s="28"/>
      <c r="Q247" s="19"/>
      <c r="R247" s="19"/>
      <c r="S247" s="19"/>
      <c r="T247" s="40"/>
      <c r="U247" s="47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71"/>
      <c r="AL247" s="71"/>
      <c r="AM247" s="71"/>
      <c r="AN247" s="71"/>
      <c r="AO247" s="71"/>
    </row>
    <row r="248" spans="1:41" ht="21" x14ac:dyDescent="0.35">
      <c r="A248" s="38"/>
      <c r="B248" s="38"/>
      <c r="C248" s="38"/>
      <c r="D248" s="39"/>
      <c r="E248" s="38"/>
      <c r="F248" s="38"/>
      <c r="G248" s="39"/>
      <c r="H248" s="38"/>
      <c r="I248" s="19"/>
      <c r="J248" s="39"/>
      <c r="K248" s="19"/>
      <c r="L248" s="19"/>
      <c r="M248" s="19"/>
      <c r="N248" s="19"/>
      <c r="O248" s="19"/>
      <c r="P248" s="28"/>
      <c r="Q248" s="19"/>
      <c r="R248" s="19"/>
      <c r="S248" s="19"/>
      <c r="T248" s="40"/>
      <c r="U248" s="47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71"/>
      <c r="AL248" s="71"/>
      <c r="AM248" s="71"/>
      <c r="AN248" s="71"/>
      <c r="AO248" s="71"/>
    </row>
    <row r="249" spans="1:41" ht="21" x14ac:dyDescent="0.35">
      <c r="A249" s="38"/>
      <c r="B249" s="38"/>
      <c r="C249" s="38"/>
      <c r="D249" s="39"/>
      <c r="E249" s="38"/>
      <c r="F249" s="38"/>
      <c r="G249" s="39"/>
      <c r="H249" s="38"/>
      <c r="I249" s="19"/>
      <c r="J249" s="39"/>
      <c r="K249" s="19"/>
      <c r="L249" s="19"/>
      <c r="M249" s="19"/>
      <c r="N249" s="19"/>
      <c r="O249" s="19"/>
      <c r="P249" s="28"/>
      <c r="Q249" s="19"/>
      <c r="R249" s="19"/>
      <c r="S249" s="19"/>
      <c r="T249" s="40"/>
      <c r="U249" s="47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71"/>
      <c r="AL249" s="71"/>
      <c r="AM249" s="71"/>
      <c r="AN249" s="71"/>
      <c r="AO249" s="71"/>
    </row>
    <row r="250" spans="1:41" ht="21" x14ac:dyDescent="0.35">
      <c r="A250" s="38"/>
      <c r="B250" s="38"/>
      <c r="C250" s="38"/>
      <c r="D250" s="39"/>
      <c r="E250" s="38"/>
      <c r="F250" s="38"/>
      <c r="G250" s="39"/>
      <c r="H250" s="38"/>
      <c r="I250" s="19"/>
      <c r="J250" s="39"/>
      <c r="K250" s="19"/>
      <c r="L250" s="19"/>
      <c r="M250" s="19"/>
      <c r="N250" s="19"/>
      <c r="O250" s="19"/>
      <c r="P250" s="28"/>
      <c r="Q250" s="19"/>
      <c r="R250" s="19"/>
      <c r="S250" s="19"/>
      <c r="T250" s="40"/>
      <c r="U250" s="47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71"/>
      <c r="AL250" s="71"/>
      <c r="AM250" s="71"/>
      <c r="AN250" s="71"/>
      <c r="AO250" s="71"/>
    </row>
    <row r="251" spans="1:41" ht="21" x14ac:dyDescent="0.35">
      <c r="A251" s="38"/>
      <c r="B251" s="38"/>
      <c r="C251" s="38"/>
      <c r="D251" s="39"/>
      <c r="E251" s="38"/>
      <c r="F251" s="38"/>
      <c r="G251" s="39"/>
      <c r="H251" s="38"/>
      <c r="I251" s="19"/>
      <c r="J251" s="39"/>
      <c r="K251" s="19"/>
      <c r="L251" s="19"/>
      <c r="M251" s="19"/>
      <c r="N251" s="19"/>
      <c r="O251" s="19"/>
      <c r="P251" s="28"/>
      <c r="Q251" s="19"/>
      <c r="R251" s="19"/>
      <c r="S251" s="19"/>
      <c r="T251" s="40"/>
      <c r="U251" s="47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71"/>
      <c r="AL251" s="71"/>
      <c r="AM251" s="71"/>
      <c r="AN251" s="71"/>
      <c r="AO251" s="71"/>
    </row>
    <row r="252" spans="1:41" ht="21" x14ac:dyDescent="0.35">
      <c r="A252" s="38"/>
      <c r="B252" s="38"/>
      <c r="C252" s="38"/>
      <c r="D252" s="39"/>
      <c r="E252" s="38"/>
      <c r="F252" s="38"/>
      <c r="G252" s="39"/>
      <c r="H252" s="38"/>
      <c r="I252" s="19"/>
      <c r="J252" s="39"/>
      <c r="K252" s="19"/>
      <c r="L252" s="19"/>
      <c r="M252" s="19"/>
      <c r="N252" s="19"/>
      <c r="O252" s="19"/>
      <c r="P252" s="28"/>
      <c r="Q252" s="19"/>
      <c r="R252" s="19"/>
      <c r="S252" s="19"/>
      <c r="T252" s="40"/>
      <c r="U252" s="47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71"/>
      <c r="AL252" s="71"/>
      <c r="AM252" s="71"/>
      <c r="AN252" s="71"/>
      <c r="AO252" s="71"/>
    </row>
    <row r="253" spans="1:41" ht="21" x14ac:dyDescent="0.35">
      <c r="A253" s="38"/>
      <c r="B253" s="38"/>
      <c r="C253" s="38"/>
      <c r="D253" s="39"/>
      <c r="E253" s="38"/>
      <c r="F253" s="38"/>
      <c r="G253" s="39"/>
      <c r="H253" s="38"/>
      <c r="I253" s="19"/>
      <c r="J253" s="39"/>
      <c r="K253" s="19"/>
      <c r="L253" s="19"/>
      <c r="M253" s="19"/>
      <c r="N253" s="19"/>
      <c r="O253" s="19"/>
      <c r="P253" s="28"/>
      <c r="Q253" s="19"/>
      <c r="R253" s="19"/>
      <c r="S253" s="19"/>
      <c r="T253" s="40"/>
      <c r="U253" s="47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71"/>
      <c r="AL253" s="71"/>
      <c r="AM253" s="71"/>
      <c r="AN253" s="71"/>
      <c r="AO253" s="71"/>
    </row>
    <row r="254" spans="1:41" ht="21" x14ac:dyDescent="0.35">
      <c r="A254" s="38"/>
      <c r="B254" s="38"/>
      <c r="C254" s="38"/>
      <c r="D254" s="39"/>
      <c r="E254" s="38"/>
      <c r="F254" s="38"/>
      <c r="G254" s="39"/>
      <c r="H254" s="38"/>
      <c r="I254" s="19"/>
      <c r="J254" s="39"/>
      <c r="K254" s="19"/>
      <c r="L254" s="19"/>
      <c r="M254" s="19"/>
      <c r="N254" s="19"/>
      <c r="O254" s="19"/>
      <c r="P254" s="28"/>
      <c r="Q254" s="19"/>
      <c r="R254" s="19"/>
      <c r="S254" s="19"/>
      <c r="T254" s="40"/>
      <c r="U254" s="47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71"/>
      <c r="AL254" s="71"/>
      <c r="AM254" s="71"/>
      <c r="AN254" s="71"/>
      <c r="AO254" s="71"/>
    </row>
    <row r="255" spans="1:41" ht="21" x14ac:dyDescent="0.35">
      <c r="A255" s="38"/>
      <c r="B255" s="38"/>
      <c r="C255" s="38"/>
      <c r="D255" s="39"/>
      <c r="E255" s="38"/>
      <c r="F255" s="38"/>
      <c r="G255" s="39"/>
      <c r="H255" s="38"/>
      <c r="I255" s="19"/>
      <c r="J255" s="39"/>
      <c r="K255" s="19"/>
      <c r="L255" s="19"/>
      <c r="M255" s="19"/>
      <c r="N255" s="19"/>
      <c r="O255" s="19"/>
      <c r="P255" s="28"/>
      <c r="Q255" s="19"/>
      <c r="R255" s="19"/>
      <c r="S255" s="19"/>
      <c r="T255" s="40"/>
      <c r="U255" s="47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71"/>
      <c r="AL255" s="71"/>
      <c r="AM255" s="71"/>
      <c r="AN255" s="71"/>
      <c r="AO255" s="71"/>
    </row>
    <row r="256" spans="1:41" ht="21" x14ac:dyDescent="0.35">
      <c r="A256" s="38"/>
      <c r="B256" s="38"/>
      <c r="C256" s="38"/>
      <c r="D256" s="39"/>
      <c r="E256" s="38"/>
      <c r="F256" s="38"/>
      <c r="G256" s="39"/>
      <c r="H256" s="38"/>
      <c r="I256" s="19"/>
      <c r="J256" s="39"/>
      <c r="K256" s="19"/>
      <c r="L256" s="19"/>
      <c r="M256" s="19"/>
      <c r="N256" s="19"/>
      <c r="O256" s="19"/>
      <c r="P256" s="28"/>
      <c r="Q256" s="19"/>
      <c r="R256" s="19"/>
      <c r="S256" s="19"/>
      <c r="T256" s="40"/>
      <c r="U256" s="47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71"/>
      <c r="AL256" s="71"/>
      <c r="AM256" s="71"/>
      <c r="AN256" s="71"/>
      <c r="AO256" s="71"/>
    </row>
    <row r="257" spans="1:41" ht="21" x14ac:dyDescent="0.35">
      <c r="A257" s="38"/>
      <c r="B257" s="38"/>
      <c r="C257" s="38"/>
      <c r="D257" s="39"/>
      <c r="E257" s="38"/>
      <c r="F257" s="38"/>
      <c r="G257" s="39"/>
      <c r="H257" s="38"/>
      <c r="I257" s="19"/>
      <c r="J257" s="39"/>
      <c r="K257" s="19"/>
      <c r="L257" s="19"/>
      <c r="M257" s="19"/>
      <c r="N257" s="19"/>
      <c r="O257" s="19"/>
      <c r="P257" s="28"/>
      <c r="Q257" s="19"/>
      <c r="R257" s="19"/>
      <c r="S257" s="19"/>
      <c r="T257" s="40"/>
      <c r="U257" s="47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71"/>
      <c r="AL257" s="71"/>
      <c r="AM257" s="71"/>
      <c r="AN257" s="71"/>
      <c r="AO257" s="71"/>
    </row>
    <row r="258" spans="1:41" ht="21" x14ac:dyDescent="0.35">
      <c r="A258" s="38"/>
      <c r="B258" s="38"/>
      <c r="C258" s="38"/>
      <c r="D258" s="39"/>
      <c r="E258" s="38"/>
      <c r="F258" s="38"/>
      <c r="G258" s="39"/>
      <c r="H258" s="38"/>
      <c r="I258" s="19"/>
      <c r="J258" s="39"/>
      <c r="K258" s="19"/>
      <c r="L258" s="19"/>
      <c r="M258" s="19"/>
      <c r="N258" s="19"/>
      <c r="O258" s="19"/>
      <c r="P258" s="28"/>
      <c r="Q258" s="19"/>
      <c r="R258" s="19"/>
      <c r="S258" s="19"/>
      <c r="T258" s="40"/>
      <c r="U258" s="47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71"/>
      <c r="AL258" s="71"/>
      <c r="AM258" s="71"/>
      <c r="AN258" s="71"/>
      <c r="AO258" s="71"/>
    </row>
    <row r="259" spans="1:41" ht="21" x14ac:dyDescent="0.35">
      <c r="A259" s="38"/>
      <c r="B259" s="38"/>
      <c r="C259" s="38"/>
      <c r="D259" s="39"/>
      <c r="E259" s="38"/>
      <c r="F259" s="38"/>
      <c r="G259" s="39"/>
      <c r="H259" s="38"/>
      <c r="I259" s="19"/>
      <c r="J259" s="39"/>
      <c r="K259" s="19"/>
      <c r="L259" s="19"/>
      <c r="M259" s="19"/>
      <c r="N259" s="19"/>
      <c r="O259" s="19"/>
      <c r="P259" s="28"/>
      <c r="Q259" s="19"/>
      <c r="R259" s="19"/>
      <c r="S259" s="19"/>
      <c r="T259" s="40"/>
      <c r="U259" s="47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71"/>
      <c r="AL259" s="71"/>
      <c r="AM259" s="71"/>
      <c r="AN259" s="71"/>
      <c r="AO259" s="71"/>
    </row>
    <row r="260" spans="1:41" ht="21" x14ac:dyDescent="0.35">
      <c r="A260" s="38"/>
      <c r="B260" s="38"/>
      <c r="C260" s="38"/>
      <c r="D260" s="39"/>
      <c r="E260" s="38"/>
      <c r="F260" s="38"/>
      <c r="G260" s="39"/>
      <c r="H260" s="38"/>
      <c r="I260" s="19"/>
      <c r="J260" s="39"/>
      <c r="K260" s="19"/>
      <c r="L260" s="19"/>
      <c r="M260" s="19"/>
      <c r="N260" s="19"/>
      <c r="O260" s="19"/>
      <c r="P260" s="28"/>
      <c r="Q260" s="19"/>
      <c r="R260" s="19"/>
      <c r="S260" s="19"/>
      <c r="T260" s="40"/>
      <c r="U260" s="47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71"/>
      <c r="AL260" s="71"/>
      <c r="AM260" s="71"/>
      <c r="AN260" s="71"/>
      <c r="AO260" s="71"/>
    </row>
    <row r="261" spans="1:41" ht="21" x14ac:dyDescent="0.35">
      <c r="A261" s="38"/>
      <c r="B261" s="38"/>
      <c r="C261" s="38"/>
      <c r="D261" s="39"/>
      <c r="E261" s="38"/>
      <c r="F261" s="38"/>
      <c r="G261" s="39"/>
      <c r="H261" s="38"/>
      <c r="I261" s="19"/>
      <c r="J261" s="39"/>
      <c r="K261" s="19"/>
      <c r="L261" s="19"/>
      <c r="M261" s="19"/>
      <c r="N261" s="19"/>
      <c r="O261" s="19"/>
      <c r="P261" s="28"/>
      <c r="Q261" s="19"/>
      <c r="R261" s="19"/>
      <c r="S261" s="19"/>
      <c r="T261" s="40"/>
      <c r="U261" s="47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71"/>
      <c r="AL261" s="71"/>
      <c r="AM261" s="71"/>
      <c r="AN261" s="71"/>
      <c r="AO261" s="71"/>
    </row>
    <row r="262" spans="1:41" ht="21" x14ac:dyDescent="0.35">
      <c r="A262" s="38"/>
      <c r="B262" s="38"/>
      <c r="C262" s="38"/>
      <c r="D262" s="39"/>
      <c r="E262" s="38"/>
      <c r="F262" s="38"/>
      <c r="G262" s="39"/>
      <c r="H262" s="38"/>
      <c r="I262" s="19"/>
      <c r="J262" s="39"/>
      <c r="K262" s="19"/>
      <c r="L262" s="19"/>
      <c r="M262" s="19"/>
      <c r="N262" s="19"/>
      <c r="O262" s="19"/>
      <c r="P262" s="28"/>
      <c r="Q262" s="19"/>
      <c r="R262" s="19"/>
      <c r="S262" s="19"/>
      <c r="T262" s="40"/>
      <c r="U262" s="47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71"/>
      <c r="AL262" s="71"/>
      <c r="AM262" s="71"/>
      <c r="AN262" s="71"/>
      <c r="AO262" s="71"/>
    </row>
    <row r="263" spans="1:41" ht="21" x14ac:dyDescent="0.35">
      <c r="A263" s="38"/>
      <c r="B263" s="38"/>
      <c r="C263" s="38"/>
      <c r="D263" s="39"/>
      <c r="E263" s="38"/>
      <c r="F263" s="38"/>
      <c r="G263" s="39"/>
      <c r="H263" s="38"/>
      <c r="I263" s="19"/>
      <c r="J263" s="39"/>
      <c r="K263" s="19"/>
      <c r="L263" s="19"/>
      <c r="M263" s="19"/>
      <c r="N263" s="19"/>
      <c r="O263" s="19"/>
      <c r="P263" s="28"/>
      <c r="Q263" s="19"/>
      <c r="R263" s="19"/>
      <c r="S263" s="19"/>
      <c r="T263" s="40"/>
      <c r="U263" s="47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71"/>
      <c r="AL263" s="71"/>
      <c r="AM263" s="71"/>
      <c r="AN263" s="71"/>
      <c r="AO263" s="71"/>
    </row>
    <row r="264" spans="1:41" ht="21" x14ac:dyDescent="0.35">
      <c r="A264" s="38"/>
      <c r="B264" s="38"/>
      <c r="C264" s="38"/>
      <c r="D264" s="39"/>
      <c r="E264" s="38"/>
      <c r="F264" s="38"/>
      <c r="G264" s="39"/>
      <c r="H264" s="38"/>
      <c r="I264" s="19"/>
      <c r="J264" s="39"/>
      <c r="K264" s="19"/>
      <c r="L264" s="19"/>
      <c r="M264" s="19"/>
      <c r="N264" s="19"/>
      <c r="O264" s="19"/>
      <c r="P264" s="28"/>
      <c r="Q264" s="19"/>
      <c r="R264" s="19"/>
      <c r="S264" s="19"/>
      <c r="T264" s="40"/>
      <c r="U264" s="47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71"/>
      <c r="AL264" s="71"/>
      <c r="AM264" s="71"/>
      <c r="AN264" s="71"/>
      <c r="AO264" s="71"/>
    </row>
    <row r="265" spans="1:41" ht="21" x14ac:dyDescent="0.35">
      <c r="A265" s="38"/>
      <c r="B265" s="38"/>
      <c r="C265" s="38"/>
      <c r="D265" s="39"/>
      <c r="E265" s="38"/>
      <c r="F265" s="38"/>
      <c r="G265" s="39"/>
      <c r="H265" s="38"/>
      <c r="I265" s="19"/>
      <c r="J265" s="39"/>
      <c r="K265" s="19"/>
      <c r="L265" s="19"/>
      <c r="M265" s="19"/>
      <c r="N265" s="19"/>
      <c r="O265" s="19"/>
      <c r="P265" s="28"/>
      <c r="Q265" s="19"/>
      <c r="R265" s="19"/>
      <c r="S265" s="19"/>
      <c r="T265" s="40"/>
      <c r="U265" s="47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71"/>
      <c r="AL265" s="71"/>
      <c r="AM265" s="71"/>
      <c r="AN265" s="71"/>
      <c r="AO265" s="71"/>
    </row>
    <row r="266" spans="1:41" ht="21" x14ac:dyDescent="0.35">
      <c r="A266" s="38"/>
      <c r="B266" s="38"/>
      <c r="C266" s="38"/>
      <c r="D266" s="39"/>
      <c r="E266" s="38"/>
      <c r="F266" s="38"/>
      <c r="G266" s="39"/>
      <c r="H266" s="38"/>
      <c r="I266" s="19"/>
      <c r="J266" s="39"/>
      <c r="K266" s="19"/>
      <c r="L266" s="19"/>
      <c r="M266" s="19"/>
      <c r="N266" s="19"/>
      <c r="O266" s="19"/>
      <c r="P266" s="28"/>
      <c r="Q266" s="19"/>
      <c r="R266" s="19"/>
      <c r="S266" s="19"/>
      <c r="T266" s="40"/>
      <c r="U266" s="47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71"/>
      <c r="AL266" s="71"/>
      <c r="AM266" s="71"/>
      <c r="AN266" s="71"/>
      <c r="AO266" s="71"/>
    </row>
    <row r="267" spans="1:41" ht="21" x14ac:dyDescent="0.35">
      <c r="A267" s="38"/>
      <c r="B267" s="38"/>
      <c r="C267" s="38"/>
      <c r="D267" s="39"/>
      <c r="E267" s="38"/>
      <c r="F267" s="38"/>
      <c r="G267" s="39"/>
      <c r="H267" s="38"/>
      <c r="I267" s="19"/>
      <c r="J267" s="39"/>
      <c r="K267" s="19"/>
      <c r="L267" s="19"/>
      <c r="M267" s="19"/>
      <c r="N267" s="19"/>
      <c r="O267" s="19"/>
      <c r="P267" s="28"/>
      <c r="Q267" s="19"/>
      <c r="R267" s="19"/>
      <c r="S267" s="19"/>
      <c r="T267" s="40"/>
      <c r="U267" s="47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71"/>
      <c r="AL267" s="71"/>
      <c r="AM267" s="71"/>
      <c r="AN267" s="71"/>
      <c r="AO267" s="71"/>
    </row>
    <row r="268" spans="1:41" ht="21" x14ac:dyDescent="0.35">
      <c r="A268" s="38"/>
      <c r="B268" s="38"/>
      <c r="C268" s="38"/>
      <c r="D268" s="39"/>
      <c r="E268" s="38"/>
      <c r="F268" s="38"/>
      <c r="G268" s="39"/>
      <c r="H268" s="38"/>
      <c r="I268" s="19"/>
      <c r="J268" s="39"/>
      <c r="K268" s="19"/>
      <c r="L268" s="19"/>
      <c r="M268" s="19"/>
      <c r="N268" s="19"/>
      <c r="O268" s="19"/>
      <c r="P268" s="28"/>
      <c r="Q268" s="19"/>
      <c r="R268" s="19"/>
      <c r="S268" s="19"/>
      <c r="T268" s="40"/>
      <c r="U268" s="47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71"/>
      <c r="AL268" s="71"/>
      <c r="AM268" s="71"/>
      <c r="AN268" s="71"/>
      <c r="AO268" s="71"/>
    </row>
    <row r="269" spans="1:41" ht="21" x14ac:dyDescent="0.35">
      <c r="A269" s="38"/>
      <c r="B269" s="38"/>
      <c r="C269" s="38"/>
      <c r="D269" s="39"/>
      <c r="E269" s="38"/>
      <c r="F269" s="38"/>
      <c r="G269" s="39"/>
      <c r="H269" s="38"/>
      <c r="I269" s="19"/>
      <c r="J269" s="39"/>
      <c r="K269" s="19"/>
      <c r="L269" s="19"/>
      <c r="M269" s="19"/>
      <c r="N269" s="19"/>
      <c r="O269" s="19"/>
      <c r="P269" s="28"/>
      <c r="Q269" s="19"/>
      <c r="R269" s="19"/>
      <c r="S269" s="19"/>
      <c r="T269" s="40"/>
      <c r="U269" s="47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71"/>
      <c r="AL269" s="71"/>
      <c r="AM269" s="71"/>
      <c r="AN269" s="71"/>
      <c r="AO269" s="71"/>
    </row>
    <row r="270" spans="1:41" ht="21" x14ac:dyDescent="0.35">
      <c r="A270" s="38"/>
      <c r="B270" s="38"/>
      <c r="C270" s="38"/>
      <c r="D270" s="39"/>
      <c r="E270" s="38"/>
      <c r="F270" s="38"/>
      <c r="G270" s="39"/>
      <c r="H270" s="38"/>
      <c r="I270" s="19"/>
      <c r="J270" s="39"/>
      <c r="K270" s="19"/>
      <c r="L270" s="19"/>
      <c r="M270" s="19"/>
      <c r="N270" s="19"/>
      <c r="O270" s="19"/>
      <c r="P270" s="28"/>
      <c r="Q270" s="19"/>
      <c r="R270" s="19"/>
      <c r="S270" s="19"/>
      <c r="T270" s="40"/>
      <c r="U270" s="47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71"/>
      <c r="AL270" s="71"/>
      <c r="AM270" s="71"/>
      <c r="AN270" s="71"/>
      <c r="AO270" s="71"/>
    </row>
    <row r="271" spans="1:41" ht="21" x14ac:dyDescent="0.35">
      <c r="A271" s="38"/>
      <c r="B271" s="38"/>
      <c r="C271" s="38"/>
      <c r="D271" s="39"/>
      <c r="E271" s="38"/>
      <c r="F271" s="38"/>
      <c r="G271" s="39"/>
      <c r="H271" s="38"/>
      <c r="I271" s="19"/>
      <c r="J271" s="39"/>
      <c r="K271" s="19"/>
      <c r="L271" s="19"/>
      <c r="M271" s="19"/>
      <c r="N271" s="19"/>
      <c r="O271" s="19"/>
      <c r="P271" s="28"/>
      <c r="Q271" s="19"/>
      <c r="R271" s="19"/>
      <c r="S271" s="19"/>
      <c r="T271" s="40"/>
      <c r="U271" s="47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71"/>
      <c r="AL271" s="71"/>
      <c r="AM271" s="71"/>
      <c r="AN271" s="71"/>
      <c r="AO271" s="71"/>
    </row>
    <row r="272" spans="1:41" ht="21" x14ac:dyDescent="0.35">
      <c r="A272" s="38"/>
      <c r="B272" s="38"/>
      <c r="C272" s="38"/>
      <c r="D272" s="39"/>
      <c r="E272" s="38"/>
      <c r="F272" s="38"/>
      <c r="G272" s="39"/>
      <c r="H272" s="38"/>
      <c r="I272" s="19"/>
      <c r="J272" s="39"/>
      <c r="K272" s="19"/>
      <c r="L272" s="19"/>
      <c r="M272" s="19"/>
      <c r="N272" s="19"/>
      <c r="O272" s="19"/>
      <c r="P272" s="28"/>
      <c r="Q272" s="19"/>
      <c r="R272" s="19"/>
      <c r="S272" s="19"/>
      <c r="T272" s="40"/>
      <c r="U272" s="47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71"/>
      <c r="AL272" s="71"/>
      <c r="AM272" s="71"/>
      <c r="AN272" s="71"/>
      <c r="AO272" s="71"/>
    </row>
    <row r="273" spans="1:41" ht="21" x14ac:dyDescent="0.35">
      <c r="A273" s="38"/>
      <c r="B273" s="38"/>
      <c r="C273" s="38"/>
      <c r="D273" s="39"/>
      <c r="E273" s="38"/>
      <c r="F273" s="38"/>
      <c r="G273" s="39"/>
      <c r="H273" s="38"/>
      <c r="I273" s="19"/>
      <c r="J273" s="39"/>
      <c r="K273" s="19"/>
      <c r="L273" s="19"/>
      <c r="M273" s="19"/>
      <c r="N273" s="19"/>
      <c r="O273" s="19"/>
      <c r="P273" s="28"/>
      <c r="Q273" s="19"/>
      <c r="R273" s="19"/>
      <c r="S273" s="19"/>
      <c r="T273" s="40"/>
      <c r="U273" s="47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71"/>
      <c r="AL273" s="71"/>
      <c r="AM273" s="71"/>
      <c r="AN273" s="71"/>
      <c r="AO273" s="71"/>
    </row>
    <row r="274" spans="1:41" ht="21" x14ac:dyDescent="0.35">
      <c r="A274" s="38"/>
      <c r="B274" s="38"/>
      <c r="C274" s="38"/>
      <c r="D274" s="39"/>
      <c r="E274" s="38"/>
      <c r="F274" s="38"/>
      <c r="G274" s="39"/>
      <c r="H274" s="38"/>
      <c r="I274" s="19"/>
      <c r="J274" s="39"/>
      <c r="K274" s="19"/>
      <c r="L274" s="19"/>
      <c r="M274" s="19"/>
      <c r="N274" s="19"/>
      <c r="O274" s="19"/>
      <c r="P274" s="28"/>
      <c r="Q274" s="19"/>
      <c r="R274" s="19"/>
      <c r="S274" s="19"/>
      <c r="T274" s="40"/>
      <c r="U274" s="47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71"/>
      <c r="AL274" s="71"/>
      <c r="AM274" s="71"/>
      <c r="AN274" s="71"/>
      <c r="AO274" s="71"/>
    </row>
    <row r="275" spans="1:41" ht="21" x14ac:dyDescent="0.35">
      <c r="A275" s="38"/>
      <c r="B275" s="38"/>
      <c r="C275" s="38"/>
      <c r="D275" s="39"/>
      <c r="E275" s="38"/>
      <c r="F275" s="38"/>
      <c r="G275" s="39"/>
      <c r="H275" s="38"/>
      <c r="I275" s="19"/>
      <c r="J275" s="39"/>
      <c r="K275" s="19"/>
      <c r="L275" s="19"/>
      <c r="M275" s="19"/>
      <c r="N275" s="19"/>
      <c r="O275" s="19"/>
      <c r="P275" s="28"/>
      <c r="Q275" s="19"/>
      <c r="R275" s="19"/>
      <c r="S275" s="19"/>
      <c r="T275" s="40"/>
      <c r="U275" s="47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71"/>
      <c r="AL275" s="71"/>
      <c r="AM275" s="71"/>
      <c r="AN275" s="71"/>
      <c r="AO275" s="71"/>
    </row>
    <row r="276" spans="1:41" ht="21" x14ac:dyDescent="0.35">
      <c r="A276" s="38"/>
      <c r="B276" s="38"/>
      <c r="C276" s="38"/>
      <c r="D276" s="39"/>
      <c r="E276" s="38"/>
      <c r="F276" s="38"/>
      <c r="G276" s="39"/>
      <c r="H276" s="38"/>
      <c r="I276" s="19"/>
      <c r="J276" s="39"/>
      <c r="K276" s="19"/>
      <c r="L276" s="19"/>
      <c r="M276" s="19"/>
      <c r="N276" s="19"/>
      <c r="O276" s="19"/>
      <c r="P276" s="28"/>
      <c r="Q276" s="19"/>
      <c r="R276" s="19"/>
      <c r="S276" s="19"/>
      <c r="T276" s="40"/>
      <c r="U276" s="47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71"/>
      <c r="AL276" s="71"/>
      <c r="AM276" s="71"/>
      <c r="AN276" s="71"/>
      <c r="AO276" s="71"/>
    </row>
    <row r="277" spans="1:41" ht="21" x14ac:dyDescent="0.35">
      <c r="A277" s="38"/>
      <c r="B277" s="38"/>
      <c r="C277" s="38"/>
      <c r="D277" s="39"/>
      <c r="E277" s="38"/>
      <c r="F277" s="38"/>
      <c r="G277" s="39"/>
      <c r="H277" s="38"/>
      <c r="I277" s="19"/>
      <c r="J277" s="39"/>
      <c r="K277" s="19"/>
      <c r="L277" s="19"/>
      <c r="M277" s="19"/>
      <c r="N277" s="19"/>
      <c r="O277" s="19"/>
      <c r="P277" s="28"/>
      <c r="Q277" s="19"/>
      <c r="R277" s="19"/>
      <c r="S277" s="19"/>
      <c r="T277" s="40"/>
      <c r="U277" s="47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71"/>
      <c r="AL277" s="71"/>
      <c r="AM277" s="71"/>
      <c r="AN277" s="71"/>
      <c r="AO277" s="71"/>
    </row>
    <row r="278" spans="1:41" ht="21" x14ac:dyDescent="0.35">
      <c r="A278" s="38"/>
      <c r="B278" s="38"/>
      <c r="C278" s="38"/>
      <c r="D278" s="39"/>
      <c r="E278" s="38"/>
      <c r="F278" s="38"/>
      <c r="G278" s="39"/>
      <c r="H278" s="38"/>
      <c r="I278" s="19"/>
      <c r="J278" s="39"/>
      <c r="K278" s="19"/>
      <c r="L278" s="19"/>
      <c r="M278" s="19"/>
      <c r="N278" s="19"/>
      <c r="O278" s="19"/>
      <c r="P278" s="28"/>
      <c r="Q278" s="19"/>
      <c r="R278" s="19"/>
      <c r="S278" s="19"/>
      <c r="T278" s="40"/>
      <c r="U278" s="47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71"/>
      <c r="AL278" s="71"/>
      <c r="AM278" s="71"/>
      <c r="AN278" s="71"/>
      <c r="AO278" s="71"/>
    </row>
    <row r="279" spans="1:41" ht="21" x14ac:dyDescent="0.35">
      <c r="A279" s="38"/>
      <c r="B279" s="38"/>
      <c r="C279" s="38"/>
      <c r="D279" s="39"/>
      <c r="E279" s="38"/>
      <c r="F279" s="38"/>
      <c r="G279" s="39"/>
      <c r="H279" s="38"/>
      <c r="I279" s="19"/>
      <c r="J279" s="39"/>
      <c r="K279" s="19"/>
      <c r="L279" s="19"/>
      <c r="M279" s="19"/>
      <c r="N279" s="19"/>
      <c r="O279" s="19"/>
      <c r="P279" s="28"/>
      <c r="Q279" s="19"/>
      <c r="R279" s="19"/>
      <c r="S279" s="19"/>
      <c r="T279" s="40"/>
      <c r="U279" s="47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71"/>
      <c r="AL279" s="71"/>
      <c r="AM279" s="71"/>
      <c r="AN279" s="71"/>
      <c r="AO279" s="71"/>
    </row>
    <row r="280" spans="1:41" ht="21" x14ac:dyDescent="0.35">
      <c r="A280" s="38"/>
      <c r="B280" s="38"/>
      <c r="C280" s="38"/>
      <c r="D280" s="39"/>
      <c r="E280" s="38"/>
      <c r="F280" s="38"/>
      <c r="G280" s="39"/>
      <c r="H280" s="38"/>
      <c r="I280" s="19"/>
      <c r="J280" s="39"/>
      <c r="K280" s="19"/>
      <c r="L280" s="19"/>
      <c r="M280" s="19"/>
      <c r="N280" s="19"/>
      <c r="O280" s="19"/>
      <c r="P280" s="28"/>
      <c r="Q280" s="19"/>
      <c r="R280" s="19"/>
      <c r="S280" s="19"/>
      <c r="T280" s="40"/>
      <c r="U280" s="47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71"/>
      <c r="AL280" s="71"/>
      <c r="AM280" s="71"/>
      <c r="AN280" s="71"/>
      <c r="AO280" s="71"/>
    </row>
    <row r="281" spans="1:41" ht="21" x14ac:dyDescent="0.35">
      <c r="A281" s="38"/>
      <c r="B281" s="38"/>
      <c r="C281" s="38"/>
      <c r="D281" s="39"/>
      <c r="E281" s="38"/>
      <c r="F281" s="38"/>
      <c r="G281" s="39"/>
      <c r="H281" s="38"/>
      <c r="I281" s="19"/>
      <c r="J281" s="39"/>
      <c r="K281" s="19"/>
      <c r="L281" s="19"/>
      <c r="M281" s="19"/>
      <c r="N281" s="19"/>
      <c r="O281" s="19"/>
      <c r="P281" s="28"/>
      <c r="Q281" s="19"/>
      <c r="R281" s="19"/>
      <c r="S281" s="19"/>
      <c r="T281" s="40"/>
      <c r="U281" s="47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71"/>
      <c r="AL281" s="71"/>
      <c r="AM281" s="71"/>
      <c r="AN281" s="71"/>
      <c r="AO281" s="71"/>
    </row>
    <row r="282" spans="1:41" ht="21" x14ac:dyDescent="0.35">
      <c r="A282" s="38"/>
      <c r="B282" s="38"/>
      <c r="C282" s="38"/>
      <c r="D282" s="39"/>
      <c r="E282" s="38"/>
      <c r="F282" s="38"/>
      <c r="G282" s="39"/>
      <c r="H282" s="38"/>
      <c r="I282" s="19"/>
      <c r="J282" s="39"/>
      <c r="K282" s="19"/>
      <c r="L282" s="19"/>
      <c r="M282" s="19"/>
      <c r="N282" s="19"/>
      <c r="O282" s="19"/>
      <c r="P282" s="28"/>
      <c r="Q282" s="19"/>
      <c r="R282" s="19"/>
      <c r="S282" s="19"/>
      <c r="T282" s="40"/>
      <c r="U282" s="47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71"/>
      <c r="AL282" s="71"/>
      <c r="AM282" s="71"/>
      <c r="AN282" s="71"/>
      <c r="AO282" s="71"/>
    </row>
    <row r="283" spans="1:41" ht="21" x14ac:dyDescent="0.35">
      <c r="A283" s="38"/>
      <c r="B283" s="38"/>
      <c r="C283" s="38"/>
      <c r="D283" s="39"/>
      <c r="E283" s="38"/>
      <c r="F283" s="38"/>
      <c r="G283" s="39"/>
      <c r="H283" s="38"/>
      <c r="I283" s="19"/>
      <c r="J283" s="39"/>
      <c r="K283" s="19"/>
      <c r="L283" s="19"/>
      <c r="M283" s="19"/>
      <c r="N283" s="19"/>
      <c r="O283" s="19"/>
      <c r="P283" s="28"/>
      <c r="Q283" s="19"/>
      <c r="R283" s="19"/>
      <c r="S283" s="19"/>
      <c r="T283" s="40"/>
      <c r="U283" s="47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71"/>
      <c r="AL283" s="71"/>
      <c r="AM283" s="71"/>
      <c r="AN283" s="71"/>
      <c r="AO283" s="71"/>
    </row>
    <row r="284" spans="1:41" ht="21" x14ac:dyDescent="0.35">
      <c r="A284" s="38"/>
      <c r="B284" s="38"/>
      <c r="C284" s="38"/>
      <c r="D284" s="39"/>
      <c r="E284" s="38"/>
      <c r="F284" s="38"/>
      <c r="G284" s="39"/>
      <c r="H284" s="38"/>
      <c r="I284" s="19"/>
      <c r="J284" s="39"/>
      <c r="K284" s="19"/>
      <c r="L284" s="19"/>
      <c r="M284" s="19"/>
      <c r="N284" s="19"/>
      <c r="O284" s="19"/>
      <c r="P284" s="28"/>
      <c r="Q284" s="19"/>
      <c r="R284" s="19"/>
      <c r="S284" s="19"/>
      <c r="T284" s="40"/>
      <c r="U284" s="47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71"/>
      <c r="AL284" s="71"/>
      <c r="AM284" s="71"/>
      <c r="AN284" s="71"/>
      <c r="AO284" s="71"/>
    </row>
    <row r="285" spans="1:41" ht="21" x14ac:dyDescent="0.35">
      <c r="A285" s="38"/>
      <c r="B285" s="38"/>
      <c r="C285" s="38"/>
      <c r="D285" s="39"/>
      <c r="E285" s="38"/>
      <c r="F285" s="38"/>
      <c r="G285" s="39"/>
      <c r="H285" s="38"/>
      <c r="I285" s="19"/>
      <c r="J285" s="39"/>
      <c r="K285" s="19"/>
      <c r="L285" s="19"/>
      <c r="M285" s="19"/>
      <c r="N285" s="19"/>
      <c r="O285" s="19"/>
      <c r="P285" s="28"/>
      <c r="Q285" s="19"/>
      <c r="R285" s="19"/>
      <c r="S285" s="19"/>
      <c r="T285" s="40"/>
      <c r="U285" s="47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71"/>
      <c r="AL285" s="71"/>
      <c r="AM285" s="71"/>
      <c r="AN285" s="71"/>
      <c r="AO285" s="71"/>
    </row>
    <row r="286" spans="1:41" ht="21" x14ac:dyDescent="0.35">
      <c r="A286" s="38"/>
      <c r="B286" s="38"/>
      <c r="C286" s="38"/>
      <c r="D286" s="39"/>
      <c r="E286" s="38"/>
      <c r="F286" s="38"/>
      <c r="G286" s="39"/>
      <c r="H286" s="38"/>
      <c r="I286" s="19"/>
      <c r="J286" s="39"/>
      <c r="K286" s="19"/>
      <c r="L286" s="19"/>
      <c r="M286" s="19"/>
      <c r="N286" s="19"/>
      <c r="O286" s="19"/>
      <c r="P286" s="28"/>
      <c r="Q286" s="19"/>
      <c r="R286" s="19"/>
      <c r="S286" s="19"/>
      <c r="T286" s="40"/>
      <c r="U286" s="47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71"/>
      <c r="AL286" s="71"/>
      <c r="AM286" s="71"/>
      <c r="AN286" s="71"/>
      <c r="AO286" s="71"/>
    </row>
    <row r="287" spans="1:41" ht="21" x14ac:dyDescent="0.35">
      <c r="A287" s="38"/>
      <c r="B287" s="38"/>
      <c r="C287" s="38"/>
      <c r="D287" s="39"/>
      <c r="E287" s="38"/>
      <c r="F287" s="38"/>
      <c r="G287" s="39"/>
      <c r="H287" s="38"/>
      <c r="I287" s="19"/>
      <c r="J287" s="39"/>
      <c r="K287" s="19"/>
      <c r="L287" s="19"/>
      <c r="M287" s="19"/>
      <c r="N287" s="19"/>
      <c r="O287" s="19"/>
      <c r="P287" s="28"/>
      <c r="Q287" s="19"/>
      <c r="R287" s="19"/>
      <c r="S287" s="19"/>
      <c r="T287" s="40"/>
      <c r="U287" s="47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71"/>
      <c r="AL287" s="71"/>
      <c r="AM287" s="71"/>
      <c r="AN287" s="71"/>
      <c r="AO287" s="71"/>
    </row>
    <row r="288" spans="1:41" ht="21" x14ac:dyDescent="0.35">
      <c r="A288" s="38"/>
      <c r="B288" s="38"/>
      <c r="C288" s="38"/>
      <c r="D288" s="39"/>
      <c r="E288" s="38"/>
      <c r="F288" s="38"/>
      <c r="G288" s="39"/>
      <c r="H288" s="38"/>
      <c r="I288" s="19"/>
      <c r="J288" s="39"/>
      <c r="K288" s="19"/>
      <c r="L288" s="19"/>
      <c r="M288" s="19"/>
      <c r="N288" s="19"/>
      <c r="O288" s="19"/>
      <c r="P288" s="28"/>
      <c r="Q288" s="19"/>
      <c r="R288" s="19"/>
      <c r="S288" s="19"/>
      <c r="T288" s="40"/>
      <c r="U288" s="47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71"/>
      <c r="AL288" s="71"/>
      <c r="AM288" s="71"/>
      <c r="AN288" s="71"/>
      <c r="AO288" s="71"/>
    </row>
    <row r="289" spans="1:41" ht="21" x14ac:dyDescent="0.35">
      <c r="A289" s="38"/>
      <c r="B289" s="38"/>
      <c r="C289" s="38"/>
      <c r="D289" s="39"/>
      <c r="E289" s="38"/>
      <c r="F289" s="38"/>
      <c r="G289" s="39"/>
      <c r="H289" s="38"/>
      <c r="I289" s="19"/>
      <c r="J289" s="39"/>
      <c r="K289" s="19"/>
      <c r="L289" s="19"/>
      <c r="M289" s="19"/>
      <c r="N289" s="19"/>
      <c r="O289" s="19"/>
      <c r="P289" s="28"/>
      <c r="Q289" s="19"/>
      <c r="R289" s="19"/>
      <c r="S289" s="19"/>
      <c r="T289" s="40"/>
      <c r="U289" s="47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71"/>
      <c r="AL289" s="71"/>
      <c r="AM289" s="71"/>
      <c r="AN289" s="71"/>
      <c r="AO289" s="71"/>
    </row>
    <row r="290" spans="1:41" ht="21" x14ac:dyDescent="0.35">
      <c r="A290" s="38"/>
      <c r="B290" s="38"/>
      <c r="C290" s="38"/>
      <c r="D290" s="39"/>
      <c r="E290" s="38"/>
      <c r="F290" s="38"/>
      <c r="G290" s="39"/>
      <c r="H290" s="38"/>
      <c r="I290" s="19"/>
      <c r="J290" s="39"/>
      <c r="K290" s="19"/>
      <c r="L290" s="19"/>
      <c r="M290" s="19"/>
      <c r="N290" s="19"/>
      <c r="O290" s="19"/>
      <c r="P290" s="28"/>
      <c r="Q290" s="19"/>
      <c r="R290" s="19"/>
      <c r="S290" s="19"/>
      <c r="T290" s="40"/>
      <c r="U290" s="47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71"/>
      <c r="AL290" s="71"/>
      <c r="AM290" s="71"/>
      <c r="AN290" s="71"/>
      <c r="AO290" s="71"/>
    </row>
    <row r="291" spans="1:41" ht="21" x14ac:dyDescent="0.35">
      <c r="A291" s="38"/>
      <c r="B291" s="38"/>
      <c r="C291" s="38"/>
      <c r="D291" s="39"/>
      <c r="E291" s="38"/>
      <c r="F291" s="38"/>
      <c r="G291" s="39"/>
      <c r="H291" s="38"/>
      <c r="I291" s="19"/>
      <c r="J291" s="39"/>
      <c r="K291" s="19"/>
      <c r="L291" s="19"/>
      <c r="M291" s="19"/>
      <c r="N291" s="19"/>
      <c r="O291" s="19"/>
      <c r="P291" s="28"/>
      <c r="Q291" s="19"/>
      <c r="R291" s="19"/>
      <c r="S291" s="19"/>
      <c r="T291" s="40"/>
      <c r="U291" s="47"/>
      <c r="V291" s="19"/>
      <c r="W291" s="28"/>
      <c r="X291" s="28"/>
      <c r="Y291" s="19"/>
      <c r="Z291" s="19"/>
      <c r="AA291" s="19"/>
      <c r="AB291" s="29"/>
      <c r="AC291" s="29"/>
      <c r="AD291" s="29"/>
      <c r="AE291" s="28"/>
      <c r="AF291" s="28"/>
      <c r="AG291" s="28"/>
      <c r="AH291" s="29"/>
      <c r="AI291" s="29"/>
      <c r="AJ291" s="30"/>
      <c r="AK291" s="71"/>
      <c r="AL291" s="71"/>
      <c r="AM291" s="71"/>
      <c r="AN291" s="71"/>
      <c r="AO291" s="71"/>
    </row>
    <row r="292" spans="1:41" ht="21" x14ac:dyDescent="0.35">
      <c r="A292" s="38"/>
      <c r="B292" s="38"/>
      <c r="C292" s="38"/>
      <c r="D292" s="39"/>
      <c r="E292" s="38"/>
      <c r="F292" s="38"/>
      <c r="G292" s="39"/>
      <c r="H292" s="38"/>
      <c r="I292" s="19"/>
      <c r="J292" s="39"/>
      <c r="K292" s="19"/>
      <c r="L292" s="19"/>
      <c r="M292" s="19"/>
      <c r="N292" s="19"/>
      <c r="O292" s="19"/>
      <c r="P292" s="28"/>
      <c r="Q292" s="19"/>
      <c r="R292" s="19"/>
      <c r="S292" s="19"/>
      <c r="T292" s="40"/>
      <c r="U292" s="47"/>
      <c r="V292" s="19"/>
      <c r="W292" s="28"/>
      <c r="X292" s="28"/>
      <c r="Y292" s="19"/>
      <c r="Z292" s="19"/>
      <c r="AA292" s="19"/>
      <c r="AB292" s="29"/>
      <c r="AC292" s="29"/>
      <c r="AD292" s="29"/>
      <c r="AE292" s="28"/>
      <c r="AF292" s="28"/>
      <c r="AG292" s="28"/>
      <c r="AH292" s="29"/>
      <c r="AI292" s="29"/>
      <c r="AJ292" s="30"/>
      <c r="AK292" s="71"/>
      <c r="AL292" s="71"/>
      <c r="AM292" s="71"/>
      <c r="AN292" s="71"/>
      <c r="AO292" s="71"/>
    </row>
    <row r="293" spans="1:41" ht="21" x14ac:dyDescent="0.35">
      <c r="A293" s="38"/>
      <c r="B293" s="38"/>
      <c r="C293" s="38"/>
      <c r="D293" s="39"/>
      <c r="E293" s="38"/>
      <c r="F293" s="38"/>
      <c r="G293" s="39"/>
      <c r="H293" s="38"/>
      <c r="I293" s="19"/>
      <c r="J293" s="39"/>
      <c r="K293" s="19"/>
      <c r="L293" s="19"/>
      <c r="M293" s="19"/>
      <c r="N293" s="19"/>
      <c r="O293" s="19"/>
      <c r="P293" s="28"/>
      <c r="Q293" s="19"/>
      <c r="R293" s="19"/>
      <c r="S293" s="19"/>
      <c r="T293" s="40"/>
      <c r="U293" s="47"/>
      <c r="V293" s="19"/>
      <c r="W293" s="28"/>
      <c r="X293" s="28"/>
      <c r="Y293" s="19"/>
      <c r="Z293" s="19"/>
      <c r="AA293" s="19"/>
      <c r="AB293" s="29"/>
      <c r="AC293" s="29"/>
      <c r="AD293" s="29"/>
      <c r="AE293" s="28"/>
      <c r="AF293" s="28"/>
      <c r="AG293" s="28"/>
      <c r="AH293" s="29"/>
      <c r="AI293" s="29"/>
      <c r="AJ293" s="30"/>
      <c r="AK293" s="71"/>
      <c r="AL293" s="71"/>
      <c r="AM293" s="71"/>
      <c r="AN293" s="71"/>
      <c r="AO293" s="71"/>
    </row>
    <row r="294" spans="1:41" ht="21" x14ac:dyDescent="0.35">
      <c r="A294" s="38"/>
      <c r="B294" s="38"/>
      <c r="C294" s="38"/>
      <c r="D294" s="39"/>
      <c r="E294" s="38"/>
      <c r="F294" s="38"/>
      <c r="G294" s="39"/>
      <c r="H294" s="38"/>
      <c r="I294" s="19"/>
      <c r="J294" s="39"/>
      <c r="K294" s="19"/>
      <c r="L294" s="19"/>
      <c r="M294" s="19"/>
      <c r="N294" s="19"/>
      <c r="O294" s="19"/>
      <c r="P294" s="28"/>
      <c r="Q294" s="19"/>
      <c r="R294" s="19"/>
      <c r="S294" s="19"/>
      <c r="T294" s="40"/>
      <c r="U294" s="47"/>
      <c r="V294" s="19"/>
      <c r="W294" s="28"/>
      <c r="X294" s="28"/>
      <c r="Y294" s="19"/>
      <c r="Z294" s="19"/>
      <c r="AA294" s="19"/>
      <c r="AB294" s="29"/>
      <c r="AC294" s="29"/>
      <c r="AD294" s="29"/>
      <c r="AE294" s="28"/>
      <c r="AF294" s="28"/>
      <c r="AG294" s="28"/>
      <c r="AH294" s="29"/>
      <c r="AI294" s="29"/>
      <c r="AJ294" s="30"/>
      <c r="AK294" s="71"/>
      <c r="AL294" s="71"/>
      <c r="AM294" s="71"/>
      <c r="AN294" s="71"/>
      <c r="AO294" s="71"/>
    </row>
    <row r="295" spans="1:41" ht="21" x14ac:dyDescent="0.35">
      <c r="A295" s="38"/>
      <c r="B295" s="38"/>
      <c r="C295" s="38"/>
      <c r="D295" s="39"/>
      <c r="E295" s="38"/>
      <c r="F295" s="38"/>
      <c r="G295" s="39"/>
      <c r="H295" s="38"/>
      <c r="I295" s="19"/>
      <c r="J295" s="39"/>
      <c r="K295" s="19"/>
      <c r="L295" s="19"/>
      <c r="M295" s="19"/>
      <c r="N295" s="19"/>
      <c r="O295" s="19"/>
      <c r="P295" s="28"/>
      <c r="Q295" s="19"/>
      <c r="R295" s="19"/>
      <c r="S295" s="19"/>
      <c r="T295" s="40"/>
      <c r="U295" s="47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71"/>
      <c r="AL295" s="71"/>
      <c r="AM295" s="71"/>
      <c r="AN295" s="71"/>
      <c r="AO295" s="71"/>
    </row>
    <row r="296" spans="1:41" ht="21" x14ac:dyDescent="0.35">
      <c r="A296" s="38"/>
      <c r="B296" s="38"/>
      <c r="C296" s="38"/>
      <c r="D296" s="39"/>
      <c r="E296" s="38"/>
      <c r="F296" s="38"/>
      <c r="G296" s="39"/>
      <c r="H296" s="38"/>
      <c r="I296" s="19"/>
      <c r="J296" s="39"/>
      <c r="K296" s="19"/>
      <c r="L296" s="19"/>
      <c r="M296" s="19"/>
      <c r="N296" s="19"/>
      <c r="O296" s="19"/>
      <c r="P296" s="28"/>
      <c r="Q296" s="19"/>
      <c r="R296" s="19"/>
      <c r="S296" s="19"/>
      <c r="T296" s="40"/>
      <c r="U296" s="47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71"/>
      <c r="AL296" s="71"/>
      <c r="AM296" s="71"/>
      <c r="AN296" s="71"/>
      <c r="AO296" s="71"/>
    </row>
    <row r="297" spans="1:41" ht="21" x14ac:dyDescent="0.35">
      <c r="A297" s="38"/>
      <c r="B297" s="38"/>
      <c r="C297" s="38"/>
      <c r="D297" s="39"/>
      <c r="E297" s="38"/>
      <c r="F297" s="38"/>
      <c r="G297" s="39"/>
      <c r="H297" s="38"/>
      <c r="I297" s="19"/>
      <c r="J297" s="39"/>
      <c r="K297" s="19"/>
      <c r="L297" s="19"/>
      <c r="M297" s="19"/>
      <c r="N297" s="19"/>
      <c r="O297" s="19"/>
      <c r="P297" s="28"/>
      <c r="Q297" s="19"/>
      <c r="R297" s="19"/>
      <c r="S297" s="19"/>
      <c r="T297" s="40"/>
      <c r="U297" s="47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71"/>
      <c r="AL297" s="71"/>
      <c r="AM297" s="71"/>
      <c r="AN297" s="71"/>
      <c r="AO297" s="71"/>
    </row>
    <row r="298" spans="1:41" ht="21" x14ac:dyDescent="0.35">
      <c r="A298" s="38"/>
      <c r="B298" s="38"/>
      <c r="C298" s="38"/>
      <c r="D298" s="39"/>
      <c r="E298" s="38"/>
      <c r="F298" s="38"/>
      <c r="G298" s="39"/>
      <c r="H298" s="38"/>
      <c r="I298" s="19"/>
      <c r="J298" s="39"/>
      <c r="K298" s="19"/>
      <c r="L298" s="19"/>
      <c r="M298" s="19"/>
      <c r="N298" s="19"/>
      <c r="O298" s="19"/>
      <c r="P298" s="28"/>
      <c r="Q298" s="19"/>
      <c r="R298" s="19"/>
      <c r="S298" s="19"/>
      <c r="T298" s="40"/>
      <c r="U298" s="47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71"/>
      <c r="AL298" s="71"/>
      <c r="AM298" s="71"/>
      <c r="AN298" s="71"/>
      <c r="AO298" s="71"/>
    </row>
    <row r="299" spans="1:41" ht="21" x14ac:dyDescent="0.35">
      <c r="A299" s="38"/>
      <c r="B299" s="38"/>
      <c r="C299" s="38"/>
      <c r="D299" s="39"/>
      <c r="E299" s="38"/>
      <c r="F299" s="38"/>
      <c r="G299" s="39"/>
      <c r="H299" s="38"/>
      <c r="I299" s="19"/>
      <c r="J299" s="39"/>
      <c r="K299" s="19"/>
      <c r="L299" s="19"/>
      <c r="M299" s="19"/>
      <c r="N299" s="19"/>
      <c r="O299" s="19"/>
      <c r="P299" s="28"/>
      <c r="Q299" s="19"/>
      <c r="R299" s="19"/>
      <c r="S299" s="19"/>
      <c r="T299" s="40"/>
      <c r="U299" s="47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71"/>
      <c r="AL299" s="71"/>
      <c r="AM299" s="71"/>
      <c r="AN299" s="71"/>
      <c r="AO299" s="71"/>
    </row>
    <row r="300" spans="1:41" ht="21" x14ac:dyDescent="0.35">
      <c r="A300" s="38"/>
      <c r="B300" s="38"/>
      <c r="C300" s="38"/>
      <c r="D300" s="39"/>
      <c r="E300" s="38"/>
      <c r="F300" s="38"/>
      <c r="G300" s="39"/>
      <c r="H300" s="38"/>
      <c r="I300" s="19"/>
      <c r="J300" s="39"/>
      <c r="K300" s="19"/>
      <c r="L300" s="19"/>
      <c r="M300" s="19"/>
      <c r="N300" s="19"/>
      <c r="O300" s="19"/>
      <c r="P300" s="28"/>
      <c r="Q300" s="19"/>
      <c r="R300" s="19"/>
      <c r="S300" s="19"/>
      <c r="T300" s="40"/>
      <c r="U300" s="47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71"/>
      <c r="AL300" s="71"/>
      <c r="AM300" s="71"/>
      <c r="AN300" s="71"/>
      <c r="AO300" s="71"/>
    </row>
    <row r="301" spans="1:41" ht="21" x14ac:dyDescent="0.35">
      <c r="A301" s="38"/>
      <c r="B301" s="38"/>
      <c r="C301" s="38"/>
      <c r="D301" s="39"/>
      <c r="E301" s="38"/>
      <c r="F301" s="38"/>
      <c r="G301" s="39"/>
      <c r="H301" s="38"/>
      <c r="I301" s="19"/>
      <c r="J301" s="39"/>
      <c r="K301" s="19"/>
      <c r="L301" s="19"/>
      <c r="M301" s="19"/>
      <c r="N301" s="19"/>
      <c r="O301" s="19"/>
      <c r="P301" s="28"/>
      <c r="Q301" s="19"/>
      <c r="R301" s="19"/>
      <c r="S301" s="19"/>
      <c r="T301" s="40"/>
      <c r="U301" s="47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71"/>
      <c r="AL301" s="71"/>
      <c r="AM301" s="71"/>
      <c r="AN301" s="71"/>
      <c r="AO301" s="71"/>
    </row>
    <row r="302" spans="1:41" ht="21" x14ac:dyDescent="0.35">
      <c r="A302" s="38"/>
      <c r="B302" s="38"/>
      <c r="C302" s="38"/>
      <c r="D302" s="39"/>
      <c r="E302" s="38"/>
      <c r="F302" s="38"/>
      <c r="G302" s="39"/>
      <c r="H302" s="38"/>
      <c r="I302" s="19"/>
      <c r="J302" s="39"/>
      <c r="K302" s="19"/>
      <c r="L302" s="19"/>
      <c r="M302" s="19"/>
      <c r="N302" s="19"/>
      <c r="O302" s="19"/>
      <c r="P302" s="28"/>
      <c r="Q302" s="19"/>
      <c r="R302" s="19"/>
      <c r="S302" s="19"/>
      <c r="T302" s="40"/>
      <c r="U302" s="47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71"/>
      <c r="AL302" s="71"/>
      <c r="AM302" s="71"/>
      <c r="AN302" s="71"/>
      <c r="AO302" s="71"/>
    </row>
    <row r="303" spans="1:41" ht="21" x14ac:dyDescent="0.35">
      <c r="A303" s="38"/>
      <c r="B303" s="38"/>
      <c r="C303" s="38"/>
      <c r="D303" s="39"/>
      <c r="E303" s="38"/>
      <c r="F303" s="38"/>
      <c r="G303" s="39"/>
      <c r="H303" s="38"/>
      <c r="I303" s="19"/>
      <c r="J303" s="39"/>
      <c r="K303" s="19"/>
      <c r="L303" s="19"/>
      <c r="M303" s="19"/>
      <c r="N303" s="19"/>
      <c r="O303" s="19"/>
      <c r="P303" s="28"/>
      <c r="Q303" s="19"/>
      <c r="R303" s="19"/>
      <c r="S303" s="19"/>
      <c r="T303" s="40"/>
      <c r="U303" s="47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71"/>
      <c r="AL303" s="71"/>
      <c r="AM303" s="71"/>
      <c r="AN303" s="71"/>
      <c r="AO303" s="71"/>
    </row>
    <row r="304" spans="1:41" ht="21" x14ac:dyDescent="0.35">
      <c r="A304" s="38"/>
      <c r="B304" s="38"/>
      <c r="C304" s="38"/>
      <c r="D304" s="39"/>
      <c r="E304" s="38"/>
      <c r="F304" s="38"/>
      <c r="G304" s="39"/>
      <c r="H304" s="38"/>
      <c r="I304" s="19"/>
      <c r="J304" s="39"/>
      <c r="K304" s="19"/>
      <c r="L304" s="19"/>
      <c r="M304" s="19"/>
      <c r="N304" s="19"/>
      <c r="O304" s="19"/>
      <c r="P304" s="28"/>
      <c r="Q304" s="19"/>
      <c r="R304" s="19"/>
      <c r="S304" s="19"/>
      <c r="T304" s="40"/>
      <c r="U304" s="47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71"/>
      <c r="AL304" s="71"/>
      <c r="AM304" s="71"/>
      <c r="AN304" s="71"/>
      <c r="AO304" s="71"/>
    </row>
    <row r="305" spans="1:41" ht="21" x14ac:dyDescent="0.35">
      <c r="A305" s="38"/>
      <c r="B305" s="38"/>
      <c r="C305" s="38"/>
      <c r="D305" s="39"/>
      <c r="E305" s="38"/>
      <c r="F305" s="38"/>
      <c r="G305" s="39"/>
      <c r="H305" s="38"/>
      <c r="I305" s="19"/>
      <c r="J305" s="39"/>
      <c r="K305" s="19"/>
      <c r="L305" s="19"/>
      <c r="M305" s="19"/>
      <c r="N305" s="19"/>
      <c r="O305" s="19"/>
      <c r="P305" s="28"/>
      <c r="Q305" s="19"/>
      <c r="R305" s="19"/>
      <c r="S305" s="19"/>
      <c r="T305" s="40"/>
      <c r="U305" s="47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71"/>
      <c r="AL305" s="71"/>
      <c r="AM305" s="71"/>
      <c r="AN305" s="71"/>
      <c r="AO305" s="71"/>
    </row>
    <row r="306" spans="1:41" ht="21" x14ac:dyDescent="0.35">
      <c r="A306" s="38"/>
      <c r="B306" s="38"/>
      <c r="C306" s="38"/>
      <c r="D306" s="39"/>
      <c r="E306" s="38"/>
      <c r="F306" s="38"/>
      <c r="G306" s="39"/>
      <c r="H306" s="38"/>
      <c r="I306" s="19"/>
      <c r="J306" s="39"/>
      <c r="K306" s="19"/>
      <c r="L306" s="19"/>
      <c r="M306" s="19"/>
      <c r="N306" s="19"/>
      <c r="O306" s="19"/>
      <c r="P306" s="28"/>
      <c r="Q306" s="19"/>
      <c r="R306" s="19"/>
      <c r="S306" s="19"/>
      <c r="T306" s="40"/>
      <c r="U306" s="47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71"/>
      <c r="AL306" s="71"/>
      <c r="AM306" s="71"/>
      <c r="AN306" s="71"/>
      <c r="AO306" s="71"/>
    </row>
    <row r="307" spans="1:41" ht="21" x14ac:dyDescent="0.35">
      <c r="A307" s="38"/>
      <c r="B307" s="38"/>
      <c r="C307" s="38"/>
      <c r="D307" s="39"/>
      <c r="E307" s="38"/>
      <c r="F307" s="38"/>
      <c r="G307" s="39"/>
      <c r="H307" s="38"/>
      <c r="I307" s="19"/>
      <c r="J307" s="39"/>
      <c r="K307" s="19"/>
      <c r="L307" s="19"/>
      <c r="M307" s="19"/>
      <c r="N307" s="19"/>
      <c r="O307" s="19"/>
      <c r="P307" s="28"/>
      <c r="Q307" s="19"/>
      <c r="R307" s="19"/>
      <c r="S307" s="19"/>
      <c r="T307" s="40"/>
      <c r="U307" s="47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71"/>
      <c r="AL307" s="71"/>
      <c r="AM307" s="71"/>
      <c r="AN307" s="71"/>
      <c r="AO307" s="71"/>
    </row>
    <row r="308" spans="1:41" ht="21" x14ac:dyDescent="0.35">
      <c r="A308" s="38"/>
      <c r="B308" s="38"/>
      <c r="C308" s="38"/>
      <c r="D308" s="39"/>
      <c r="E308" s="38"/>
      <c r="F308" s="38"/>
      <c r="G308" s="39"/>
      <c r="H308" s="38"/>
      <c r="I308" s="19"/>
      <c r="J308" s="39"/>
      <c r="K308" s="19"/>
      <c r="L308" s="19"/>
      <c r="M308" s="19"/>
      <c r="N308" s="19"/>
      <c r="O308" s="19"/>
      <c r="P308" s="28"/>
      <c r="Q308" s="19"/>
      <c r="R308" s="19"/>
      <c r="S308" s="19"/>
      <c r="T308" s="40"/>
      <c r="U308" s="47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71"/>
      <c r="AL308" s="71"/>
      <c r="AM308" s="71"/>
      <c r="AN308" s="71"/>
      <c r="AO308" s="71"/>
    </row>
    <row r="309" spans="1:41" ht="21" x14ac:dyDescent="0.35">
      <c r="A309" s="38"/>
      <c r="B309" s="38"/>
      <c r="C309" s="38"/>
      <c r="D309" s="39"/>
      <c r="E309" s="38"/>
      <c r="F309" s="38"/>
      <c r="G309" s="39"/>
      <c r="H309" s="38"/>
      <c r="I309" s="19"/>
      <c r="J309" s="39"/>
      <c r="K309" s="19"/>
      <c r="L309" s="19"/>
      <c r="M309" s="19"/>
      <c r="N309" s="19"/>
      <c r="O309" s="19"/>
      <c r="P309" s="28"/>
      <c r="Q309" s="19"/>
      <c r="R309" s="19"/>
      <c r="S309" s="19"/>
      <c r="T309" s="40"/>
      <c r="U309" s="47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71"/>
      <c r="AL309" s="71"/>
      <c r="AM309" s="71"/>
      <c r="AN309" s="71"/>
      <c r="AO309" s="71"/>
    </row>
    <row r="310" spans="1:41" ht="21" x14ac:dyDescent="0.35">
      <c r="A310" s="38"/>
      <c r="B310" s="38"/>
      <c r="C310" s="38"/>
      <c r="D310" s="39"/>
      <c r="E310" s="38"/>
      <c r="F310" s="38"/>
      <c r="G310" s="39"/>
      <c r="H310" s="38"/>
      <c r="I310" s="19"/>
      <c r="J310" s="39"/>
      <c r="K310" s="19"/>
      <c r="L310" s="19"/>
      <c r="M310" s="19"/>
      <c r="N310" s="19"/>
      <c r="O310" s="19"/>
      <c r="P310" s="28"/>
      <c r="Q310" s="19"/>
      <c r="R310" s="19"/>
      <c r="S310" s="19"/>
      <c r="T310" s="40"/>
      <c r="U310" s="47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71"/>
      <c r="AL310" s="71"/>
      <c r="AM310" s="71"/>
      <c r="AN310" s="71"/>
      <c r="AO310" s="71"/>
    </row>
    <row r="311" spans="1:41" ht="21" x14ac:dyDescent="0.35">
      <c r="A311" s="38"/>
      <c r="B311" s="38"/>
      <c r="C311" s="38"/>
      <c r="D311" s="39"/>
      <c r="E311" s="38"/>
      <c r="F311" s="38"/>
      <c r="G311" s="39"/>
      <c r="H311" s="38"/>
      <c r="I311" s="19"/>
      <c r="J311" s="39"/>
      <c r="K311" s="19"/>
      <c r="L311" s="19"/>
      <c r="M311" s="19"/>
      <c r="N311" s="19"/>
      <c r="O311" s="19"/>
      <c r="P311" s="28"/>
      <c r="Q311" s="19"/>
      <c r="R311" s="19"/>
      <c r="S311" s="19"/>
      <c r="T311" s="40"/>
      <c r="U311" s="47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71"/>
      <c r="AL311" s="71"/>
      <c r="AM311" s="71"/>
      <c r="AN311" s="71"/>
      <c r="AO311" s="71"/>
    </row>
    <row r="312" spans="1:41" ht="21" x14ac:dyDescent="0.35">
      <c r="A312" s="38"/>
      <c r="B312" s="38"/>
      <c r="C312" s="38"/>
      <c r="D312" s="39"/>
      <c r="E312" s="38"/>
      <c r="F312" s="38"/>
      <c r="G312" s="39"/>
      <c r="H312" s="38"/>
      <c r="I312" s="19"/>
      <c r="J312" s="39"/>
      <c r="K312" s="19"/>
      <c r="L312" s="19"/>
      <c r="M312" s="19"/>
      <c r="N312" s="19"/>
      <c r="O312" s="19"/>
      <c r="P312" s="28"/>
      <c r="Q312" s="19"/>
      <c r="R312" s="19"/>
      <c r="S312" s="19"/>
      <c r="T312" s="40"/>
      <c r="U312" s="47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71"/>
      <c r="AL312" s="71"/>
      <c r="AM312" s="71"/>
      <c r="AN312" s="71"/>
      <c r="AO312" s="71"/>
    </row>
    <row r="313" spans="1:41" ht="21" x14ac:dyDescent="0.35">
      <c r="A313" s="38"/>
      <c r="B313" s="38"/>
      <c r="C313" s="38"/>
      <c r="D313" s="39"/>
      <c r="E313" s="38"/>
      <c r="F313" s="38"/>
      <c r="G313" s="39"/>
      <c r="H313" s="38"/>
      <c r="I313" s="19"/>
      <c r="J313" s="39"/>
      <c r="K313" s="19"/>
      <c r="L313" s="19"/>
      <c r="M313" s="19"/>
      <c r="N313" s="19"/>
      <c r="O313" s="19"/>
      <c r="P313" s="28"/>
      <c r="Q313" s="19"/>
      <c r="R313" s="19"/>
      <c r="S313" s="19"/>
      <c r="T313" s="40"/>
      <c r="U313" s="47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71"/>
      <c r="AL313" s="71"/>
      <c r="AM313" s="71"/>
      <c r="AN313" s="71"/>
      <c r="AO313" s="71"/>
    </row>
    <row r="314" spans="1:41" ht="21" x14ac:dyDescent="0.35">
      <c r="A314" s="38"/>
      <c r="B314" s="38"/>
      <c r="C314" s="38"/>
      <c r="D314" s="39"/>
      <c r="E314" s="38"/>
      <c r="F314" s="38"/>
      <c r="G314" s="39"/>
      <c r="H314" s="38"/>
      <c r="I314" s="19"/>
      <c r="J314" s="39"/>
      <c r="K314" s="19"/>
      <c r="L314" s="19"/>
      <c r="M314" s="19"/>
      <c r="N314" s="19"/>
      <c r="O314" s="19"/>
      <c r="P314" s="28"/>
      <c r="Q314" s="19"/>
      <c r="R314" s="19"/>
      <c r="S314" s="19"/>
      <c r="T314" s="40"/>
      <c r="U314" s="47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71"/>
      <c r="AL314" s="71"/>
      <c r="AM314" s="71"/>
      <c r="AN314" s="71"/>
      <c r="AO314" s="71"/>
    </row>
    <row r="315" spans="1:41" ht="21" x14ac:dyDescent="0.35">
      <c r="A315" s="38"/>
      <c r="B315" s="38"/>
      <c r="C315" s="38"/>
      <c r="D315" s="39"/>
      <c r="E315" s="38"/>
      <c r="F315" s="38"/>
      <c r="G315" s="39"/>
      <c r="H315" s="38"/>
      <c r="I315" s="19"/>
      <c r="J315" s="39"/>
      <c r="K315" s="19"/>
      <c r="L315" s="19"/>
      <c r="M315" s="19"/>
      <c r="N315" s="19"/>
      <c r="O315" s="19"/>
      <c r="P315" s="28"/>
      <c r="Q315" s="19"/>
      <c r="R315" s="19"/>
      <c r="S315" s="19"/>
      <c r="T315" s="40"/>
      <c r="U315" s="47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71"/>
      <c r="AL315" s="71"/>
      <c r="AM315" s="71"/>
      <c r="AN315" s="71"/>
      <c r="AO315" s="71"/>
    </row>
    <row r="316" spans="1:41" ht="21" x14ac:dyDescent="0.35">
      <c r="A316" s="38"/>
      <c r="B316" s="38"/>
      <c r="C316" s="38"/>
      <c r="D316" s="39"/>
      <c r="E316" s="38"/>
      <c r="F316" s="38"/>
      <c r="G316" s="39"/>
      <c r="H316" s="38"/>
      <c r="I316" s="19"/>
      <c r="J316" s="39"/>
      <c r="K316" s="19"/>
      <c r="L316" s="19"/>
      <c r="M316" s="19"/>
      <c r="N316" s="19"/>
      <c r="O316" s="19"/>
      <c r="P316" s="28"/>
      <c r="Q316" s="19"/>
      <c r="R316" s="19"/>
      <c r="S316" s="19"/>
      <c r="T316" s="40"/>
      <c r="U316" s="47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71"/>
      <c r="AL316" s="71"/>
      <c r="AM316" s="71"/>
      <c r="AN316" s="71"/>
      <c r="AO316" s="71"/>
    </row>
    <row r="317" spans="1:41" ht="21" x14ac:dyDescent="0.35">
      <c r="A317" s="38"/>
      <c r="B317" s="38"/>
      <c r="C317" s="38"/>
      <c r="D317" s="39"/>
      <c r="E317" s="38"/>
      <c r="F317" s="38"/>
      <c r="G317" s="39"/>
      <c r="H317" s="38"/>
      <c r="I317" s="19"/>
      <c r="J317" s="39"/>
      <c r="K317" s="19"/>
      <c r="L317" s="19"/>
      <c r="M317" s="19"/>
      <c r="N317" s="19"/>
      <c r="O317" s="19"/>
      <c r="P317" s="28"/>
      <c r="Q317" s="19"/>
      <c r="R317" s="19"/>
      <c r="S317" s="19"/>
      <c r="T317" s="40"/>
      <c r="U317" s="47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71"/>
      <c r="AL317" s="71"/>
      <c r="AM317" s="71"/>
      <c r="AN317" s="71"/>
      <c r="AO317" s="71"/>
    </row>
    <row r="318" spans="1:41" ht="21" x14ac:dyDescent="0.35">
      <c r="A318" s="38"/>
      <c r="B318" s="38"/>
      <c r="C318" s="38"/>
      <c r="D318" s="39"/>
      <c r="E318" s="38"/>
      <c r="F318" s="38"/>
      <c r="G318" s="39"/>
      <c r="H318" s="38"/>
      <c r="I318" s="19"/>
      <c r="J318" s="39"/>
      <c r="K318" s="19"/>
      <c r="L318" s="19"/>
      <c r="M318" s="19"/>
      <c r="N318" s="19"/>
      <c r="O318" s="19"/>
      <c r="P318" s="28"/>
      <c r="Q318" s="19"/>
      <c r="R318" s="19"/>
      <c r="S318" s="19"/>
      <c r="T318" s="40"/>
      <c r="U318" s="47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71"/>
      <c r="AL318" s="71"/>
      <c r="AM318" s="71"/>
      <c r="AN318" s="71"/>
      <c r="AO318" s="71"/>
    </row>
    <row r="319" spans="1:41" ht="21" x14ac:dyDescent="0.35">
      <c r="A319" s="38"/>
      <c r="B319" s="38"/>
      <c r="C319" s="38"/>
      <c r="D319" s="39"/>
      <c r="E319" s="38"/>
      <c r="F319" s="38"/>
      <c r="G319" s="39"/>
      <c r="H319" s="38"/>
      <c r="I319" s="19"/>
      <c r="J319" s="39"/>
      <c r="K319" s="19"/>
      <c r="L319" s="19"/>
      <c r="M319" s="19"/>
      <c r="N319" s="19"/>
      <c r="O319" s="19"/>
      <c r="P319" s="28"/>
      <c r="Q319" s="19"/>
      <c r="R319" s="19"/>
      <c r="S319" s="19"/>
      <c r="T319" s="40"/>
      <c r="U319" s="47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71"/>
      <c r="AL319" s="71"/>
      <c r="AM319" s="71"/>
      <c r="AN319" s="71"/>
      <c r="AO319" s="71"/>
    </row>
    <row r="320" spans="1:41" ht="21" x14ac:dyDescent="0.35">
      <c r="A320" s="38"/>
      <c r="B320" s="38"/>
      <c r="C320" s="38"/>
      <c r="D320" s="39"/>
      <c r="E320" s="38"/>
      <c r="F320" s="38"/>
      <c r="G320" s="39"/>
      <c r="H320" s="38"/>
      <c r="I320" s="19"/>
      <c r="J320" s="39"/>
      <c r="K320" s="19"/>
      <c r="L320" s="19"/>
      <c r="M320" s="19"/>
      <c r="N320" s="19"/>
      <c r="O320" s="19"/>
      <c r="P320" s="28"/>
      <c r="Q320" s="19"/>
      <c r="R320" s="19"/>
      <c r="S320" s="19"/>
      <c r="T320" s="40"/>
      <c r="U320" s="47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71"/>
      <c r="AL320" s="71"/>
      <c r="AM320" s="71"/>
      <c r="AN320" s="71"/>
      <c r="AO320" s="71"/>
    </row>
    <row r="321" spans="1:41" ht="21" x14ac:dyDescent="0.35">
      <c r="A321" s="38"/>
      <c r="B321" s="38"/>
      <c r="C321" s="38"/>
      <c r="D321" s="39"/>
      <c r="E321" s="38"/>
      <c r="F321" s="38"/>
      <c r="G321" s="39"/>
      <c r="H321" s="38"/>
      <c r="I321" s="19"/>
      <c r="J321" s="39"/>
      <c r="K321" s="19"/>
      <c r="L321" s="19"/>
      <c r="M321" s="19"/>
      <c r="N321" s="19"/>
      <c r="O321" s="19"/>
      <c r="P321" s="28"/>
      <c r="Q321" s="19"/>
      <c r="R321" s="19"/>
      <c r="S321" s="19"/>
      <c r="T321" s="40"/>
      <c r="U321" s="47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71"/>
      <c r="AL321" s="71"/>
      <c r="AM321" s="71"/>
      <c r="AN321" s="71"/>
      <c r="AO321" s="71"/>
    </row>
    <row r="322" spans="1:41" ht="21" x14ac:dyDescent="0.35">
      <c r="A322" s="38"/>
      <c r="B322" s="38"/>
      <c r="C322" s="38"/>
      <c r="D322" s="39"/>
      <c r="E322" s="38"/>
      <c r="F322" s="38"/>
      <c r="G322" s="39"/>
      <c r="H322" s="38"/>
      <c r="I322" s="19"/>
      <c r="J322" s="39"/>
      <c r="K322" s="19"/>
      <c r="L322" s="19"/>
      <c r="M322" s="19"/>
      <c r="N322" s="19"/>
      <c r="O322" s="19"/>
      <c r="P322" s="28"/>
      <c r="Q322" s="19"/>
      <c r="R322" s="19"/>
      <c r="S322" s="19"/>
      <c r="T322" s="40"/>
      <c r="U322" s="47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71"/>
      <c r="AL322" s="71"/>
      <c r="AM322" s="71"/>
      <c r="AN322" s="71"/>
      <c r="AO322" s="71"/>
    </row>
    <row r="323" spans="1:41" ht="21" x14ac:dyDescent="0.35">
      <c r="A323" s="38"/>
      <c r="B323" s="38"/>
      <c r="C323" s="38"/>
      <c r="D323" s="39"/>
      <c r="E323" s="38"/>
      <c r="F323" s="38"/>
      <c r="G323" s="39"/>
      <c r="H323" s="38"/>
      <c r="I323" s="19"/>
      <c r="J323" s="39"/>
      <c r="K323" s="19"/>
      <c r="L323" s="19"/>
      <c r="M323" s="19"/>
      <c r="N323" s="19"/>
      <c r="O323" s="19"/>
      <c r="P323" s="28"/>
      <c r="Q323" s="19"/>
      <c r="R323" s="19"/>
      <c r="S323" s="19"/>
      <c r="T323" s="40"/>
      <c r="U323" s="47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71"/>
      <c r="AL323" s="71"/>
      <c r="AM323" s="71"/>
      <c r="AN323" s="71"/>
      <c r="AO323" s="71"/>
    </row>
    <row r="324" spans="1:41" ht="21" x14ac:dyDescent="0.35">
      <c r="A324" s="38"/>
      <c r="B324" s="38"/>
      <c r="C324" s="38"/>
      <c r="D324" s="39"/>
      <c r="E324" s="38"/>
      <c r="F324" s="38"/>
      <c r="G324" s="39"/>
      <c r="H324" s="38"/>
      <c r="I324" s="19"/>
      <c r="J324" s="39"/>
      <c r="K324" s="19"/>
      <c r="L324" s="19"/>
      <c r="M324" s="19"/>
      <c r="N324" s="19"/>
      <c r="O324" s="19"/>
      <c r="P324" s="28"/>
      <c r="Q324" s="19"/>
      <c r="R324" s="19"/>
      <c r="S324" s="19"/>
      <c r="T324" s="40"/>
      <c r="U324" s="47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71"/>
      <c r="AL324" s="71"/>
      <c r="AM324" s="71"/>
      <c r="AN324" s="71"/>
      <c r="AO324" s="71"/>
    </row>
    <row r="325" spans="1:41" ht="21" x14ac:dyDescent="0.35">
      <c r="A325" s="38"/>
      <c r="B325" s="38"/>
      <c r="C325" s="38"/>
      <c r="D325" s="39"/>
      <c r="E325" s="38"/>
      <c r="F325" s="38"/>
      <c r="G325" s="39"/>
      <c r="H325" s="38"/>
      <c r="I325" s="19"/>
      <c r="J325" s="39"/>
      <c r="K325" s="19"/>
      <c r="L325" s="19"/>
      <c r="M325" s="19"/>
      <c r="N325" s="19"/>
      <c r="O325" s="19"/>
      <c r="P325" s="28"/>
      <c r="Q325" s="19"/>
      <c r="R325" s="19"/>
      <c r="S325" s="19"/>
      <c r="T325" s="40"/>
      <c r="U325" s="47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71"/>
      <c r="AL325" s="71"/>
      <c r="AM325" s="71"/>
      <c r="AN325" s="71"/>
      <c r="AO325" s="71"/>
    </row>
    <row r="326" spans="1:41" ht="21" x14ac:dyDescent="0.35">
      <c r="A326" s="38"/>
      <c r="B326" s="38"/>
      <c r="C326" s="38"/>
      <c r="D326" s="39"/>
      <c r="E326" s="38"/>
      <c r="F326" s="38"/>
      <c r="G326" s="39"/>
      <c r="H326" s="38"/>
      <c r="I326" s="19"/>
      <c r="J326" s="39"/>
      <c r="K326" s="19"/>
      <c r="L326" s="19"/>
      <c r="M326" s="19"/>
      <c r="N326" s="19"/>
      <c r="O326" s="19"/>
      <c r="P326" s="28"/>
      <c r="Q326" s="19"/>
      <c r="R326" s="19"/>
      <c r="S326" s="19"/>
      <c r="T326" s="40"/>
      <c r="U326" s="47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71"/>
      <c r="AL326" s="71"/>
      <c r="AM326" s="71"/>
      <c r="AN326" s="71"/>
      <c r="AO326" s="71"/>
    </row>
    <row r="327" spans="1:41" ht="21" x14ac:dyDescent="0.35">
      <c r="A327" s="38"/>
      <c r="B327" s="38"/>
      <c r="C327" s="38"/>
      <c r="D327" s="39"/>
      <c r="E327" s="38"/>
      <c r="F327" s="38"/>
      <c r="G327" s="39"/>
      <c r="H327" s="38"/>
      <c r="I327" s="19"/>
      <c r="J327" s="39"/>
      <c r="K327" s="19"/>
      <c r="L327" s="19"/>
      <c r="M327" s="19"/>
      <c r="N327" s="19"/>
      <c r="O327" s="19"/>
      <c r="P327" s="28"/>
      <c r="Q327" s="19"/>
      <c r="R327" s="19"/>
      <c r="S327" s="19"/>
      <c r="T327" s="40"/>
      <c r="U327" s="47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71"/>
      <c r="AL327" s="71"/>
      <c r="AM327" s="71"/>
      <c r="AN327" s="71"/>
      <c r="AO327" s="71"/>
    </row>
    <row r="328" spans="1:41" ht="21" x14ac:dyDescent="0.35">
      <c r="A328" s="38"/>
      <c r="B328" s="38"/>
      <c r="C328" s="38"/>
      <c r="D328" s="39"/>
      <c r="E328" s="38"/>
      <c r="F328" s="38"/>
      <c r="G328" s="39"/>
      <c r="H328" s="38"/>
      <c r="I328" s="19"/>
      <c r="J328" s="39"/>
      <c r="K328" s="19"/>
      <c r="L328" s="19"/>
      <c r="M328" s="19"/>
      <c r="N328" s="19"/>
      <c r="O328" s="19"/>
      <c r="P328" s="28"/>
      <c r="Q328" s="19"/>
      <c r="R328" s="19"/>
      <c r="S328" s="19"/>
      <c r="T328" s="40"/>
      <c r="U328" s="47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71"/>
      <c r="AL328" s="71"/>
      <c r="AM328" s="71"/>
      <c r="AN328" s="71"/>
      <c r="AO328" s="71"/>
    </row>
    <row r="329" spans="1:41" ht="21" x14ac:dyDescent="0.35">
      <c r="A329" s="38"/>
      <c r="B329" s="38"/>
      <c r="C329" s="38"/>
      <c r="D329" s="39"/>
      <c r="E329" s="38"/>
      <c r="F329" s="38"/>
      <c r="G329" s="39"/>
      <c r="H329" s="38"/>
      <c r="I329" s="19"/>
      <c r="J329" s="39"/>
      <c r="K329" s="19"/>
      <c r="L329" s="19"/>
      <c r="M329" s="19"/>
      <c r="N329" s="19"/>
      <c r="O329" s="19"/>
      <c r="P329" s="28"/>
      <c r="Q329" s="19"/>
      <c r="R329" s="19"/>
      <c r="S329" s="19"/>
      <c r="T329" s="40"/>
      <c r="U329" s="47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71"/>
      <c r="AL329" s="71"/>
      <c r="AM329" s="71"/>
      <c r="AN329" s="71"/>
      <c r="AO329" s="71"/>
    </row>
    <row r="330" spans="1:41" ht="21" x14ac:dyDescent="0.35">
      <c r="A330" s="38"/>
      <c r="B330" s="38"/>
      <c r="C330" s="38"/>
      <c r="D330" s="39"/>
      <c r="E330" s="38"/>
      <c r="F330" s="38"/>
      <c r="G330" s="39"/>
      <c r="H330" s="38"/>
      <c r="I330" s="19"/>
      <c r="J330" s="39"/>
      <c r="K330" s="19"/>
      <c r="L330" s="19"/>
      <c r="M330" s="19"/>
      <c r="N330" s="19"/>
      <c r="O330" s="19"/>
      <c r="P330" s="28"/>
      <c r="Q330" s="19"/>
      <c r="R330" s="19"/>
      <c r="S330" s="19"/>
      <c r="T330" s="40"/>
      <c r="U330" s="47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71"/>
      <c r="AL330" s="71"/>
      <c r="AM330" s="71"/>
      <c r="AN330" s="71"/>
      <c r="AO330" s="71"/>
    </row>
    <row r="331" spans="1:41" ht="21" x14ac:dyDescent="0.35">
      <c r="A331" s="38"/>
      <c r="B331" s="38"/>
      <c r="C331" s="38"/>
      <c r="D331" s="39"/>
      <c r="E331" s="38"/>
      <c r="F331" s="38"/>
      <c r="G331" s="39"/>
      <c r="H331" s="38"/>
      <c r="I331" s="19"/>
      <c r="J331" s="39"/>
      <c r="K331" s="19"/>
      <c r="L331" s="19"/>
      <c r="M331" s="19"/>
      <c r="N331" s="19"/>
      <c r="O331" s="19"/>
      <c r="P331" s="28"/>
      <c r="Q331" s="19"/>
      <c r="R331" s="19"/>
      <c r="S331" s="19"/>
      <c r="T331" s="40"/>
      <c r="U331" s="47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71"/>
      <c r="AL331" s="71"/>
      <c r="AM331" s="71"/>
      <c r="AN331" s="71"/>
      <c r="AO331" s="71"/>
    </row>
    <row r="332" spans="1:41" ht="21" x14ac:dyDescent="0.35">
      <c r="A332" s="38"/>
      <c r="B332" s="38"/>
      <c r="C332" s="38"/>
      <c r="D332" s="39"/>
      <c r="E332" s="38"/>
      <c r="F332" s="38"/>
      <c r="G332" s="39"/>
      <c r="H332" s="38"/>
      <c r="I332" s="19"/>
      <c r="J332" s="39"/>
      <c r="K332" s="19"/>
      <c r="L332" s="19"/>
      <c r="M332" s="19"/>
      <c r="N332" s="19"/>
      <c r="O332" s="19"/>
      <c r="P332" s="28"/>
      <c r="Q332" s="19"/>
      <c r="R332" s="19"/>
      <c r="S332" s="19"/>
      <c r="T332" s="40"/>
      <c r="U332" s="47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71"/>
      <c r="AL332" s="71"/>
      <c r="AM332" s="71"/>
      <c r="AN332" s="71"/>
      <c r="AO332" s="71"/>
    </row>
    <row r="333" spans="1:41" ht="21" x14ac:dyDescent="0.35">
      <c r="A333" s="38"/>
      <c r="B333" s="38"/>
      <c r="C333" s="38"/>
      <c r="D333" s="39"/>
      <c r="E333" s="38"/>
      <c r="F333" s="38"/>
      <c r="G333" s="39"/>
      <c r="H333" s="38"/>
      <c r="I333" s="19"/>
      <c r="J333" s="39"/>
      <c r="K333" s="19"/>
      <c r="L333" s="19"/>
      <c r="M333" s="19"/>
      <c r="N333" s="19"/>
      <c r="O333" s="19"/>
      <c r="P333" s="28"/>
      <c r="Q333" s="19"/>
      <c r="R333" s="19"/>
      <c r="S333" s="19"/>
      <c r="T333" s="40"/>
      <c r="U333" s="47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71"/>
      <c r="AL333" s="71"/>
      <c r="AM333" s="71"/>
      <c r="AN333" s="71"/>
      <c r="AO333" s="71"/>
    </row>
    <row r="334" spans="1:41" ht="21" x14ac:dyDescent="0.35">
      <c r="A334" s="38"/>
      <c r="B334" s="38"/>
      <c r="C334" s="38"/>
      <c r="D334" s="39"/>
      <c r="E334" s="38"/>
      <c r="F334" s="38"/>
      <c r="G334" s="39"/>
      <c r="H334" s="38"/>
      <c r="I334" s="19"/>
      <c r="J334" s="39"/>
      <c r="K334" s="19"/>
      <c r="L334" s="19"/>
      <c r="M334" s="19"/>
      <c r="N334" s="19"/>
      <c r="O334" s="19"/>
      <c r="P334" s="28"/>
      <c r="Q334" s="19"/>
      <c r="R334" s="19"/>
      <c r="S334" s="19"/>
      <c r="T334" s="40"/>
      <c r="U334" s="47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71"/>
      <c r="AL334" s="71"/>
      <c r="AM334" s="71"/>
      <c r="AN334" s="71"/>
      <c r="AO334" s="71"/>
    </row>
    <row r="335" spans="1:41" ht="21" x14ac:dyDescent="0.35">
      <c r="A335" s="38"/>
      <c r="B335" s="38"/>
      <c r="C335" s="38"/>
      <c r="D335" s="39"/>
      <c r="E335" s="38"/>
      <c r="F335" s="38"/>
      <c r="G335" s="39"/>
      <c r="H335" s="38"/>
      <c r="I335" s="19"/>
      <c r="J335" s="39"/>
      <c r="K335" s="19"/>
      <c r="L335" s="19"/>
      <c r="M335" s="19"/>
      <c r="N335" s="19"/>
      <c r="O335" s="19"/>
      <c r="P335" s="28"/>
      <c r="Q335" s="19"/>
      <c r="R335" s="19"/>
      <c r="S335" s="19"/>
      <c r="T335" s="40"/>
      <c r="U335" s="47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71"/>
      <c r="AL335" s="71"/>
      <c r="AM335" s="71"/>
      <c r="AN335" s="71"/>
      <c r="AO335" s="71"/>
    </row>
    <row r="336" spans="1:41" ht="21" x14ac:dyDescent="0.35">
      <c r="A336" s="38"/>
      <c r="B336" s="38"/>
      <c r="C336" s="38"/>
      <c r="D336" s="39"/>
      <c r="E336" s="38"/>
      <c r="F336" s="38"/>
      <c r="G336" s="39"/>
      <c r="H336" s="38"/>
      <c r="I336" s="19"/>
      <c r="J336" s="39"/>
      <c r="K336" s="19"/>
      <c r="L336" s="19"/>
      <c r="M336" s="19"/>
      <c r="N336" s="19"/>
      <c r="O336" s="19"/>
      <c r="P336" s="28"/>
      <c r="Q336" s="19"/>
      <c r="R336" s="19"/>
      <c r="S336" s="19"/>
      <c r="T336" s="40"/>
      <c r="U336" s="47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71"/>
      <c r="AL336" s="71"/>
      <c r="AM336" s="71"/>
      <c r="AN336" s="71"/>
      <c r="AO336" s="71"/>
    </row>
    <row r="337" spans="1:41" ht="21" x14ac:dyDescent="0.35">
      <c r="A337" s="38"/>
      <c r="B337" s="38"/>
      <c r="C337" s="38"/>
      <c r="D337" s="39"/>
      <c r="E337" s="38"/>
      <c r="F337" s="38"/>
      <c r="G337" s="39"/>
      <c r="H337" s="38"/>
      <c r="I337" s="19"/>
      <c r="J337" s="39"/>
      <c r="K337" s="19"/>
      <c r="L337" s="19"/>
      <c r="M337" s="19"/>
      <c r="N337" s="19"/>
      <c r="O337" s="19"/>
      <c r="P337" s="28"/>
      <c r="Q337" s="19"/>
      <c r="R337" s="19"/>
      <c r="S337" s="19"/>
      <c r="T337" s="40"/>
      <c r="U337" s="47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71"/>
      <c r="AL337" s="71"/>
      <c r="AM337" s="71"/>
      <c r="AN337" s="71"/>
      <c r="AO337" s="71"/>
    </row>
    <row r="338" spans="1:41" ht="21" x14ac:dyDescent="0.35">
      <c r="A338" s="38"/>
      <c r="B338" s="38"/>
      <c r="C338" s="38"/>
      <c r="D338" s="39"/>
      <c r="E338" s="38"/>
      <c r="F338" s="38"/>
      <c r="G338" s="39"/>
      <c r="H338" s="38"/>
      <c r="I338" s="19"/>
      <c r="J338" s="39"/>
      <c r="K338" s="19"/>
      <c r="L338" s="19"/>
      <c r="M338" s="19"/>
      <c r="N338" s="19"/>
      <c r="O338" s="19"/>
      <c r="P338" s="28"/>
      <c r="Q338" s="19"/>
      <c r="R338" s="19"/>
      <c r="S338" s="19"/>
      <c r="T338" s="40"/>
      <c r="U338" s="47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71"/>
      <c r="AL338" s="71"/>
      <c r="AM338" s="71"/>
      <c r="AN338" s="71"/>
      <c r="AO338" s="71"/>
    </row>
    <row r="339" spans="1:41" ht="21" x14ac:dyDescent="0.35">
      <c r="A339" s="38"/>
      <c r="B339" s="38"/>
      <c r="C339" s="38"/>
      <c r="D339" s="39"/>
      <c r="E339" s="38"/>
      <c r="F339" s="38"/>
      <c r="G339" s="39"/>
      <c r="H339" s="38"/>
      <c r="I339" s="19"/>
      <c r="J339" s="39"/>
      <c r="K339" s="19"/>
      <c r="L339" s="19"/>
      <c r="M339" s="19"/>
      <c r="N339" s="19"/>
      <c r="O339" s="19"/>
      <c r="P339" s="28"/>
      <c r="Q339" s="19"/>
      <c r="R339" s="19"/>
      <c r="S339" s="19"/>
      <c r="T339" s="40"/>
      <c r="U339" s="47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71"/>
      <c r="AL339" s="71"/>
      <c r="AM339" s="71"/>
      <c r="AN339" s="71"/>
      <c r="AO339" s="71"/>
    </row>
    <row r="340" spans="1:41" ht="21" x14ac:dyDescent="0.35">
      <c r="A340" s="38"/>
      <c r="B340" s="38"/>
      <c r="C340" s="38"/>
      <c r="D340" s="39"/>
      <c r="E340" s="38"/>
      <c r="F340" s="38"/>
      <c r="G340" s="39"/>
      <c r="H340" s="38"/>
      <c r="I340" s="19"/>
      <c r="J340" s="39"/>
      <c r="K340" s="19"/>
      <c r="L340" s="19"/>
      <c r="M340" s="19"/>
      <c r="N340" s="19"/>
      <c r="O340" s="19"/>
      <c r="P340" s="28"/>
      <c r="Q340" s="19"/>
      <c r="R340" s="19"/>
      <c r="S340" s="19"/>
      <c r="T340" s="40"/>
      <c r="U340" s="47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71"/>
      <c r="AL340" s="71"/>
      <c r="AM340" s="71"/>
      <c r="AN340" s="71"/>
      <c r="AO340" s="71"/>
    </row>
    <row r="341" spans="1:41" ht="21" x14ac:dyDescent="0.35">
      <c r="A341" s="38"/>
      <c r="B341" s="38"/>
      <c r="C341" s="38"/>
      <c r="D341" s="39"/>
      <c r="E341" s="38"/>
      <c r="F341" s="38"/>
      <c r="G341" s="39"/>
      <c r="H341" s="38"/>
      <c r="I341" s="19"/>
      <c r="J341" s="39"/>
      <c r="K341" s="19"/>
      <c r="L341" s="19"/>
      <c r="M341" s="19"/>
      <c r="N341" s="19"/>
      <c r="O341" s="19"/>
      <c r="P341" s="28"/>
      <c r="Q341" s="19"/>
      <c r="R341" s="19"/>
      <c r="S341" s="19"/>
      <c r="T341" s="40"/>
      <c r="U341" s="47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71"/>
      <c r="AL341" s="71"/>
      <c r="AM341" s="71"/>
      <c r="AN341" s="71"/>
      <c r="AO341" s="71"/>
    </row>
    <row r="342" spans="1:41" ht="21" x14ac:dyDescent="0.35">
      <c r="A342" s="38"/>
      <c r="B342" s="38"/>
      <c r="C342" s="38"/>
      <c r="D342" s="39"/>
      <c r="E342" s="38"/>
      <c r="F342" s="38"/>
      <c r="G342" s="39"/>
      <c r="H342" s="38"/>
      <c r="I342" s="19"/>
      <c r="J342" s="39"/>
      <c r="K342" s="19"/>
      <c r="L342" s="19"/>
      <c r="M342" s="19"/>
      <c r="N342" s="19"/>
      <c r="O342" s="19"/>
      <c r="P342" s="28"/>
      <c r="Q342" s="19"/>
      <c r="R342" s="19"/>
      <c r="S342" s="19"/>
      <c r="T342" s="40"/>
      <c r="U342" s="47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71"/>
      <c r="AL342" s="71"/>
      <c r="AM342" s="71"/>
      <c r="AN342" s="71"/>
      <c r="AO342" s="71"/>
    </row>
    <row r="343" spans="1:41" ht="21" x14ac:dyDescent="0.35">
      <c r="A343" s="38"/>
      <c r="B343" s="38"/>
      <c r="C343" s="38"/>
      <c r="D343" s="39"/>
      <c r="E343" s="38"/>
      <c r="F343" s="38"/>
      <c r="G343" s="39"/>
      <c r="H343" s="38"/>
      <c r="I343" s="19"/>
      <c r="J343" s="39"/>
      <c r="K343" s="19"/>
      <c r="L343" s="19"/>
      <c r="M343" s="19"/>
      <c r="N343" s="19"/>
      <c r="O343" s="19"/>
      <c r="P343" s="28"/>
      <c r="Q343" s="19"/>
      <c r="R343" s="19"/>
      <c r="S343" s="19"/>
      <c r="T343" s="40"/>
      <c r="U343" s="47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71"/>
      <c r="AL343" s="71"/>
      <c r="AM343" s="71"/>
      <c r="AN343" s="71"/>
      <c r="AO343" s="71"/>
    </row>
    <row r="344" spans="1:41" ht="21" x14ac:dyDescent="0.35">
      <c r="A344" s="38"/>
      <c r="B344" s="38"/>
      <c r="C344" s="38"/>
      <c r="D344" s="39"/>
      <c r="E344" s="38"/>
      <c r="F344" s="38"/>
      <c r="G344" s="39"/>
      <c r="H344" s="38"/>
      <c r="I344" s="19"/>
      <c r="J344" s="39"/>
      <c r="K344" s="19"/>
      <c r="L344" s="19"/>
      <c r="M344" s="19"/>
      <c r="N344" s="19"/>
      <c r="O344" s="19"/>
      <c r="P344" s="28"/>
      <c r="Q344" s="19"/>
      <c r="R344" s="19"/>
      <c r="S344" s="19"/>
      <c r="T344" s="40"/>
      <c r="U344" s="47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71"/>
      <c r="AL344" s="71"/>
      <c r="AM344" s="71"/>
      <c r="AN344" s="71"/>
      <c r="AO344" s="71"/>
    </row>
    <row r="345" spans="1:41" ht="21" x14ac:dyDescent="0.35">
      <c r="A345" s="38"/>
      <c r="B345" s="38"/>
      <c r="C345" s="38"/>
      <c r="D345" s="39"/>
      <c r="E345" s="38"/>
      <c r="F345" s="38"/>
      <c r="G345" s="39"/>
      <c r="H345" s="38"/>
      <c r="I345" s="19"/>
      <c r="J345" s="39"/>
      <c r="K345" s="19"/>
      <c r="L345" s="19"/>
      <c r="M345" s="19"/>
      <c r="N345" s="19"/>
      <c r="O345" s="19"/>
      <c r="P345" s="28"/>
      <c r="Q345" s="19"/>
      <c r="R345" s="19"/>
      <c r="S345" s="19"/>
      <c r="T345" s="40"/>
      <c r="U345" s="47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71"/>
      <c r="AL345" s="71"/>
      <c r="AM345" s="71"/>
      <c r="AN345" s="71"/>
      <c r="AO345" s="71"/>
    </row>
    <row r="346" spans="1:41" ht="21" x14ac:dyDescent="0.35">
      <c r="A346" s="38"/>
      <c r="B346" s="38"/>
      <c r="C346" s="38"/>
      <c r="D346" s="39"/>
      <c r="E346" s="38"/>
      <c r="F346" s="38"/>
      <c r="G346" s="39"/>
      <c r="H346" s="38"/>
      <c r="I346" s="19"/>
      <c r="J346" s="39"/>
      <c r="K346" s="19"/>
      <c r="L346" s="19"/>
      <c r="M346" s="19"/>
      <c r="N346" s="19"/>
      <c r="O346" s="19"/>
      <c r="P346" s="28"/>
      <c r="Q346" s="19"/>
      <c r="R346" s="19"/>
      <c r="S346" s="19"/>
      <c r="T346" s="40"/>
      <c r="U346" s="47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71"/>
      <c r="AL346" s="71"/>
      <c r="AM346" s="71"/>
      <c r="AN346" s="71"/>
      <c r="AO346" s="71"/>
    </row>
    <row r="347" spans="1:41" ht="21" x14ac:dyDescent="0.35">
      <c r="A347" s="38"/>
      <c r="B347" s="38"/>
      <c r="C347" s="38"/>
      <c r="D347" s="39"/>
      <c r="E347" s="38"/>
      <c r="F347" s="38"/>
      <c r="G347" s="39"/>
      <c r="H347" s="38"/>
      <c r="I347" s="19"/>
      <c r="J347" s="39"/>
      <c r="K347" s="19"/>
      <c r="L347" s="19"/>
      <c r="M347" s="19"/>
      <c r="N347" s="19"/>
      <c r="O347" s="19"/>
      <c r="P347" s="28"/>
      <c r="Q347" s="19"/>
      <c r="R347" s="19"/>
      <c r="S347" s="19"/>
      <c r="T347" s="40"/>
      <c r="U347" s="47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71"/>
      <c r="AL347" s="71"/>
      <c r="AM347" s="71"/>
      <c r="AN347" s="71"/>
      <c r="AO347" s="71"/>
    </row>
    <row r="348" spans="1:41" ht="21" x14ac:dyDescent="0.35">
      <c r="A348" s="38"/>
      <c r="B348" s="38"/>
      <c r="C348" s="38"/>
      <c r="D348" s="39"/>
      <c r="E348" s="38"/>
      <c r="F348" s="38"/>
      <c r="G348" s="39"/>
      <c r="H348" s="38"/>
      <c r="I348" s="19"/>
      <c r="J348" s="39"/>
      <c r="K348" s="19"/>
      <c r="L348" s="19"/>
      <c r="M348" s="19"/>
      <c r="N348" s="19"/>
      <c r="O348" s="19"/>
      <c r="P348" s="28"/>
      <c r="Q348" s="19"/>
      <c r="R348" s="19"/>
      <c r="S348" s="19"/>
      <c r="T348" s="40"/>
      <c r="U348" s="47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71"/>
      <c r="AL348" s="71"/>
      <c r="AM348" s="71"/>
      <c r="AN348" s="71"/>
      <c r="AO348" s="71"/>
    </row>
    <row r="349" spans="1:41" ht="21" x14ac:dyDescent="0.35">
      <c r="A349" s="38"/>
      <c r="B349" s="38"/>
      <c r="C349" s="38"/>
      <c r="D349" s="39"/>
      <c r="E349" s="38"/>
      <c r="F349" s="38"/>
      <c r="G349" s="39"/>
      <c r="H349" s="38"/>
      <c r="I349" s="19"/>
      <c r="J349" s="39"/>
      <c r="K349" s="19"/>
      <c r="L349" s="19"/>
      <c r="M349" s="19"/>
      <c r="N349" s="19"/>
      <c r="O349" s="19"/>
      <c r="P349" s="28"/>
      <c r="Q349" s="19"/>
      <c r="R349" s="19"/>
      <c r="S349" s="19"/>
      <c r="T349" s="40"/>
      <c r="U349" s="47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71"/>
      <c r="AL349" s="71"/>
      <c r="AM349" s="71"/>
      <c r="AN349" s="71"/>
      <c r="AO349" s="71"/>
    </row>
    <row r="350" spans="1:41" ht="21" x14ac:dyDescent="0.35">
      <c r="A350" s="38"/>
      <c r="C350" s="38"/>
      <c r="D350" s="39"/>
      <c r="E350" s="38"/>
      <c r="F350" s="38"/>
      <c r="G350" s="39"/>
      <c r="H350" s="38"/>
      <c r="I350" s="19"/>
      <c r="J350" s="39"/>
      <c r="K350" s="19"/>
      <c r="L350" s="19"/>
      <c r="M350" s="19"/>
      <c r="N350" s="19"/>
      <c r="O350" s="19"/>
      <c r="P350" s="28"/>
      <c r="Q350" s="19"/>
      <c r="R350" s="19"/>
      <c r="S350" s="19"/>
      <c r="T350" s="40"/>
      <c r="U350" s="47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71"/>
      <c r="AL350" s="71"/>
      <c r="AM350" s="71"/>
      <c r="AN350" s="71"/>
      <c r="AO350" s="71"/>
    </row>
    <row r="351" spans="1:41" ht="21" x14ac:dyDescent="0.35">
      <c r="A351" s="38"/>
      <c r="C351" s="38"/>
      <c r="D351" s="39"/>
      <c r="E351" s="38"/>
      <c r="F351" s="38"/>
      <c r="G351" s="39"/>
      <c r="H351" s="38"/>
      <c r="I351" s="19"/>
      <c r="J351" s="39"/>
      <c r="K351" s="19"/>
      <c r="L351" s="19"/>
      <c r="M351" s="19"/>
      <c r="N351" s="19"/>
      <c r="O351" s="19"/>
      <c r="P351" s="28"/>
      <c r="Q351" s="19"/>
      <c r="R351" s="19"/>
      <c r="S351" s="19"/>
      <c r="T351" s="40"/>
      <c r="U351" s="47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71"/>
      <c r="AL351" s="71"/>
      <c r="AM351" s="71"/>
      <c r="AN351" s="71"/>
      <c r="AO351" s="71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4 Y12:Y351">
    <cfRule type="expression" dxfId="38" priority="63">
      <formula>Y4+Z4+AA4=1</formula>
    </cfRule>
  </conditionalFormatting>
  <conditionalFormatting sqref="Z4 Z12:Z351">
    <cfRule type="expression" dxfId="37" priority="62">
      <formula>Y4+Z4+AA4=1</formula>
    </cfRule>
  </conditionalFormatting>
  <conditionalFormatting sqref="AA4 AA12:AA351">
    <cfRule type="expression" dxfId="36" priority="61">
      <formula>Y4+Z4+AA4=1</formula>
    </cfRule>
  </conditionalFormatting>
  <conditionalFormatting sqref="Y8">
    <cfRule type="expression" dxfId="35" priority="48">
      <formula>Y8+Z8+AA8=1</formula>
    </cfRule>
  </conditionalFormatting>
  <conditionalFormatting sqref="Z8">
    <cfRule type="expression" dxfId="34" priority="47">
      <formula>Y8+Z8+AA8=1</formula>
    </cfRule>
  </conditionalFormatting>
  <conditionalFormatting sqref="AA8">
    <cfRule type="expression" dxfId="33" priority="46">
      <formula>Y8+Z8+AA8=1</formula>
    </cfRule>
  </conditionalFormatting>
  <conditionalFormatting sqref="Y9">
    <cfRule type="expression" dxfId="32" priority="45">
      <formula>Y9+Z9+AA9=1</formula>
    </cfRule>
  </conditionalFormatting>
  <conditionalFormatting sqref="Z9">
    <cfRule type="expression" dxfId="31" priority="44">
      <formula>Y9+Z9+AA9=1</formula>
    </cfRule>
  </conditionalFormatting>
  <conditionalFormatting sqref="AA9">
    <cfRule type="expression" dxfId="30" priority="43">
      <formula>Y9+Z9+AA9=1</formula>
    </cfRule>
  </conditionalFormatting>
  <conditionalFormatting sqref="Y10">
    <cfRule type="expression" dxfId="29" priority="42">
      <formula>Y10+Z10+AA10=1</formula>
    </cfRule>
  </conditionalFormatting>
  <conditionalFormatting sqref="Z10">
    <cfRule type="expression" dxfId="28" priority="41">
      <formula>Y10+Z10+AA10=1</formula>
    </cfRule>
  </conditionalFormatting>
  <conditionalFormatting sqref="AA10">
    <cfRule type="expression" dxfId="27" priority="40">
      <formula>Y10+Z10+AA10=1</formula>
    </cfRule>
  </conditionalFormatting>
  <conditionalFormatting sqref="Y11">
    <cfRule type="expression" dxfId="26" priority="39">
      <formula>Y11+Z11+AA11=1</formula>
    </cfRule>
  </conditionalFormatting>
  <conditionalFormatting sqref="Z11">
    <cfRule type="expression" dxfId="25" priority="38">
      <formula>Y11+Z11+AA11=1</formula>
    </cfRule>
  </conditionalFormatting>
  <conditionalFormatting sqref="AA11">
    <cfRule type="expression" dxfId="24" priority="37">
      <formula>Y11+Z11+AA11=1</formula>
    </cfRule>
  </conditionalFormatting>
  <conditionalFormatting sqref="Y5">
    <cfRule type="expression" dxfId="23" priority="24">
      <formula>Y5+Z5+AA5=1</formula>
    </cfRule>
  </conditionalFormatting>
  <conditionalFormatting sqref="Z5">
    <cfRule type="expression" dxfId="22" priority="23">
      <formula>Y5+Z5+AA5=1</formula>
    </cfRule>
  </conditionalFormatting>
  <conditionalFormatting sqref="AA5">
    <cfRule type="expression" dxfId="21" priority="22">
      <formula>Y5+Z5+AA5=1</formula>
    </cfRule>
  </conditionalFormatting>
  <conditionalFormatting sqref="Y5">
    <cfRule type="expression" dxfId="20" priority="21">
      <formula>Y5+Z5+AA5=1</formula>
    </cfRule>
  </conditionalFormatting>
  <conditionalFormatting sqref="Z5">
    <cfRule type="expression" dxfId="19" priority="20">
      <formula>Y5+Z5+AA5=1</formula>
    </cfRule>
  </conditionalFormatting>
  <conditionalFormatting sqref="AA5">
    <cfRule type="expression" dxfId="18" priority="19">
      <formula>Y5+Z5+AA5=1</formula>
    </cfRule>
  </conditionalFormatting>
  <conditionalFormatting sqref="Y6">
    <cfRule type="expression" dxfId="17" priority="18">
      <formula>Y6+Z6+AA6=1</formula>
    </cfRule>
  </conditionalFormatting>
  <conditionalFormatting sqref="Z6">
    <cfRule type="expression" dxfId="16" priority="17">
      <formula>Y6+Z6+AA6=1</formula>
    </cfRule>
  </conditionalFormatting>
  <conditionalFormatting sqref="AA6">
    <cfRule type="expression" dxfId="15" priority="16">
      <formula>Y6+Z6+AA6=1</formula>
    </cfRule>
  </conditionalFormatting>
  <conditionalFormatting sqref="Y6">
    <cfRule type="expression" dxfId="14" priority="15">
      <formula>Y6+Z6+AA6=1</formula>
    </cfRule>
  </conditionalFormatting>
  <conditionalFormatting sqref="Z6">
    <cfRule type="expression" dxfId="13" priority="14">
      <formula>Y6+Z6+AA6=1</formula>
    </cfRule>
  </conditionalFormatting>
  <conditionalFormatting sqref="AA6">
    <cfRule type="expression" dxfId="12" priority="13">
      <formula>Y6+Z6+AA6=1</formula>
    </cfRule>
  </conditionalFormatting>
  <conditionalFormatting sqref="Y7">
    <cfRule type="expression" dxfId="11" priority="12">
      <formula>Y7+Z7+AA7=1</formula>
    </cfRule>
  </conditionalFormatting>
  <conditionalFormatting sqref="Z7">
    <cfRule type="expression" dxfId="10" priority="11">
      <formula>Y7+Z7+AA7=1</formula>
    </cfRule>
  </conditionalFormatting>
  <conditionalFormatting sqref="AA7">
    <cfRule type="expression" dxfId="9" priority="10">
      <formula>Y7+Z7+AA7=1</formula>
    </cfRule>
  </conditionalFormatting>
  <conditionalFormatting sqref="Y7">
    <cfRule type="expression" dxfId="8" priority="9">
      <formula>Y7+Z7+AA7=1</formula>
    </cfRule>
  </conditionalFormatting>
  <conditionalFormatting sqref="Z7">
    <cfRule type="expression" dxfId="7" priority="8">
      <formula>Y7+Z7+AA7=1</formula>
    </cfRule>
  </conditionalFormatting>
  <conditionalFormatting sqref="AA7">
    <cfRule type="expression" dxfId="6" priority="7">
      <formula>Y7+Z7+AA7=1</formula>
    </cfRule>
  </conditionalFormatting>
  <conditionalFormatting sqref="Y20">
    <cfRule type="expression" dxfId="5" priority="6">
      <formula>Y20+Z20+AA20=1</formula>
    </cfRule>
  </conditionalFormatting>
  <conditionalFormatting sqref="Z20">
    <cfRule type="expression" dxfId="4" priority="5">
      <formula>Y20+Z20+AA20=1</formula>
    </cfRule>
  </conditionalFormatting>
  <conditionalFormatting sqref="AA20">
    <cfRule type="expression" dxfId="3" priority="4">
      <formula>Y20+Z20+AA20=1</formula>
    </cfRule>
  </conditionalFormatting>
  <conditionalFormatting sqref="Y4">
    <cfRule type="expression" dxfId="2" priority="3">
      <formula>Y4+Z4+AA4=1</formula>
    </cfRule>
  </conditionalFormatting>
  <conditionalFormatting sqref="Z4">
    <cfRule type="expression" dxfId="1" priority="2">
      <formula>Y4+Z4+AA4=1</formula>
    </cfRule>
  </conditionalFormatting>
  <conditionalFormatting sqref="AA4">
    <cfRule type="expression" dxfId="0" priority="1">
      <formula>Y4+Z4+AA4=1</formula>
    </cfRule>
  </conditionalFormatting>
  <dataValidations count="1">
    <dataValidation type="list" allowBlank="1" showInputMessage="1" showErrorMessage="1" sqref="U4:U351" xr:uid="{00000000-0002-0000-0100-000000000000}">
      <formula1>$AX$3:$AX$9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2026-07-24T04:18:51Z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