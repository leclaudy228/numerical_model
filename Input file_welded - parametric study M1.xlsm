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DED5F02C-8C9A-4B67-A731-166204105413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" i="1" l="1"/>
  <c r="AM4" i="1"/>
  <c r="AK98" i="1"/>
  <c r="AK99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52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<sst xmlns="http://schemas.openxmlformats.org/spreadsheetml/2006/main" count="370" uniqueCount="187">
  <si>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</si>
  <si>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</si>
  <si>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</si>
  <si>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</si>
  <si>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</si>
  <si>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</si>
  <si>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</si>
  <si>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</si>
  <si>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</si>
  <si>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</si>
  <si>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</si>
  <si>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</si>
  <si>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</si>
  <si>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</si>
  <si>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</si>
  <si>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</si>
  <si>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</si>
  <si>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</si>
  <si>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</si>
  <si>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</si>
  <si>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</si>
  <si>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</si>
  <si>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</si>
  <si>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</si>
  <si>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</si>
  <si>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</si>
  <si>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</si>
  <si>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</si>
  <si>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</si>
  <si>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</si>
  <si>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</si>
  <si>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</si>
  <si>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</si>
  <si>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</si>
  <si>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</si>
  <si>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</si>
  <si>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</si>
  <si>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</si>
  <si>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</si>
  <si>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</si>
  <si>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</si>
  <si>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</si>
  <si>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</si>
  <si>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</si>
  <si>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</si>
  <si>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</si>
  <si>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</si>
  <si>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</si>
  <si>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</si>
  <si>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</si>
  <si>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</si>
  <si>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</si>
  <si>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</si>
  <si>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</si>
  <si>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</si>
  <si>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</si>
  <si>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</si>
  <si>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</si>
  <si>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</si>
  <si>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</si>
  <si>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</si>
  <si>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</si>
  <si>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</si>
  <si>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</si>
  <si>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</si>
  <si>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</si>
  <si>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</si>
  <si>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</si>
  <si>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</si>
  <si>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</si>
  <si>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</si>
  <si>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</si>
  <si>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</si>
  <si>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</si>
  <si>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</si>
  <si>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</si>
  <si>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</si>
  <si>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Initial load</t>
  </si>
  <si>
    <t>Yang Lu</t>
  </si>
  <si>
    <t>Behavior and design of Q1100 ultra-high strength steel welded I-section beam-columns</t>
  </si>
  <si>
    <t>validation 2</t>
  </si>
  <si>
    <t>validation 3</t>
  </si>
  <si>
    <t>Validation_Q235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</si>
  <si>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</si>
  <si>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</si>
  <si>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</si>
  <si>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</si>
  <si>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</si>
  <si>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</si>
  <si>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</si>
  <si>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</si>
  <si>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</si>
  <si>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</si>
  <si>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</si>
  <si>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</si>
  <si>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</si>
  <si>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</si>
  <si>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</si>
  <si>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</si>
  <si>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</si>
  <si>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</si>
  <si>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</si>
  <si>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</si>
  <si>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</si>
  <si>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</si>
  <si>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</si>
  <si>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</si>
  <si>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</si>
  <si>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</si>
  <si>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</si>
  <si>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</si>
  <si>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</si>
  <si>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</si>
  <si>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</si>
  <si>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</si>
  <si>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</si>
  <si>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</si>
  <si>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</si>
  <si>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</si>
  <si>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</si>
  <si>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</si>
  <si>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</si>
  <si>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</si>
  <si>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</si>
  <si>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</si>
  <si>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</si>
  <si>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</si>
  <si>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</si>
  <si>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</si>
  <si>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</si>
  <si>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</si>
  <si>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</si>
  <si>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</si>
  <si>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</si>
  <si>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</si>
  <si>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</si>
  <si>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</si>
  <si>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</si>
  <si>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</si>
  <si>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</si>
  <si>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</si>
  <si>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</si>
  <si>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</si>
  <si>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</si>
  <si>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</si>
  <si>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</si>
  <si>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</si>
  <si>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</si>
  <si>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</si>
  <si>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</si>
  <si>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</si>
  <si>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</si>
  <si>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</si>
  <si>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</si>
  <si>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</si>
  <si>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</si>
  <si>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</si>
  <si>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</si>
  <si>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</si>
  <si>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</si>
  <si>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</si>
  <si>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</si>
  <si>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</si>
  <si>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</si>
  <si>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</si>
  <si>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</si>
  <si>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</si>
  <si>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</si>
  <si>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</si>
  <si>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</si>
  <si>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</si>
  <si>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</si>
  <si>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</si>
  <si>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</si>
  <si>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</si>
  <si>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</si>
  <si>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</si>
  <si>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</si>
  <si>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</si>
  <si>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Ultimate strength (Eurocode)</t>
  </si>
  <si>
    <t>khi</t>
  </si>
  <si>
    <t>S_1</t>
  </si>
  <si>
    <t>Wg (Lcr/1000)</t>
  </si>
  <si>
    <t>w0(b/200)</t>
  </si>
  <si>
    <t>ecc</t>
  </si>
  <si>
    <t>Parametric_study_CS_690</t>
  </si>
  <si>
    <t>Parametric_study_690_beam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</si>
</sst>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295275</xdr:colOff>
          <xdr:row>1</xdr:row>
          <xdr:rowOff>371475</xdr:rowOff>
        </xdr:from>
        <xdr:to>
          <xdr:col>47</xdr:col>
          <xdr:colOff>247650</xdr:colOff>
          <xdr:row>1</xdr:row>
          <xdr:rowOff>1047750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F19" sqref="F19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22.570312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9" t="s">
        <v>36</v>
      </c>
      <c r="B1" s="120"/>
      <c r="C1" s="121"/>
    </row>
    <row r="2" spans="1:16" x14ac:dyDescent="0.25">
      <c r="A2" s="7"/>
      <c r="B2" s="6"/>
      <c r="C2" s="8"/>
      <c r="H2" s="5" t="s">
        <v>185</v>
      </c>
      <c r="J2" s="5"/>
    </row>
    <row r="3" spans="1:16" x14ac:dyDescent="0.25">
      <c r="A3" s="9" t="s">
        <v>29</v>
      </c>
      <c r="B3" s="5" t="s">
        <v>186</v>
      </c>
      <c r="C3" s="8"/>
      <c r="E3" s="5"/>
    </row>
    <row r="4" spans="1:16" x14ac:dyDescent="0.25">
      <c r="A4" s="9" t="s">
        <v>34</v>
      </c>
      <c r="B4" s="5" t="s">
        <v>181</v>
      </c>
      <c r="C4" s="8"/>
    </row>
    <row r="5" spans="1:16" x14ac:dyDescent="0.25">
      <c r="A5" s="9"/>
      <c r="B5" s="6"/>
      <c r="C5" s="8"/>
    </row>
    <row r="6" spans="1:16" ht="18.75" x14ac:dyDescent="0.3">
      <c r="A6" s="122" t="s">
        <v>37</v>
      </c>
      <c r="B6" s="123"/>
      <c r="C6" s="124"/>
    </row>
    <row r="7" spans="1:16" x14ac:dyDescent="0.25">
      <c r="A7" s="7"/>
      <c r="B7" s="6"/>
      <c r="C7" s="8"/>
      <c r="J7" t="s">
        <v>80</v>
      </c>
      <c r="L7" t="s">
        <v>81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82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22" t="s">
        <v>38</v>
      </c>
      <c r="B14" s="123"/>
      <c r="C14" s="12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10</v>
      </c>
      <c r="C16" s="8"/>
      <c r="E16">
        <v>25</v>
      </c>
    </row>
    <row r="17" spans="1:5" x14ac:dyDescent="0.25">
      <c r="A17" s="9" t="s">
        <v>40</v>
      </c>
      <c r="B17" s="3">
        <v>10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T1" zoomScale="80" zoomScaleNormal="80" workbookViewId="0">
      <pane ySplit="2" topLeftCell="A3" activePane="bottomLeft" state="frozen"/>
      <selection pane="bottomLeft" activeCell="AB5" sqref="AB5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0" width="9.5703125" customWidth="1"/>
    <col min="41" max="41" width="12" bestFit="1" customWidth="1"/>
    <col min="42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0" t="s">
        <v>26</v>
      </c>
      <c r="D1" s="111"/>
      <c r="E1" s="111"/>
      <c r="F1" s="111"/>
      <c r="G1" s="111"/>
      <c r="H1" s="111"/>
      <c r="I1" s="111"/>
      <c r="J1" s="111"/>
      <c r="K1" s="112"/>
      <c r="L1" s="109" t="s">
        <v>25</v>
      </c>
      <c r="M1" s="109"/>
      <c r="N1" s="109"/>
      <c r="O1" s="109"/>
      <c r="P1" s="109"/>
      <c r="Q1" s="109"/>
      <c r="R1" s="109"/>
      <c r="S1" s="109"/>
      <c r="T1" s="36" t="s">
        <v>27</v>
      </c>
      <c r="U1" s="110" t="s">
        <v>17</v>
      </c>
      <c r="V1" s="111"/>
      <c r="W1" s="111"/>
      <c r="X1" s="111"/>
      <c r="Y1" s="111"/>
      <c r="Z1" s="111"/>
      <c r="AA1" s="111"/>
      <c r="AB1" s="111"/>
      <c r="AC1" s="111"/>
      <c r="AD1" s="112"/>
      <c r="AE1" s="113" t="s">
        <v>43</v>
      </c>
      <c r="AF1" s="114"/>
      <c r="AG1" s="115"/>
      <c r="AH1" s="116" t="s">
        <v>179</v>
      </c>
      <c r="AI1" s="117"/>
      <c r="AJ1" s="118"/>
      <c r="AK1" s="55"/>
      <c r="AL1" s="55"/>
      <c r="AM1" s="55"/>
      <c r="AN1" s="55"/>
      <c r="AO1" s="55"/>
      <c r="AP1" s="55"/>
    </row>
    <row r="2" spans="1:58" ht="121.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77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182</v>
      </c>
      <c r="AL2" s="56" t="s">
        <v>183</v>
      </c>
      <c r="AM2" s="56" t="s">
        <v>184</v>
      </c>
      <c r="AN2" s="56" t="s">
        <v>180</v>
      </c>
      <c r="AO2" s="56" t="s">
        <v>77</v>
      </c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O3" s="4" t="s">
        <v>50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83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35</v>
      </c>
      <c r="I4" s="96">
        <v>0</v>
      </c>
      <c r="J4" s="96">
        <v>0</v>
      </c>
      <c r="K4" s="96">
        <v>2241.4388718652904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3352.2137409158395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11732.748093205439</v>
      </c>
      <c r="AI4" s="104">
        <v>0</v>
      </c>
      <c r="AJ4" s="105">
        <v>0</v>
      </c>
      <c r="AK4" s="106">
        <f>K4/1000</f>
        <v>2.2414388718652902</v>
      </c>
      <c r="AL4" s="102">
        <f>C4/200</f>
        <v>0.9</v>
      </c>
      <c r="AM4" s="102">
        <f>(E4-2*F4)/200</f>
        <v>1.865</v>
      </c>
      <c r="AN4" s="102">
        <v>0.94914779479631584</v>
      </c>
      <c r="AO4" s="60">
        <v>3352.2137409158395</v>
      </c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84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35</v>
      </c>
      <c r="I5" s="19">
        <v>0</v>
      </c>
      <c r="J5" s="19">
        <v>0</v>
      </c>
      <c r="K5" s="19">
        <v>3735.7314531088173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2977.2877634066431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10420.507171923251</v>
      </c>
      <c r="AI5" s="29">
        <v>0</v>
      </c>
      <c r="AJ5" s="30">
        <v>0</v>
      </c>
      <c r="AK5" s="57">
        <f t="shared" ref="AK5:AK68" si="5">K5/1000</f>
        <v>3.7357314531088175</v>
      </c>
      <c r="AL5" s="57">
        <f t="shared" ref="AL5:AL68" si="6">C5/200</f>
        <v>0.9</v>
      </c>
      <c r="AM5" s="57">
        <f>(C5/2 - H5/2)/200</f>
        <v>0.36249999999999999</v>
      </c>
      <c r="AN5" s="57">
        <v>0.84299103026152089</v>
      </c>
      <c r="AO5" s="57">
        <v>2977.2877634066431</v>
      </c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85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35</v>
      </c>
      <c r="I6" s="19">
        <v>0</v>
      </c>
      <c r="J6" s="19">
        <v>0</v>
      </c>
      <c r="K6" s="19">
        <v>5603.5971796632257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2449.4408598592272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8573.0430095072952</v>
      </c>
      <c r="AI6" s="29">
        <v>0</v>
      </c>
      <c r="AJ6" s="30">
        <v>0</v>
      </c>
      <c r="AK6" s="57">
        <f t="shared" si="5"/>
        <v>5.6035971796632253</v>
      </c>
      <c r="AL6" s="57">
        <f t="shared" si="6"/>
        <v>0.9</v>
      </c>
      <c r="AM6" s="60"/>
      <c r="AN6" s="57">
        <v>0.69353614366612826</v>
      </c>
      <c r="AO6" s="57">
        <v>2449.4408598592272</v>
      </c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86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35</v>
      </c>
      <c r="I7" s="19">
        <v>0</v>
      </c>
      <c r="J7" s="19">
        <v>0</v>
      </c>
      <c r="K7" s="19">
        <v>7471.4629062176346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1906.9643697638344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6674.3752941734201</v>
      </c>
      <c r="AI7" s="29">
        <v>0</v>
      </c>
      <c r="AJ7" s="30">
        <v>0</v>
      </c>
      <c r="AK7" s="57">
        <f t="shared" si="5"/>
        <v>7.471462906217635</v>
      </c>
      <c r="AL7" s="57">
        <f t="shared" si="6"/>
        <v>0.9</v>
      </c>
      <c r="AM7" s="60"/>
      <c r="AN7" s="57">
        <v>0.53993902722384046</v>
      </c>
      <c r="AO7" s="57">
        <v>1906.9643697638344</v>
      </c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87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35</v>
      </c>
      <c r="I8" s="19">
        <v>0</v>
      </c>
      <c r="J8" s="19">
        <v>0</v>
      </c>
      <c r="K8" s="19">
        <v>9937.0456652694556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1329.3495916043835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4652.7235706153424</v>
      </c>
      <c r="AI8" s="29">
        <v>0</v>
      </c>
      <c r="AJ8" s="30">
        <v>0</v>
      </c>
      <c r="AK8" s="57">
        <f t="shared" si="5"/>
        <v>9.937045665269455</v>
      </c>
      <c r="AL8" s="57">
        <f t="shared" si="6"/>
        <v>0.9</v>
      </c>
      <c r="AM8" s="60"/>
      <c r="AN8" s="57">
        <v>0.37639283497476755</v>
      </c>
      <c r="AO8" s="57">
        <v>1329.3495916043835</v>
      </c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88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35</v>
      </c>
      <c r="I9" s="19">
        <v>0</v>
      </c>
      <c r="J9" s="19">
        <v>0</v>
      </c>
      <c r="K9" s="19">
        <v>12477.343053383449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936.99432721264657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3279.480145244263</v>
      </c>
      <c r="AI9" s="29">
        <v>0</v>
      </c>
      <c r="AJ9" s="30">
        <v>0</v>
      </c>
      <c r="AK9" s="57">
        <f t="shared" si="5"/>
        <v>12.477343053383448</v>
      </c>
      <c r="AL9" s="57">
        <f t="shared" si="6"/>
        <v>0.9</v>
      </c>
      <c r="AM9" s="60"/>
      <c r="AN9" s="57">
        <v>0.26530113177316905</v>
      </c>
      <c r="AO9" s="57">
        <v>936.99432721264657</v>
      </c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89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35</v>
      </c>
      <c r="I10" s="19">
        <v>0</v>
      </c>
      <c r="J10" s="19">
        <v>0</v>
      </c>
      <c r="K10" s="19">
        <v>14942.925812435269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692.88411025289736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2425.0943858851406</v>
      </c>
      <c r="AI10" s="29">
        <v>0</v>
      </c>
      <c r="AJ10" s="30">
        <v>0</v>
      </c>
      <c r="AK10" s="57">
        <f t="shared" si="5"/>
        <v>14.94292581243527</v>
      </c>
      <c r="AL10" s="57">
        <f t="shared" si="6"/>
        <v>0.9</v>
      </c>
      <c r="AM10" s="60"/>
      <c r="AN10" s="57">
        <v>0.19618361957918354</v>
      </c>
      <c r="AO10" s="57">
        <v>692.88411025289736</v>
      </c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90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35</v>
      </c>
      <c r="I11" s="19">
        <v>0</v>
      </c>
      <c r="J11" s="19">
        <v>0</v>
      </c>
      <c r="K11" s="19">
        <v>18678.657265544087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467.84666439012597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1637.4633253654408</v>
      </c>
      <c r="AI11" s="29">
        <v>0</v>
      </c>
      <c r="AJ11" s="30">
        <v>0</v>
      </c>
      <c r="AK11" s="57">
        <f t="shared" si="5"/>
        <v>18.678657265544086</v>
      </c>
      <c r="AL11" s="57">
        <f t="shared" si="6"/>
        <v>0.9</v>
      </c>
      <c r="AM11" s="60"/>
      <c r="AN11" s="57">
        <v>0.13246638315114781</v>
      </c>
      <c r="AO11" s="57">
        <v>467.84666439012597</v>
      </c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91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24</v>
      </c>
      <c r="I12" s="19">
        <v>0</v>
      </c>
      <c r="J12" s="19">
        <v>0</v>
      </c>
      <c r="K12" s="19">
        <v>2363.3450856135196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2584.4697845118376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9045.6442457914309</v>
      </c>
      <c r="AI12" s="29">
        <v>0</v>
      </c>
      <c r="AJ12" s="30">
        <v>0</v>
      </c>
      <c r="AK12" s="57">
        <f t="shared" si="5"/>
        <v>2.3633450856135196</v>
      </c>
      <c r="AL12" s="57">
        <f t="shared" si="6"/>
        <v>0.9</v>
      </c>
      <c r="AM12" s="60"/>
      <c r="AN12" s="57">
        <v>0.94914779479631572</v>
      </c>
      <c r="AO12" s="57">
        <v>2584.4697845118376</v>
      </c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92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24</v>
      </c>
      <c r="I13" s="19">
        <v>0</v>
      </c>
      <c r="J13" s="19">
        <v>0</v>
      </c>
      <c r="K13" s="19">
        <v>3938.9084760225323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2295.4115873945052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8033.9405558807684</v>
      </c>
      <c r="AI13" s="29">
        <v>0</v>
      </c>
      <c r="AJ13" s="30">
        <v>0</v>
      </c>
      <c r="AK13" s="57">
        <f t="shared" si="5"/>
        <v>3.9389084760225321</v>
      </c>
      <c r="AL13" s="57">
        <f t="shared" si="6"/>
        <v>0.9</v>
      </c>
      <c r="AM13" s="60"/>
      <c r="AN13" s="57">
        <v>0.842991030261521</v>
      </c>
      <c r="AO13" s="57">
        <v>2295.4115873945052</v>
      </c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93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24</v>
      </c>
      <c r="I14" s="19">
        <v>0</v>
      </c>
      <c r="J14" s="19">
        <v>0</v>
      </c>
      <c r="K14" s="19">
        <v>5908.3627140337985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1888.455325502408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6609.5936392584281</v>
      </c>
      <c r="AI14" s="29">
        <v>0</v>
      </c>
      <c r="AJ14" s="30">
        <v>0</v>
      </c>
      <c r="AK14" s="57">
        <f t="shared" si="5"/>
        <v>5.9083627140337986</v>
      </c>
      <c r="AL14" s="57">
        <f t="shared" si="6"/>
        <v>0.9</v>
      </c>
      <c r="AM14" s="60"/>
      <c r="AN14" s="57">
        <v>0.69353614366612826</v>
      </c>
      <c r="AO14" s="57">
        <v>1888.455325502408</v>
      </c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94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24</v>
      </c>
      <c r="I15" s="19">
        <v>0</v>
      </c>
      <c r="J15" s="19">
        <v>0</v>
      </c>
      <c r="K15" s="19">
        <v>7877.8169520450647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1470.2200321059497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5145.7701123708239</v>
      </c>
      <c r="AI15" s="29">
        <v>0</v>
      </c>
      <c r="AJ15" s="30">
        <v>0</v>
      </c>
      <c r="AK15" s="57">
        <f t="shared" si="5"/>
        <v>7.8778169520450643</v>
      </c>
      <c r="AL15" s="57">
        <f t="shared" si="6"/>
        <v>0.9</v>
      </c>
      <c r="AM15" s="60"/>
      <c r="AN15" s="57">
        <v>0.53993902722384057</v>
      </c>
      <c r="AO15" s="57">
        <v>1470.2200321059497</v>
      </c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95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24</v>
      </c>
      <c r="I16" s="19">
        <v>0</v>
      </c>
      <c r="J16" s="19">
        <v>0</v>
      </c>
      <c r="K16" s="19">
        <v>10477.496546219936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1024.8940306580939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3587.129107303329</v>
      </c>
      <c r="AI16" s="29">
        <v>0</v>
      </c>
      <c r="AJ16" s="30">
        <v>0</v>
      </c>
      <c r="AK16" s="57">
        <f t="shared" si="5"/>
        <v>10.477496546219935</v>
      </c>
      <c r="AL16" s="57">
        <f t="shared" si="6"/>
        <v>0.9</v>
      </c>
      <c r="AM16" s="60"/>
      <c r="AN16" s="57">
        <v>0.37639283497476766</v>
      </c>
      <c r="AO16" s="57">
        <v>1024.8940306580939</v>
      </c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96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24</v>
      </c>
      <c r="I17" s="19">
        <v>0</v>
      </c>
      <c r="J17" s="19">
        <v>0</v>
      </c>
      <c r="K17" s="19">
        <v>13155.954309915256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722.39830574719929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2528.3940701151973</v>
      </c>
      <c r="AI17" s="29">
        <v>0</v>
      </c>
      <c r="AJ17" s="30">
        <v>0</v>
      </c>
      <c r="AK17" s="57">
        <f t="shared" si="5"/>
        <v>13.155954309915256</v>
      </c>
      <c r="AL17" s="57">
        <f t="shared" si="6"/>
        <v>0.9</v>
      </c>
      <c r="AM17" s="60"/>
      <c r="AN17" s="57">
        <v>0.26530113177316905</v>
      </c>
      <c r="AO17" s="57">
        <v>722.39830574719929</v>
      </c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97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24</v>
      </c>
      <c r="I18" s="19">
        <v>0</v>
      </c>
      <c r="J18" s="19">
        <v>0</v>
      </c>
      <c r="K18" s="19">
        <v>15755.633904090129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534.19566457231497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1869.6848260031022</v>
      </c>
      <c r="AI18" s="29">
        <v>0</v>
      </c>
      <c r="AJ18" s="30">
        <v>0</v>
      </c>
      <c r="AK18" s="57">
        <f t="shared" si="5"/>
        <v>15.755633904090129</v>
      </c>
      <c r="AL18" s="57">
        <f t="shared" si="6"/>
        <v>0.9</v>
      </c>
      <c r="AM18" s="60"/>
      <c r="AN18" s="57">
        <v>0.19618361957918362</v>
      </c>
      <c r="AO18" s="57">
        <v>534.19566457231497</v>
      </c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98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24</v>
      </c>
      <c r="I19" s="19">
        <v>0</v>
      </c>
      <c r="J19" s="19">
        <v>0</v>
      </c>
      <c r="K19" s="19">
        <v>19694.54238011266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360.69763486220603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1262.4417220177211</v>
      </c>
      <c r="AI19" s="29">
        <v>0</v>
      </c>
      <c r="AJ19" s="30">
        <v>0</v>
      </c>
      <c r="AK19" s="57">
        <f t="shared" si="5"/>
        <v>19.694542380112662</v>
      </c>
      <c r="AL19" s="57">
        <f t="shared" si="6"/>
        <v>0.9</v>
      </c>
      <c r="AM19" s="60"/>
      <c r="AN19" s="57">
        <v>0.13246638315114781</v>
      </c>
      <c r="AO19" s="57">
        <v>360.69763486220603</v>
      </c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99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19.3</v>
      </c>
      <c r="I20" s="19">
        <v>0</v>
      </c>
      <c r="J20" s="19">
        <v>0</v>
      </c>
      <c r="K20" s="19">
        <v>2437.5659041345953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2256.4337304119463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7897.5180564418115</v>
      </c>
      <c r="AI20" s="29">
        <v>0</v>
      </c>
      <c r="AJ20" s="30">
        <v>0</v>
      </c>
      <c r="AK20" s="57">
        <f t="shared" si="5"/>
        <v>2.4375659041345954</v>
      </c>
      <c r="AL20" s="57">
        <f t="shared" si="6"/>
        <v>0.9</v>
      </c>
      <c r="AM20" s="60"/>
      <c r="AN20" s="57">
        <v>0.94914779479631584</v>
      </c>
      <c r="AO20" s="57">
        <v>2256.4337304119463</v>
      </c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100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19.3</v>
      </c>
      <c r="I21" s="19">
        <v>0</v>
      </c>
      <c r="J21" s="19">
        <v>0</v>
      </c>
      <c r="K21" s="19">
        <v>4062.6098402243256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2004.0644940075003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7014.2257290262514</v>
      </c>
      <c r="AI21" s="29">
        <v>0</v>
      </c>
      <c r="AJ21" s="30">
        <v>0</v>
      </c>
      <c r="AK21" s="57">
        <f t="shared" si="5"/>
        <v>4.0626098402243258</v>
      </c>
      <c r="AL21" s="57">
        <f t="shared" si="6"/>
        <v>0.9</v>
      </c>
      <c r="AM21" s="60"/>
      <c r="AN21" s="57">
        <v>0.84299103026152089</v>
      </c>
      <c r="AO21" s="57">
        <v>2004.0644940075003</v>
      </c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101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19.3</v>
      </c>
      <c r="I22" s="19">
        <v>0</v>
      </c>
      <c r="J22" s="19">
        <v>0</v>
      </c>
      <c r="K22" s="19">
        <v>6093.9147603364881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1648.7615062772218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5770.6652719702761</v>
      </c>
      <c r="AI22" s="29">
        <v>0</v>
      </c>
      <c r="AJ22" s="30">
        <v>0</v>
      </c>
      <c r="AK22" s="57">
        <f t="shared" si="5"/>
        <v>6.0939147603364878</v>
      </c>
      <c r="AL22" s="57">
        <f t="shared" si="6"/>
        <v>0.9</v>
      </c>
      <c r="AM22" s="60"/>
      <c r="AN22" s="57">
        <v>0.69353614366612815</v>
      </c>
      <c r="AO22" s="57">
        <v>1648.7615062772218</v>
      </c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102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19.3</v>
      </c>
      <c r="I23" s="19">
        <v>0</v>
      </c>
      <c r="J23" s="19">
        <v>0</v>
      </c>
      <c r="K23" s="19">
        <v>8125.2196804486512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1283.6110878339437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4492.6388074188026</v>
      </c>
      <c r="AI23" s="29">
        <v>0</v>
      </c>
      <c r="AJ23" s="30">
        <v>0</v>
      </c>
      <c r="AK23" s="57">
        <f t="shared" si="5"/>
        <v>8.1252196804486516</v>
      </c>
      <c r="AL23" s="57">
        <f t="shared" si="6"/>
        <v>0.9</v>
      </c>
      <c r="AM23" s="60"/>
      <c r="AN23" s="57">
        <v>0.53993902722384046</v>
      </c>
      <c r="AO23" s="57">
        <v>1283.6110878339437</v>
      </c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103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19.3</v>
      </c>
      <c r="I24" s="19">
        <v>0</v>
      </c>
      <c r="J24" s="19">
        <v>0</v>
      </c>
      <c r="K24" s="19">
        <v>10806.542174996706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894.80847279922455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3131.8296547972859</v>
      </c>
      <c r="AI24" s="29">
        <v>0</v>
      </c>
      <c r="AJ24" s="30">
        <v>0</v>
      </c>
      <c r="AK24" s="57">
        <f t="shared" si="5"/>
        <v>10.806542174996705</v>
      </c>
      <c r="AL24" s="57">
        <f t="shared" si="6"/>
        <v>0.9</v>
      </c>
      <c r="AM24" s="60"/>
      <c r="AN24" s="57">
        <v>0.37639283497476766</v>
      </c>
      <c r="AO24" s="57">
        <v>894.80847279922455</v>
      </c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104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19.3</v>
      </c>
      <c r="I25" s="19">
        <v>0</v>
      </c>
      <c r="J25" s="19">
        <v>0</v>
      </c>
      <c r="K25" s="19">
        <v>13569.116866349246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630.70727839378071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2207.4754743782323</v>
      </c>
      <c r="AI25" s="29">
        <v>0</v>
      </c>
      <c r="AJ25" s="30">
        <v>0</v>
      </c>
      <c r="AK25" s="57">
        <f t="shared" si="5"/>
        <v>13.569116866349246</v>
      </c>
      <c r="AL25" s="57">
        <f t="shared" si="6"/>
        <v>0.9</v>
      </c>
      <c r="AM25" s="60"/>
      <c r="AN25" s="57">
        <v>0.265301131773169</v>
      </c>
      <c r="AO25" s="57">
        <v>630.70727839378071</v>
      </c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105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19.3</v>
      </c>
      <c r="I26" s="19">
        <v>0</v>
      </c>
      <c r="J26" s="19">
        <v>0</v>
      </c>
      <c r="K26" s="19">
        <v>16250.439360897302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466.39241959970201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1632.3734685989571</v>
      </c>
      <c r="AI26" s="29">
        <v>0</v>
      </c>
      <c r="AJ26" s="30">
        <v>0</v>
      </c>
      <c r="AK26" s="57">
        <f t="shared" si="5"/>
        <v>16.250439360897303</v>
      </c>
      <c r="AL26" s="57">
        <f t="shared" si="6"/>
        <v>0.9</v>
      </c>
      <c r="AM26" s="60"/>
      <c r="AN26" s="57">
        <v>0.19618361957918354</v>
      </c>
      <c r="AO26" s="57">
        <v>466.39241959970201</v>
      </c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106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19.3</v>
      </c>
      <c r="I27" s="19">
        <v>0</v>
      </c>
      <c r="J27" s="19">
        <v>0</v>
      </c>
      <c r="K27" s="19">
        <v>20313.049201121627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314.91577679118564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1102.2052187691497</v>
      </c>
      <c r="AI27" s="29">
        <v>0</v>
      </c>
      <c r="AJ27" s="30">
        <v>0</v>
      </c>
      <c r="AK27" s="57">
        <f t="shared" si="5"/>
        <v>20.313049201121625</v>
      </c>
      <c r="AL27" s="57">
        <f t="shared" si="6"/>
        <v>0.9</v>
      </c>
      <c r="AM27" s="60"/>
      <c r="AN27" s="57">
        <v>0.13246638315114781</v>
      </c>
      <c r="AO27" s="57">
        <v>314.91577679118564</v>
      </c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107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13</v>
      </c>
      <c r="I28" s="19">
        <v>0</v>
      </c>
      <c r="J28" s="19">
        <v>0</v>
      </c>
      <c r="K28" s="19">
        <v>2573.1699491982658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1816.7258281078362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6358.5403983774268</v>
      </c>
      <c r="AI28" s="29">
        <v>0</v>
      </c>
      <c r="AJ28" s="30">
        <v>0</v>
      </c>
      <c r="AK28" s="57">
        <f t="shared" si="5"/>
        <v>2.5731699491982658</v>
      </c>
      <c r="AL28" s="57">
        <f t="shared" si="6"/>
        <v>0.9</v>
      </c>
      <c r="AM28" s="60"/>
      <c r="AN28" s="57">
        <v>0.94914779479631584</v>
      </c>
      <c r="AO28" s="57">
        <v>1816.7258281078362</v>
      </c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108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13</v>
      </c>
      <c r="I29" s="19">
        <v>0</v>
      </c>
      <c r="J29" s="19">
        <v>0</v>
      </c>
      <c r="K29" s="19">
        <v>4288.6165819971102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1613.5354113823669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5647.3739398382841</v>
      </c>
      <c r="AI29" s="29">
        <v>0</v>
      </c>
      <c r="AJ29" s="30">
        <v>0</v>
      </c>
      <c r="AK29" s="57">
        <f t="shared" si="5"/>
        <v>4.2886165819971103</v>
      </c>
      <c r="AL29" s="57">
        <f t="shared" si="6"/>
        <v>0.9</v>
      </c>
      <c r="AM29" s="60"/>
      <c r="AN29" s="57">
        <v>0.84299103026152089</v>
      </c>
      <c r="AO29" s="57">
        <v>1613.5354113823669</v>
      </c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109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13</v>
      </c>
      <c r="I30" s="19">
        <v>0</v>
      </c>
      <c r="J30" s="19">
        <v>0</v>
      </c>
      <c r="K30" s="19">
        <v>6432.9248729956653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1327.4697911455892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4646.1442690095619</v>
      </c>
      <c r="AI30" s="29">
        <v>0</v>
      </c>
      <c r="AJ30" s="30">
        <v>0</v>
      </c>
      <c r="AK30" s="57">
        <f t="shared" si="5"/>
        <v>6.432924872995665</v>
      </c>
      <c r="AL30" s="57">
        <f t="shared" si="6"/>
        <v>0.9</v>
      </c>
      <c r="AM30" s="60"/>
      <c r="AN30" s="57">
        <v>0.69353614366612815</v>
      </c>
      <c r="AO30" s="57">
        <v>1327.4697911455892</v>
      </c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110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13</v>
      </c>
      <c r="I31" s="19">
        <v>0</v>
      </c>
      <c r="J31" s="19">
        <v>0</v>
      </c>
      <c r="K31" s="19">
        <v>8577.2331639942204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1033.4756944480641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3617.1649305682245</v>
      </c>
      <c r="AI31" s="29">
        <v>0</v>
      </c>
      <c r="AJ31" s="30">
        <v>0</v>
      </c>
      <c r="AK31" s="57">
        <f t="shared" si="5"/>
        <v>8.5772331639942205</v>
      </c>
      <c r="AL31" s="57">
        <f t="shared" si="6"/>
        <v>0.9</v>
      </c>
      <c r="AM31" s="60"/>
      <c r="AN31" s="57">
        <v>0.53993902722384046</v>
      </c>
      <c r="AO31" s="57">
        <v>1033.4756944480641</v>
      </c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111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13</v>
      </c>
      <c r="I32" s="19">
        <v>0</v>
      </c>
      <c r="J32" s="19">
        <v>0</v>
      </c>
      <c r="K32" s="19">
        <v>11407.720108112313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720.4384697118038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2521.5346439913133</v>
      </c>
      <c r="AI32" s="29">
        <v>0</v>
      </c>
      <c r="AJ32" s="30">
        <v>0</v>
      </c>
      <c r="AK32" s="57">
        <f t="shared" si="5"/>
        <v>11.407720108112313</v>
      </c>
      <c r="AL32" s="57">
        <f t="shared" si="6"/>
        <v>0.9</v>
      </c>
      <c r="AM32" s="60"/>
      <c r="AN32" s="57">
        <v>0.37639283497476766</v>
      </c>
      <c r="AO32" s="57">
        <v>720.4384697118038</v>
      </c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112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13</v>
      </c>
      <c r="I33" s="19">
        <v>0</v>
      </c>
      <c r="J33" s="19">
        <v>0</v>
      </c>
      <c r="K33" s="19">
        <v>14323.979383870346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507.80228428175189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1777.3079949861317</v>
      </c>
      <c r="AI33" s="29">
        <v>0</v>
      </c>
      <c r="AJ33" s="30">
        <v>0</v>
      </c>
      <c r="AK33" s="57">
        <f t="shared" si="5"/>
        <v>14.323979383870347</v>
      </c>
      <c r="AL33" s="57">
        <f t="shared" si="6"/>
        <v>0.9</v>
      </c>
      <c r="AM33" s="60"/>
      <c r="AN33" s="57">
        <v>0.26530113177316905</v>
      </c>
      <c r="AO33" s="57">
        <v>507.80228428175189</v>
      </c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113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13</v>
      </c>
      <c r="I34" s="19">
        <v>0</v>
      </c>
      <c r="J34" s="19">
        <v>0</v>
      </c>
      <c r="K34" s="19">
        <v>17154.466327988441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375.50721889173207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1314.2752661210623</v>
      </c>
      <c r="AI34" s="29">
        <v>0</v>
      </c>
      <c r="AJ34" s="30">
        <v>0</v>
      </c>
      <c r="AK34" s="57">
        <f t="shared" si="5"/>
        <v>17.154466327988441</v>
      </c>
      <c r="AL34" s="57">
        <f t="shared" si="6"/>
        <v>0.9</v>
      </c>
      <c r="AM34" s="60"/>
      <c r="AN34" s="57">
        <v>0.19618361957918354</v>
      </c>
      <c r="AO34" s="57">
        <v>375.50721889173207</v>
      </c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114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13</v>
      </c>
      <c r="I35" s="19">
        <v>0</v>
      </c>
      <c r="J35" s="19">
        <v>0</v>
      </c>
      <c r="K35" s="19">
        <v>21443.082909985551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253.54860533428595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887.42011867000087</v>
      </c>
      <c r="AI35" s="29">
        <v>0</v>
      </c>
      <c r="AJ35" s="30">
        <v>0</v>
      </c>
      <c r="AK35" s="57">
        <f t="shared" si="5"/>
        <v>21.443082909985552</v>
      </c>
      <c r="AL35" s="57">
        <f t="shared" si="6"/>
        <v>0.9</v>
      </c>
      <c r="AM35" s="60"/>
      <c r="AN35" s="57">
        <v>0.13246638315114781</v>
      </c>
      <c r="AO35" s="57">
        <v>253.54860533428595</v>
      </c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115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8.5</v>
      </c>
      <c r="I36" s="19">
        <v>0</v>
      </c>
      <c r="J36" s="19">
        <v>0</v>
      </c>
      <c r="K36" s="19">
        <v>2711.0898895512887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1502.6487550334716</v>
      </c>
      <c r="AC36" s="29">
        <f t="shared" ref="AC36:AC68" si="7">Z36*AI36/3.5</f>
        <v>0</v>
      </c>
      <c r="AD36" s="29">
        <f t="shared" ref="AD36:AD68" si="8">AA36*AJ36/3.5</f>
        <v>0</v>
      </c>
      <c r="AE36" s="28">
        <v>20</v>
      </c>
      <c r="AF36" s="28">
        <v>690</v>
      </c>
      <c r="AG36" s="28">
        <v>210000</v>
      </c>
      <c r="AH36" s="29">
        <v>5259.2706426171508</v>
      </c>
      <c r="AI36" s="29">
        <v>0</v>
      </c>
      <c r="AJ36" s="30">
        <v>0</v>
      </c>
      <c r="AK36" s="57">
        <f t="shared" si="5"/>
        <v>2.7110898895512885</v>
      </c>
      <c r="AL36" s="57">
        <f t="shared" si="6"/>
        <v>0.9</v>
      </c>
      <c r="AM36" s="60"/>
      <c r="AN36" s="57">
        <v>0.94914779479631572</v>
      </c>
      <c r="AO36" s="57">
        <v>1502.6487550334716</v>
      </c>
      <c r="AP36" s="57"/>
      <c r="AU36" s="15"/>
      <c r="AV36" s="15"/>
      <c r="AW36" s="16"/>
      <c r="BB36" s="52" t="s">
        <v>78</v>
      </c>
      <c r="BC36" s="52" t="s">
        <v>79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116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8.5</v>
      </c>
      <c r="I37" s="19">
        <v>0</v>
      </c>
      <c r="J37" s="19">
        <v>0</v>
      </c>
      <c r="K37" s="19">
        <v>4518.483149252148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1334.5860666501285</v>
      </c>
      <c r="AC37" s="29">
        <f t="shared" si="7"/>
        <v>0</v>
      </c>
      <c r="AD37" s="29">
        <f t="shared" si="8"/>
        <v>0</v>
      </c>
      <c r="AE37" s="28">
        <v>20</v>
      </c>
      <c r="AF37" s="28">
        <v>690</v>
      </c>
      <c r="AG37" s="28">
        <v>210000</v>
      </c>
      <c r="AH37" s="29">
        <v>4671.0512332754497</v>
      </c>
      <c r="AI37" s="29">
        <v>0</v>
      </c>
      <c r="AJ37" s="30">
        <v>0</v>
      </c>
      <c r="AK37" s="57">
        <f t="shared" si="5"/>
        <v>4.5184831492521482</v>
      </c>
      <c r="AL37" s="57">
        <f t="shared" si="6"/>
        <v>0.9</v>
      </c>
      <c r="AM37" s="60"/>
      <c r="AN37" s="57">
        <v>0.842991030261521</v>
      </c>
      <c r="AO37" s="57">
        <v>1334.5860666501285</v>
      </c>
      <c r="AP37" s="57"/>
      <c r="AU37" s="15"/>
      <c r="AV37" s="15"/>
      <c r="AW37" s="16"/>
      <c r="BB37" t="s">
        <v>78</v>
      </c>
      <c r="BC37" t="s">
        <v>79</v>
      </c>
      <c r="BD37" s="2">
        <v>2026</v>
      </c>
    </row>
    <row r="38" spans="1:58" ht="21" x14ac:dyDescent="0.35">
      <c r="A38" s="28">
        <v>35</v>
      </c>
      <c r="B38" s="67" t="s">
        <v>117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8.5</v>
      </c>
      <c r="I38" s="19">
        <v>0</v>
      </c>
      <c r="J38" s="19">
        <v>0</v>
      </c>
      <c r="K38" s="19">
        <v>6777.7247238782211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1097.9757089087088</v>
      </c>
      <c r="AC38" s="29">
        <f t="shared" si="7"/>
        <v>0</v>
      </c>
      <c r="AD38" s="29">
        <f t="shared" si="8"/>
        <v>0</v>
      </c>
      <c r="AE38" s="28">
        <v>20</v>
      </c>
      <c r="AF38" s="28">
        <v>690</v>
      </c>
      <c r="AG38" s="28">
        <v>210000</v>
      </c>
      <c r="AH38" s="29">
        <v>3842.9149811804809</v>
      </c>
      <c r="AI38" s="29">
        <v>0</v>
      </c>
      <c r="AJ38" s="30">
        <v>0</v>
      </c>
      <c r="AK38" s="57">
        <f t="shared" si="5"/>
        <v>6.7777247238782214</v>
      </c>
      <c r="AL38" s="57">
        <f t="shared" si="6"/>
        <v>0.9</v>
      </c>
      <c r="AM38" s="60"/>
      <c r="AN38" s="57">
        <v>0.69353614366612815</v>
      </c>
      <c r="AO38" s="57">
        <v>1097.9757089087088</v>
      </c>
      <c r="AP38" s="57"/>
      <c r="AU38" s="15"/>
      <c r="AV38" s="15"/>
      <c r="AW38" s="16"/>
      <c r="BB38" t="s">
        <v>78</v>
      </c>
      <c r="BC38" t="s">
        <v>79</v>
      </c>
      <c r="BD38" s="2">
        <v>2026</v>
      </c>
    </row>
    <row r="39" spans="1:58" ht="21" x14ac:dyDescent="0.35">
      <c r="A39" s="28">
        <v>36</v>
      </c>
      <c r="B39" s="67" t="s">
        <v>118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8.5</v>
      </c>
      <c r="I39" s="19">
        <v>0</v>
      </c>
      <c r="J39" s="19">
        <v>0</v>
      </c>
      <c r="K39" s="19">
        <v>9036.966298504296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854.80755631529246</v>
      </c>
      <c r="AC39" s="29">
        <f t="shared" si="7"/>
        <v>0</v>
      </c>
      <c r="AD39" s="29">
        <f t="shared" si="8"/>
        <v>0</v>
      </c>
      <c r="AE39" s="28">
        <v>20</v>
      </c>
      <c r="AF39" s="28">
        <v>690</v>
      </c>
      <c r="AG39" s="28">
        <v>210000</v>
      </c>
      <c r="AH39" s="29">
        <v>2991.8264471035236</v>
      </c>
      <c r="AI39" s="29">
        <v>0</v>
      </c>
      <c r="AJ39" s="30">
        <v>0</v>
      </c>
      <c r="AK39" s="57">
        <f t="shared" si="5"/>
        <v>9.0369662985042964</v>
      </c>
      <c r="AL39" s="57">
        <f t="shared" si="6"/>
        <v>0.9</v>
      </c>
      <c r="AM39" s="60"/>
      <c r="AN39" s="57">
        <v>0.53993902722384024</v>
      </c>
      <c r="AO39" s="57">
        <v>854.80755631529246</v>
      </c>
      <c r="AP39" s="57"/>
      <c r="AU39" s="15"/>
      <c r="AV39" s="15"/>
      <c r="AW39" s="16"/>
      <c r="BB39" t="s">
        <v>78</v>
      </c>
      <c r="BC39" t="s">
        <v>79</v>
      </c>
      <c r="BD39" s="2">
        <v>2026</v>
      </c>
    </row>
    <row r="40" spans="1:58" ht="21" x14ac:dyDescent="0.35">
      <c r="A40" s="28">
        <v>37</v>
      </c>
      <c r="B40" s="67" t="s">
        <v>119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8.5</v>
      </c>
      <c r="I40" s="19">
        <v>0</v>
      </c>
      <c r="J40" s="19">
        <v>0</v>
      </c>
      <c r="K40" s="19">
        <v>12019.165177010713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595.88846750650339</v>
      </c>
      <c r="AC40" s="29">
        <f t="shared" si="7"/>
        <v>0</v>
      </c>
      <c r="AD40" s="29">
        <f t="shared" si="8"/>
        <v>0</v>
      </c>
      <c r="AE40" s="28">
        <v>20</v>
      </c>
      <c r="AF40" s="28">
        <v>690</v>
      </c>
      <c r="AG40" s="28">
        <v>210000</v>
      </c>
      <c r="AH40" s="29">
        <v>2085.6096362727617</v>
      </c>
      <c r="AI40" s="29">
        <v>0</v>
      </c>
      <c r="AJ40" s="30">
        <v>0</v>
      </c>
      <c r="AK40" s="57">
        <f t="shared" si="5"/>
        <v>12.019165177010713</v>
      </c>
      <c r="AL40" s="57">
        <f t="shared" si="6"/>
        <v>0.9</v>
      </c>
      <c r="AM40" s="60"/>
      <c r="AN40" s="57">
        <v>0.37639283497476766</v>
      </c>
      <c r="AO40" s="57">
        <v>595.88846750650339</v>
      </c>
      <c r="AP40" s="57"/>
      <c r="AU40" s="15"/>
      <c r="AV40" s="15"/>
      <c r="AW40" s="16"/>
      <c r="BB40" t="s">
        <v>78</v>
      </c>
      <c r="BC40" t="s">
        <v>79</v>
      </c>
      <c r="BD40" s="2">
        <v>2026</v>
      </c>
    </row>
    <row r="41" spans="1:58" s="62" customFormat="1" ht="21" x14ac:dyDescent="0.35">
      <c r="A41" s="28">
        <v>38</v>
      </c>
      <c r="B41" s="67" t="s">
        <v>120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8.5</v>
      </c>
      <c r="I41" s="19">
        <v>0</v>
      </c>
      <c r="J41" s="19">
        <v>0</v>
      </c>
      <c r="K41" s="19">
        <v>15091.733718502172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420.01300277315977</v>
      </c>
      <c r="AC41" s="29">
        <f t="shared" si="7"/>
        <v>0</v>
      </c>
      <c r="AD41" s="29">
        <f t="shared" si="8"/>
        <v>0</v>
      </c>
      <c r="AE41" s="28">
        <v>20</v>
      </c>
      <c r="AF41" s="28">
        <v>690</v>
      </c>
      <c r="AG41" s="28">
        <v>210000</v>
      </c>
      <c r="AH41" s="29">
        <v>1470.0455097060592</v>
      </c>
      <c r="AI41" s="29">
        <v>0</v>
      </c>
      <c r="AJ41" s="30">
        <v>0</v>
      </c>
      <c r="AK41" s="57">
        <f t="shared" si="5"/>
        <v>15.091733718502171</v>
      </c>
      <c r="AL41" s="57">
        <f t="shared" si="6"/>
        <v>0.9</v>
      </c>
      <c r="AM41" s="60"/>
      <c r="AN41" s="57">
        <v>0.265301131773169</v>
      </c>
      <c r="AO41" s="57">
        <v>420.01300277315977</v>
      </c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78</v>
      </c>
      <c r="BC41" t="s">
        <v>79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121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8.5</v>
      </c>
      <c r="I42" s="19">
        <v>0</v>
      </c>
      <c r="J42" s="19">
        <v>0</v>
      </c>
      <c r="K42" s="19">
        <v>18073.932597008592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310.58921838603902</v>
      </c>
      <c r="AC42" s="29">
        <f t="shared" si="7"/>
        <v>0</v>
      </c>
      <c r="AD42" s="29">
        <f t="shared" si="8"/>
        <v>0</v>
      </c>
      <c r="AE42" s="28">
        <v>20</v>
      </c>
      <c r="AF42" s="28">
        <v>690</v>
      </c>
      <c r="AG42" s="28">
        <v>210000</v>
      </c>
      <c r="AH42" s="29">
        <v>1087.0622643511365</v>
      </c>
      <c r="AI42" s="29">
        <v>0</v>
      </c>
      <c r="AJ42" s="30">
        <v>0</v>
      </c>
      <c r="AK42" s="57">
        <f t="shared" si="5"/>
        <v>18.073932597008593</v>
      </c>
      <c r="AL42" s="57">
        <f t="shared" si="6"/>
        <v>0.9</v>
      </c>
      <c r="AM42" s="60"/>
      <c r="AN42" s="57">
        <v>0.19618361957918345</v>
      </c>
      <c r="AO42" s="57">
        <v>310.58921838603902</v>
      </c>
      <c r="AP42" s="57"/>
      <c r="AU42" s="15"/>
      <c r="AV42" s="15"/>
      <c r="AW42" s="16"/>
    </row>
    <row r="43" spans="1:58" ht="21" x14ac:dyDescent="0.35">
      <c r="A43" s="28">
        <v>40</v>
      </c>
      <c r="B43" s="67" t="s">
        <v>122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8.5</v>
      </c>
      <c r="I43" s="19">
        <v>0</v>
      </c>
      <c r="J43" s="19">
        <v>0</v>
      </c>
      <c r="K43" s="19">
        <v>22592.415746260736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209.7149114365005</v>
      </c>
      <c r="AC43" s="29">
        <f t="shared" si="7"/>
        <v>0</v>
      </c>
      <c r="AD43" s="29">
        <f t="shared" si="8"/>
        <v>0</v>
      </c>
      <c r="AE43" s="28">
        <v>20</v>
      </c>
      <c r="AF43" s="28">
        <v>690</v>
      </c>
      <c r="AG43" s="28">
        <v>210000</v>
      </c>
      <c r="AH43" s="29">
        <v>734.00219002775179</v>
      </c>
      <c r="AI43" s="29">
        <v>0</v>
      </c>
      <c r="AJ43" s="30">
        <v>0</v>
      </c>
      <c r="AK43" s="57">
        <f t="shared" si="5"/>
        <v>22.592415746260738</v>
      </c>
      <c r="AL43" s="57">
        <f t="shared" si="6"/>
        <v>0.9</v>
      </c>
      <c r="AM43" s="60"/>
      <c r="AN43" s="57">
        <v>0.13246638315114781</v>
      </c>
      <c r="AO43" s="57">
        <v>209.7149114365005</v>
      </c>
      <c r="AP43" s="57"/>
      <c r="AU43" s="15"/>
      <c r="AV43" s="15"/>
      <c r="AW43" s="16"/>
    </row>
    <row r="44" spans="1:58" ht="21" x14ac:dyDescent="0.35">
      <c r="A44" s="28">
        <v>41</v>
      </c>
      <c r="B44" s="67" t="s">
        <v>123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6.1</v>
      </c>
      <c r="I44" s="19">
        <v>0</v>
      </c>
      <c r="J44" s="19">
        <v>0</v>
      </c>
      <c r="K44" s="19">
        <v>2806.939034774914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1335.1409827271443</v>
      </c>
      <c r="AC44" s="29">
        <f t="shared" si="7"/>
        <v>0</v>
      </c>
      <c r="AD44" s="29">
        <f t="shared" si="8"/>
        <v>0</v>
      </c>
      <c r="AE44" s="28">
        <v>20</v>
      </c>
      <c r="AF44" s="28">
        <v>690</v>
      </c>
      <c r="AG44" s="28">
        <v>210000</v>
      </c>
      <c r="AH44" s="29">
        <v>4672.9934395450055</v>
      </c>
      <c r="AI44" s="29">
        <v>0</v>
      </c>
      <c r="AJ44" s="30">
        <v>0</v>
      </c>
      <c r="AK44" s="57">
        <f t="shared" si="5"/>
        <v>2.8069390347749139</v>
      </c>
      <c r="AL44" s="57">
        <f t="shared" si="6"/>
        <v>0.9</v>
      </c>
      <c r="AM44" s="60"/>
      <c r="AN44" s="57">
        <v>0.94914779479631584</v>
      </c>
      <c r="AO44" s="57">
        <v>1335.1409827271443</v>
      </c>
      <c r="AP44" s="57"/>
      <c r="AU44" s="15"/>
      <c r="AV44" s="15"/>
      <c r="AW44" s="16"/>
    </row>
    <row r="45" spans="1:58" ht="21" x14ac:dyDescent="0.35">
      <c r="A45" s="28">
        <v>42</v>
      </c>
      <c r="B45" s="67" t="s">
        <v>124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6.1</v>
      </c>
      <c r="I45" s="19">
        <v>0</v>
      </c>
      <c r="J45" s="19">
        <v>0</v>
      </c>
      <c r="K45" s="19">
        <v>4678.2317246248567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1185.8130827929347</v>
      </c>
      <c r="AC45" s="29">
        <f t="shared" si="7"/>
        <v>0</v>
      </c>
      <c r="AD45" s="29">
        <f t="shared" si="8"/>
        <v>0</v>
      </c>
      <c r="AE45" s="28">
        <v>20</v>
      </c>
      <c r="AF45" s="28">
        <v>690</v>
      </c>
      <c r="AG45" s="28">
        <v>210000</v>
      </c>
      <c r="AH45" s="29">
        <v>4150.3457897752714</v>
      </c>
      <c r="AI45" s="29">
        <v>0</v>
      </c>
      <c r="AJ45" s="30">
        <v>0</v>
      </c>
      <c r="AK45" s="57">
        <f t="shared" si="5"/>
        <v>4.6782317246248564</v>
      </c>
      <c r="AL45" s="57">
        <f t="shared" si="6"/>
        <v>0.9</v>
      </c>
      <c r="AM45" s="60"/>
      <c r="AN45" s="57">
        <v>0.842991030261521</v>
      </c>
      <c r="AO45" s="57">
        <v>1185.8130827929347</v>
      </c>
      <c r="AP45" s="57"/>
      <c r="AU45" s="15"/>
      <c r="AV45" s="15"/>
      <c r="AW45" s="16"/>
    </row>
    <row r="46" spans="1:58" ht="21" x14ac:dyDescent="0.35">
      <c r="A46" s="28">
        <v>43</v>
      </c>
      <c r="B46" s="67" t="s">
        <v>125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6.1</v>
      </c>
      <c r="I46" s="19">
        <v>0</v>
      </c>
      <c r="J46" s="19">
        <v>0</v>
      </c>
      <c r="K46" s="19">
        <v>7017.3475869372851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975.57886504903956</v>
      </c>
      <c r="AC46" s="29">
        <f t="shared" si="7"/>
        <v>0</v>
      </c>
      <c r="AD46" s="29">
        <f t="shared" si="8"/>
        <v>0</v>
      </c>
      <c r="AE46" s="28">
        <v>20</v>
      </c>
      <c r="AF46" s="28">
        <v>690</v>
      </c>
      <c r="AG46" s="28">
        <v>210000</v>
      </c>
      <c r="AH46" s="29">
        <v>3414.5260276716385</v>
      </c>
      <c r="AI46" s="29">
        <v>0</v>
      </c>
      <c r="AJ46" s="30">
        <v>0</v>
      </c>
      <c r="AK46" s="57">
        <f t="shared" si="5"/>
        <v>7.0173475869372854</v>
      </c>
      <c r="AL46" s="57">
        <f t="shared" si="6"/>
        <v>0.9</v>
      </c>
      <c r="AM46" s="60"/>
      <c r="AN46" s="57">
        <v>0.69353614366612826</v>
      </c>
      <c r="AO46" s="57">
        <v>975.57886504903956</v>
      </c>
      <c r="AP46" s="57"/>
      <c r="AU46" s="15"/>
      <c r="AV46" s="15"/>
      <c r="AW46" s="16"/>
    </row>
    <row r="47" spans="1:58" ht="21" x14ac:dyDescent="0.35">
      <c r="A47" s="28">
        <v>44</v>
      </c>
      <c r="B47" s="67" t="s">
        <v>126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6.1</v>
      </c>
      <c r="I47" s="19">
        <v>0</v>
      </c>
      <c r="J47" s="19">
        <v>0</v>
      </c>
      <c r="K47" s="19">
        <v>9356.4634492497134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759.51788264448169</v>
      </c>
      <c r="AC47" s="29">
        <f t="shared" si="7"/>
        <v>0</v>
      </c>
      <c r="AD47" s="29">
        <f t="shared" si="8"/>
        <v>0</v>
      </c>
      <c r="AE47" s="28">
        <v>20</v>
      </c>
      <c r="AF47" s="28">
        <v>690</v>
      </c>
      <c r="AG47" s="28">
        <v>210000</v>
      </c>
      <c r="AH47" s="29">
        <v>2658.3125892556859</v>
      </c>
      <c r="AI47" s="29">
        <v>0</v>
      </c>
      <c r="AJ47" s="30">
        <v>0</v>
      </c>
      <c r="AK47" s="57">
        <f t="shared" si="5"/>
        <v>9.3564634492497127</v>
      </c>
      <c r="AL47" s="57">
        <f t="shared" si="6"/>
        <v>0.9</v>
      </c>
      <c r="AM47" s="60"/>
      <c r="AN47" s="57">
        <v>0.53993902722384057</v>
      </c>
      <c r="AO47" s="57">
        <v>759.51788264448169</v>
      </c>
      <c r="AP47" s="57"/>
      <c r="AU47" s="15"/>
      <c r="AV47" s="15"/>
      <c r="AW47" s="16"/>
    </row>
    <row r="48" spans="1:58" ht="21" x14ac:dyDescent="0.35">
      <c r="A48" s="28">
        <v>45</v>
      </c>
      <c r="B48" s="67" t="s">
        <v>127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6.1</v>
      </c>
      <c r="I48" s="19">
        <v>0</v>
      </c>
      <c r="J48" s="19">
        <v>0</v>
      </c>
      <c r="K48" s="61">
        <v>12444.096387502121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529.4617996636764</v>
      </c>
      <c r="AC48" s="29">
        <f t="shared" si="7"/>
        <v>0</v>
      </c>
      <c r="AD48" s="29">
        <f t="shared" si="8"/>
        <v>0</v>
      </c>
      <c r="AE48" s="28">
        <v>20</v>
      </c>
      <c r="AF48" s="28">
        <v>690</v>
      </c>
      <c r="AG48" s="28">
        <v>210000</v>
      </c>
      <c r="AH48" s="29">
        <v>1853.1162988228673</v>
      </c>
      <c r="AI48" s="29">
        <v>0</v>
      </c>
      <c r="AJ48" s="30">
        <v>0</v>
      </c>
      <c r="AK48" s="57">
        <f t="shared" si="5"/>
        <v>12.444096387502121</v>
      </c>
      <c r="AL48" s="57">
        <f t="shared" si="6"/>
        <v>0.9</v>
      </c>
      <c r="AM48" s="60"/>
      <c r="AN48" s="57">
        <v>0.37639283497476766</v>
      </c>
      <c r="AO48" s="57">
        <v>529.4617996636764</v>
      </c>
      <c r="AP48" s="57"/>
      <c r="AU48" s="15"/>
      <c r="AV48" s="15"/>
      <c r="AW48" s="16"/>
    </row>
    <row r="49" spans="1:56" ht="21" x14ac:dyDescent="0.35">
      <c r="A49" s="28">
        <v>46</v>
      </c>
      <c r="B49" s="67" t="s">
        <v>128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6.1</v>
      </c>
      <c r="I49" s="19">
        <v>0</v>
      </c>
      <c r="J49" s="19">
        <v>0</v>
      </c>
      <c r="K49" s="19">
        <v>15625.293960247021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373.19205263524412</v>
      </c>
      <c r="AC49" s="29">
        <f t="shared" si="7"/>
        <v>0</v>
      </c>
      <c r="AD49" s="29">
        <f t="shared" si="8"/>
        <v>0</v>
      </c>
      <c r="AE49" s="28">
        <v>20</v>
      </c>
      <c r="AF49" s="28">
        <v>690</v>
      </c>
      <c r="AG49" s="28">
        <v>210000</v>
      </c>
      <c r="AH49" s="29">
        <v>1306.1721842233544</v>
      </c>
      <c r="AI49" s="29">
        <v>0</v>
      </c>
      <c r="AJ49" s="30">
        <v>0</v>
      </c>
      <c r="AK49" s="57">
        <f t="shared" si="5"/>
        <v>15.625293960247021</v>
      </c>
      <c r="AL49" s="57">
        <f t="shared" si="6"/>
        <v>0.9</v>
      </c>
      <c r="AM49" s="60"/>
      <c r="AN49" s="57">
        <v>0.26530113177316905</v>
      </c>
      <c r="AO49" s="57">
        <v>373.19205263524412</v>
      </c>
      <c r="AP49" s="57"/>
      <c r="AU49" s="15"/>
      <c r="AV49" s="15"/>
      <c r="AW49" s="16"/>
    </row>
    <row r="50" spans="1:56" ht="21" x14ac:dyDescent="0.35">
      <c r="A50" s="81">
        <v>47</v>
      </c>
      <c r="B50" s="82" t="s">
        <v>129</v>
      </c>
      <c r="C50" s="81">
        <v>180</v>
      </c>
      <c r="D50" s="83">
        <v>180</v>
      </c>
      <c r="E50" s="81">
        <v>400</v>
      </c>
      <c r="F50" s="81">
        <v>13.5</v>
      </c>
      <c r="G50" s="83">
        <v>13.5</v>
      </c>
      <c r="H50" s="81">
        <v>6.1</v>
      </c>
      <c r="I50" s="83">
        <v>0</v>
      </c>
      <c r="J50" s="83">
        <v>0</v>
      </c>
      <c r="K50" s="83">
        <v>18712.926898499427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36">
        <v>3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275.96628478300306</v>
      </c>
      <c r="AC50" s="86">
        <f t="shared" si="7"/>
        <v>0</v>
      </c>
      <c r="AD50" s="86">
        <f t="shared" si="8"/>
        <v>0</v>
      </c>
      <c r="AE50" s="81">
        <v>20</v>
      </c>
      <c r="AF50" s="81">
        <v>690</v>
      </c>
      <c r="AG50" s="81">
        <v>210000</v>
      </c>
      <c r="AH50" s="86">
        <v>965.88199674051077</v>
      </c>
      <c r="AI50" s="86">
        <v>0</v>
      </c>
      <c r="AJ50" s="87">
        <v>0</v>
      </c>
      <c r="AK50" s="57">
        <f t="shared" si="5"/>
        <v>18.712926898499425</v>
      </c>
      <c r="AL50" s="57">
        <f t="shared" si="6"/>
        <v>0.9</v>
      </c>
      <c r="AM50" s="60"/>
      <c r="AN50" s="57">
        <v>0.19618361957918362</v>
      </c>
      <c r="AO50" s="57">
        <v>275.96628478300306</v>
      </c>
      <c r="AP50" s="57"/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130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6.1</v>
      </c>
      <c r="I51" s="32">
        <v>0</v>
      </c>
      <c r="J51" s="32">
        <v>0</v>
      </c>
      <c r="K51" s="32">
        <v>23391.158623124284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186.33694135768161</v>
      </c>
      <c r="AC51" s="33">
        <f t="shared" si="7"/>
        <v>0</v>
      </c>
      <c r="AD51" s="33">
        <f t="shared" si="8"/>
        <v>0</v>
      </c>
      <c r="AE51" s="31">
        <v>20</v>
      </c>
      <c r="AF51" s="31">
        <v>690</v>
      </c>
      <c r="AG51" s="31">
        <v>210000</v>
      </c>
      <c r="AH51" s="33">
        <v>652.17929475188566</v>
      </c>
      <c r="AI51" s="33">
        <v>0</v>
      </c>
      <c r="AJ51" s="51">
        <v>0</v>
      </c>
      <c r="AK51" s="91">
        <f t="shared" si="5"/>
        <v>23.391158623124284</v>
      </c>
      <c r="AL51" s="91">
        <f t="shared" si="6"/>
        <v>0.9</v>
      </c>
      <c r="AM51" s="60"/>
      <c r="AN51" s="91">
        <v>0.13246638315114781</v>
      </c>
      <c r="AO51" s="91">
        <v>186.33694135768161</v>
      </c>
      <c r="AP51" s="91"/>
      <c r="AU51" s="93"/>
      <c r="AV51" s="93"/>
      <c r="AW51" s="94"/>
      <c r="BD51" s="95"/>
    </row>
    <row r="52" spans="1:56" ht="21" x14ac:dyDescent="0.35">
      <c r="A52" s="46">
        <v>49</v>
      </c>
      <c r="B52" s="88" t="s">
        <v>131</v>
      </c>
      <c r="C52" s="46">
        <v>300</v>
      </c>
      <c r="D52" s="47">
        <v>300</v>
      </c>
      <c r="E52" s="46">
        <v>300</v>
      </c>
      <c r="F52" s="46">
        <v>33.82</v>
      </c>
      <c r="G52" s="47">
        <f>F52</f>
        <v>33.82</v>
      </c>
      <c r="H52" s="46">
        <v>19.580000000000002</v>
      </c>
      <c r="I52" s="47">
        <v>0</v>
      </c>
      <c r="J52" s="47">
        <v>0</v>
      </c>
      <c r="K52" s="47">
        <v>2038.4700926579187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4648.3049045948001</v>
      </c>
      <c r="AC52" s="49">
        <f t="shared" si="7"/>
        <v>0</v>
      </c>
      <c r="AD52" s="49">
        <f t="shared" si="8"/>
        <v>0</v>
      </c>
      <c r="AE52" s="46">
        <v>20</v>
      </c>
      <c r="AF52" s="46">
        <v>690</v>
      </c>
      <c r="AG52" s="46">
        <v>210000</v>
      </c>
      <c r="AH52" s="49">
        <v>16269.067166081799</v>
      </c>
      <c r="AI52" s="49">
        <v>0</v>
      </c>
      <c r="AJ52" s="90">
        <v>0</v>
      </c>
      <c r="AK52" s="57">
        <f t="shared" si="5"/>
        <v>2.0384700926579189</v>
      </c>
      <c r="AL52" s="57">
        <f t="shared" si="6"/>
        <v>1.5</v>
      </c>
      <c r="AM52" s="60"/>
      <c r="AN52" s="57">
        <v>0.94914779479631572</v>
      </c>
      <c r="AO52" s="57">
        <v>4648.3049045948001</v>
      </c>
      <c r="AP52" s="57"/>
      <c r="AU52" s="15"/>
      <c r="AV52" s="15"/>
      <c r="AW52" s="16"/>
    </row>
    <row r="53" spans="1:56" ht="21" x14ac:dyDescent="0.35">
      <c r="A53" s="28">
        <v>50</v>
      </c>
      <c r="B53" s="67" t="s">
        <v>132</v>
      </c>
      <c r="C53" s="28">
        <v>300</v>
      </c>
      <c r="D53" s="19">
        <v>300</v>
      </c>
      <c r="E53" s="28">
        <v>300</v>
      </c>
      <c r="F53" s="28">
        <v>33.82</v>
      </c>
      <c r="G53" s="47">
        <f t="shared" ref="G53:G99" si="9">F53</f>
        <v>33.82</v>
      </c>
      <c r="H53" s="28">
        <v>19.580000000000002</v>
      </c>
      <c r="I53" s="19">
        <v>0</v>
      </c>
      <c r="J53" s="19">
        <v>0</v>
      </c>
      <c r="K53" s="61">
        <v>3397.4501544298646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4128.418526574088</v>
      </c>
      <c r="AC53" s="29">
        <f t="shared" si="7"/>
        <v>0</v>
      </c>
      <c r="AD53" s="29">
        <f t="shared" si="8"/>
        <v>0</v>
      </c>
      <c r="AE53" s="28">
        <v>20</v>
      </c>
      <c r="AF53" s="28">
        <v>690</v>
      </c>
      <c r="AG53" s="28">
        <v>210000</v>
      </c>
      <c r="AH53" s="29">
        <v>14449.464843009309</v>
      </c>
      <c r="AI53" s="29">
        <v>0</v>
      </c>
      <c r="AJ53" s="30">
        <v>0</v>
      </c>
      <c r="AK53" s="57">
        <f t="shared" si="5"/>
        <v>3.3974501544298645</v>
      </c>
      <c r="AL53" s="57">
        <f t="shared" si="6"/>
        <v>1.5</v>
      </c>
      <c r="AM53" s="60"/>
      <c r="AN53" s="57">
        <v>0.84299103026152089</v>
      </c>
      <c r="AO53" s="57">
        <v>4128.418526574088</v>
      </c>
      <c r="AP53" s="57"/>
      <c r="AU53" s="15"/>
      <c r="AV53" s="15"/>
      <c r="AW53" s="16"/>
    </row>
    <row r="54" spans="1:56" ht="21" x14ac:dyDescent="0.35">
      <c r="A54" s="28">
        <v>51</v>
      </c>
      <c r="B54" s="67" t="s">
        <v>133</v>
      </c>
      <c r="C54" s="28">
        <v>300</v>
      </c>
      <c r="D54" s="19">
        <v>300</v>
      </c>
      <c r="E54" s="28">
        <v>300</v>
      </c>
      <c r="F54" s="28">
        <v>33.82</v>
      </c>
      <c r="G54" s="47">
        <f t="shared" si="9"/>
        <v>33.82</v>
      </c>
      <c r="H54" s="28">
        <v>19.580000000000002</v>
      </c>
      <c r="I54" s="19">
        <v>0</v>
      </c>
      <c r="J54" s="19">
        <v>0</v>
      </c>
      <c r="K54" s="61">
        <v>5096.1752316447964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3396.4862751525839</v>
      </c>
      <c r="AC54" s="29">
        <f t="shared" si="7"/>
        <v>0</v>
      </c>
      <c r="AD54" s="29">
        <f t="shared" si="8"/>
        <v>0</v>
      </c>
      <c r="AE54" s="28">
        <v>20</v>
      </c>
      <c r="AF54" s="28">
        <v>690</v>
      </c>
      <c r="AG54" s="28">
        <v>210000</v>
      </c>
      <c r="AH54" s="29">
        <v>11887.701963034044</v>
      </c>
      <c r="AI54" s="29">
        <v>0</v>
      </c>
      <c r="AJ54" s="30">
        <v>0</v>
      </c>
      <c r="AK54" s="57">
        <f t="shared" si="5"/>
        <v>5.0961752316447964</v>
      </c>
      <c r="AL54" s="57">
        <f t="shared" si="6"/>
        <v>1.5</v>
      </c>
      <c r="AM54" s="60"/>
      <c r="AN54" s="57">
        <v>0.69353614366612815</v>
      </c>
      <c r="AO54" s="57">
        <v>3396.4862751525839</v>
      </c>
      <c r="AP54" s="57"/>
      <c r="AU54" s="15"/>
      <c r="AV54" s="15"/>
      <c r="AW54" s="16"/>
    </row>
    <row r="55" spans="1:56" ht="21" x14ac:dyDescent="0.35">
      <c r="A55" s="28">
        <v>52</v>
      </c>
      <c r="B55" s="67" t="s">
        <v>134</v>
      </c>
      <c r="C55" s="28">
        <v>300</v>
      </c>
      <c r="D55" s="19">
        <v>300</v>
      </c>
      <c r="E55" s="28">
        <v>300</v>
      </c>
      <c r="F55" s="28">
        <v>33.82</v>
      </c>
      <c r="G55" s="47">
        <f t="shared" si="9"/>
        <v>33.82</v>
      </c>
      <c r="H55" s="28">
        <v>19.580000000000002</v>
      </c>
      <c r="I55" s="19">
        <v>0</v>
      </c>
      <c r="J55" s="19">
        <v>0</v>
      </c>
      <c r="K55" s="19">
        <v>6794.9003088597292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2644.2680920575899</v>
      </c>
      <c r="AC55" s="29">
        <f t="shared" si="7"/>
        <v>0</v>
      </c>
      <c r="AD55" s="29">
        <f t="shared" si="8"/>
        <v>0</v>
      </c>
      <c r="AE55" s="28">
        <v>20</v>
      </c>
      <c r="AF55" s="28">
        <v>690</v>
      </c>
      <c r="AG55" s="28">
        <v>210000</v>
      </c>
      <c r="AH55" s="29">
        <v>9254.938322201564</v>
      </c>
      <c r="AI55" s="29">
        <v>0</v>
      </c>
      <c r="AJ55" s="30">
        <v>0</v>
      </c>
      <c r="AK55" s="57">
        <f t="shared" si="5"/>
        <v>6.7949003088597291</v>
      </c>
      <c r="AL55" s="57">
        <f t="shared" si="6"/>
        <v>1.5</v>
      </c>
      <c r="AM55" s="60"/>
      <c r="AN55" s="57">
        <v>0.53993902722384046</v>
      </c>
      <c r="AO55" s="57">
        <v>2644.2680920575899</v>
      </c>
      <c r="AP55" s="57"/>
      <c r="AU55" s="15"/>
      <c r="AV55" s="15"/>
      <c r="AW55" s="16"/>
    </row>
    <row r="56" spans="1:56" ht="21" x14ac:dyDescent="0.35">
      <c r="A56" s="28">
        <v>53</v>
      </c>
      <c r="B56" s="67" t="s">
        <v>135</v>
      </c>
      <c r="C56" s="28">
        <v>300</v>
      </c>
      <c r="D56" s="19">
        <v>300</v>
      </c>
      <c r="E56" s="28">
        <v>300</v>
      </c>
      <c r="F56" s="28">
        <v>33.82</v>
      </c>
      <c r="G56" s="47">
        <f t="shared" si="9"/>
        <v>33.82</v>
      </c>
      <c r="H56" s="28">
        <v>19.580000000000002</v>
      </c>
      <c r="I56" s="19">
        <v>0</v>
      </c>
      <c r="J56" s="19">
        <v>0</v>
      </c>
      <c r="K56" s="61">
        <v>9037.2174107834398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1843.3258449944665</v>
      </c>
      <c r="AC56" s="29">
        <f t="shared" si="7"/>
        <v>0</v>
      </c>
      <c r="AD56" s="29">
        <f t="shared" si="8"/>
        <v>0</v>
      </c>
      <c r="AE56" s="28">
        <v>20</v>
      </c>
      <c r="AF56" s="28">
        <v>690</v>
      </c>
      <c r="AG56" s="28">
        <v>210000</v>
      </c>
      <c r="AH56" s="29">
        <v>6451.6404574806329</v>
      </c>
      <c r="AI56" s="29">
        <v>0</v>
      </c>
      <c r="AJ56" s="30">
        <v>0</v>
      </c>
      <c r="AK56" s="57">
        <f t="shared" si="5"/>
        <v>9.0372174107834393</v>
      </c>
      <c r="AL56" s="57">
        <f t="shared" si="6"/>
        <v>1.5</v>
      </c>
      <c r="AM56" s="60"/>
      <c r="AN56" s="57">
        <v>0.37639283497476755</v>
      </c>
      <c r="AO56" s="57">
        <v>1843.3258449944665</v>
      </c>
      <c r="AP56" s="57"/>
      <c r="AU56" s="15"/>
      <c r="AV56" s="15"/>
      <c r="AW56" s="16"/>
    </row>
    <row r="57" spans="1:56" ht="21" x14ac:dyDescent="0.35">
      <c r="A57" s="28">
        <v>54</v>
      </c>
      <c r="B57" s="67" t="s">
        <v>136</v>
      </c>
      <c r="C57" s="28">
        <v>300</v>
      </c>
      <c r="D57" s="19">
        <v>300</v>
      </c>
      <c r="E57" s="28">
        <v>300</v>
      </c>
      <c r="F57" s="28">
        <v>33.82</v>
      </c>
      <c r="G57" s="47">
        <f t="shared" si="9"/>
        <v>33.82</v>
      </c>
      <c r="H57" s="28">
        <v>19.580000000000002</v>
      </c>
      <c r="I57" s="19">
        <v>0</v>
      </c>
      <c r="J57" s="19">
        <v>0</v>
      </c>
      <c r="K57" s="61">
        <v>11347.483515795748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1299.2713661421021</v>
      </c>
      <c r="AC57" s="29">
        <f t="shared" si="7"/>
        <v>0</v>
      </c>
      <c r="AD57" s="29">
        <f t="shared" si="8"/>
        <v>0</v>
      </c>
      <c r="AE57" s="28">
        <v>20</v>
      </c>
      <c r="AF57" s="28">
        <v>690</v>
      </c>
      <c r="AG57" s="28">
        <v>210000</v>
      </c>
      <c r="AH57" s="29">
        <v>4547.4497814973574</v>
      </c>
      <c r="AI57" s="29">
        <v>0</v>
      </c>
      <c r="AJ57" s="30">
        <v>0</v>
      </c>
      <c r="AK57" s="57">
        <f t="shared" si="5"/>
        <v>11.347483515795748</v>
      </c>
      <c r="AL57" s="57">
        <f t="shared" si="6"/>
        <v>1.5</v>
      </c>
      <c r="AM57" s="60"/>
      <c r="AN57" s="57">
        <v>0.265301131773169</v>
      </c>
      <c r="AO57" s="57">
        <v>1299.2713661421021</v>
      </c>
      <c r="AP57" s="57"/>
      <c r="AU57" s="15"/>
      <c r="AV57" s="15"/>
      <c r="AW57" s="16"/>
    </row>
    <row r="58" spans="1:56" ht="21" x14ac:dyDescent="0.35">
      <c r="A58" s="28">
        <v>55</v>
      </c>
      <c r="B58" s="67" t="s">
        <v>137</v>
      </c>
      <c r="C58" s="28">
        <v>300</v>
      </c>
      <c r="D58" s="19">
        <v>300</v>
      </c>
      <c r="E58" s="28">
        <v>300</v>
      </c>
      <c r="F58" s="28">
        <v>33.82</v>
      </c>
      <c r="G58" s="47">
        <f t="shared" si="9"/>
        <v>33.82</v>
      </c>
      <c r="H58" s="28">
        <v>19.580000000000002</v>
      </c>
      <c r="I58" s="19">
        <v>0</v>
      </c>
      <c r="J58" s="19">
        <v>0</v>
      </c>
      <c r="K58" s="19">
        <v>13589.800617719458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960.7790125949507</v>
      </c>
      <c r="AC58" s="29">
        <f t="shared" si="7"/>
        <v>0</v>
      </c>
      <c r="AD58" s="29">
        <f t="shared" si="8"/>
        <v>0</v>
      </c>
      <c r="AE58" s="28">
        <v>20</v>
      </c>
      <c r="AF58" s="28">
        <v>690</v>
      </c>
      <c r="AG58" s="28">
        <v>210000</v>
      </c>
      <c r="AH58" s="29">
        <v>3362.7265440823276</v>
      </c>
      <c r="AI58" s="29">
        <v>0</v>
      </c>
      <c r="AJ58" s="30">
        <v>0</v>
      </c>
      <c r="AK58" s="57">
        <f t="shared" si="5"/>
        <v>13.589800617719458</v>
      </c>
      <c r="AL58" s="57">
        <f t="shared" si="6"/>
        <v>1.5</v>
      </c>
      <c r="AM58" s="60"/>
      <c r="AN58" s="57">
        <v>0.19618361957918354</v>
      </c>
      <c r="AO58" s="57">
        <v>960.7790125949507</v>
      </c>
      <c r="AP58" s="57"/>
      <c r="AU58" s="15"/>
      <c r="AV58" s="15"/>
      <c r="AW58" s="16"/>
    </row>
    <row r="59" spans="1:56" ht="21" x14ac:dyDescent="0.35">
      <c r="A59" s="28">
        <v>56</v>
      </c>
      <c r="B59" s="67" t="s">
        <v>138</v>
      </c>
      <c r="C59" s="28">
        <v>300</v>
      </c>
      <c r="D59" s="19">
        <v>300</v>
      </c>
      <c r="E59" s="28">
        <v>300</v>
      </c>
      <c r="F59" s="28">
        <v>33.82</v>
      </c>
      <c r="G59" s="47">
        <f t="shared" si="9"/>
        <v>33.82</v>
      </c>
      <c r="H59" s="28">
        <v>19.580000000000002</v>
      </c>
      <c r="I59" s="19">
        <v>0</v>
      </c>
      <c r="J59" s="19">
        <v>0</v>
      </c>
      <c r="K59" s="19">
        <v>16987.250772149324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648.73367653722573</v>
      </c>
      <c r="AC59" s="29">
        <f t="shared" si="7"/>
        <v>0</v>
      </c>
      <c r="AD59" s="29">
        <f t="shared" si="8"/>
        <v>0</v>
      </c>
      <c r="AE59" s="28">
        <v>20</v>
      </c>
      <c r="AF59" s="28">
        <v>690</v>
      </c>
      <c r="AG59" s="28">
        <v>210000</v>
      </c>
      <c r="AH59" s="29">
        <v>2270.5678678802901</v>
      </c>
      <c r="AI59" s="29">
        <v>0</v>
      </c>
      <c r="AJ59" s="30">
        <v>0</v>
      </c>
      <c r="AK59" s="57">
        <f t="shared" si="5"/>
        <v>16.987250772149324</v>
      </c>
      <c r="AL59" s="57">
        <f t="shared" si="6"/>
        <v>1.5</v>
      </c>
      <c r="AM59" s="60"/>
      <c r="AN59" s="57">
        <v>0.13246638315114778</v>
      </c>
      <c r="AO59" s="57">
        <v>648.73367653722573</v>
      </c>
      <c r="AP59" s="57"/>
      <c r="AU59" s="15"/>
      <c r="AV59" s="15"/>
      <c r="AW59" s="16"/>
    </row>
    <row r="60" spans="1:56" ht="21" x14ac:dyDescent="0.35">
      <c r="A60" s="28">
        <v>57</v>
      </c>
      <c r="B60" s="67" t="s">
        <v>139</v>
      </c>
      <c r="C60" s="28">
        <v>300</v>
      </c>
      <c r="D60" s="19">
        <v>300</v>
      </c>
      <c r="E60" s="28">
        <v>300</v>
      </c>
      <c r="F60" s="28">
        <v>23.75</v>
      </c>
      <c r="G60" s="47">
        <f t="shared" si="9"/>
        <v>23.75</v>
      </c>
      <c r="H60" s="28">
        <v>13.75</v>
      </c>
      <c r="I60" s="19">
        <v>0</v>
      </c>
      <c r="J60" s="19">
        <v>0</v>
      </c>
      <c r="K60" s="19">
        <v>2106.8642732249591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3316.0766335357466</v>
      </c>
      <c r="AC60" s="29">
        <f t="shared" si="7"/>
        <v>0</v>
      </c>
      <c r="AD60" s="29">
        <f t="shared" si="8"/>
        <v>0</v>
      </c>
      <c r="AE60" s="28">
        <v>20</v>
      </c>
      <c r="AF60" s="28">
        <v>690</v>
      </c>
      <c r="AG60" s="28">
        <v>210000</v>
      </c>
      <c r="AH60" s="29">
        <v>11606.268217375113</v>
      </c>
      <c r="AI60" s="29">
        <v>0</v>
      </c>
      <c r="AJ60" s="30">
        <v>0</v>
      </c>
      <c r="AK60" s="57">
        <f t="shared" si="5"/>
        <v>2.1068642732249589</v>
      </c>
      <c r="AL60" s="57">
        <f t="shared" si="6"/>
        <v>1.5</v>
      </c>
      <c r="AM60" s="60"/>
      <c r="AN60" s="57">
        <v>0.94914779479631584</v>
      </c>
      <c r="AO60" s="57">
        <v>3316.0766335357466</v>
      </c>
      <c r="AP60" s="57"/>
      <c r="AU60" s="15"/>
      <c r="AV60" s="15"/>
      <c r="AW60" s="16"/>
    </row>
    <row r="61" spans="1:56" ht="21" x14ac:dyDescent="0.35">
      <c r="A61" s="28">
        <v>58</v>
      </c>
      <c r="B61" s="67" t="s">
        <v>140</v>
      </c>
      <c r="C61" s="28">
        <v>300</v>
      </c>
      <c r="D61" s="19">
        <v>300</v>
      </c>
      <c r="E61" s="28">
        <v>300</v>
      </c>
      <c r="F61" s="28">
        <v>23.75</v>
      </c>
      <c r="G61" s="47">
        <f t="shared" si="9"/>
        <v>23.75</v>
      </c>
      <c r="H61" s="28">
        <v>13.75</v>
      </c>
      <c r="I61" s="19">
        <v>0</v>
      </c>
      <c r="J61" s="19">
        <v>0</v>
      </c>
      <c r="K61" s="19">
        <v>3511.4404553749318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2945.1923852705618</v>
      </c>
      <c r="AC61" s="29">
        <f t="shared" si="7"/>
        <v>0</v>
      </c>
      <c r="AD61" s="29">
        <f t="shared" si="8"/>
        <v>0</v>
      </c>
      <c r="AE61" s="28">
        <v>20</v>
      </c>
      <c r="AF61" s="28">
        <v>690</v>
      </c>
      <c r="AG61" s="28">
        <v>210000</v>
      </c>
      <c r="AH61" s="29">
        <v>10308.173348446966</v>
      </c>
      <c r="AI61" s="29">
        <v>0</v>
      </c>
      <c r="AJ61" s="30">
        <v>0</v>
      </c>
      <c r="AK61" s="57">
        <f t="shared" si="5"/>
        <v>3.5114404553749319</v>
      </c>
      <c r="AL61" s="57">
        <f t="shared" si="6"/>
        <v>1.5</v>
      </c>
      <c r="AM61" s="60"/>
      <c r="AN61" s="57">
        <v>0.84299103026152089</v>
      </c>
      <c r="AO61" s="57">
        <v>2945.1923852705618</v>
      </c>
      <c r="AP61" s="57"/>
      <c r="AU61" s="15"/>
      <c r="AV61" s="15"/>
      <c r="AW61" s="16"/>
    </row>
    <row r="62" spans="1:56" ht="21" x14ac:dyDescent="0.35">
      <c r="A62" s="28">
        <v>59</v>
      </c>
      <c r="B62" s="67" t="s">
        <v>141</v>
      </c>
      <c r="C62" s="28">
        <v>300</v>
      </c>
      <c r="D62" s="19">
        <v>300</v>
      </c>
      <c r="E62" s="28">
        <v>300</v>
      </c>
      <c r="F62" s="28">
        <v>23.75</v>
      </c>
      <c r="G62" s="47">
        <f t="shared" si="9"/>
        <v>23.75</v>
      </c>
      <c r="H62" s="28">
        <v>13.75</v>
      </c>
      <c r="I62" s="19">
        <v>0</v>
      </c>
      <c r="J62" s="19">
        <v>0</v>
      </c>
      <c r="K62" s="19">
        <v>5267.1606830623978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2423.0357096465382</v>
      </c>
      <c r="AC62" s="29">
        <f t="shared" si="7"/>
        <v>0</v>
      </c>
      <c r="AD62" s="29">
        <f t="shared" si="8"/>
        <v>0</v>
      </c>
      <c r="AE62" s="28">
        <v>20</v>
      </c>
      <c r="AF62" s="28">
        <v>690</v>
      </c>
      <c r="AG62" s="28">
        <v>210000</v>
      </c>
      <c r="AH62" s="29">
        <v>8480.6249837628839</v>
      </c>
      <c r="AI62" s="29">
        <v>0</v>
      </c>
      <c r="AJ62" s="30">
        <v>0</v>
      </c>
      <c r="AK62" s="57">
        <f t="shared" si="5"/>
        <v>5.2671606830623974</v>
      </c>
      <c r="AL62" s="57">
        <f t="shared" si="6"/>
        <v>1.5</v>
      </c>
      <c r="AM62" s="60"/>
      <c r="AN62" s="57">
        <v>0.69353614366612826</v>
      </c>
      <c r="AO62" s="57">
        <v>2423.0357096465382</v>
      </c>
      <c r="AP62" s="57"/>
      <c r="AU62" s="15"/>
      <c r="AV62" s="15"/>
      <c r="AW62" s="16"/>
    </row>
    <row r="63" spans="1:56" ht="21" x14ac:dyDescent="0.35">
      <c r="A63" s="28">
        <v>60</v>
      </c>
      <c r="B63" s="67" t="s">
        <v>142</v>
      </c>
      <c r="C63" s="28">
        <v>300</v>
      </c>
      <c r="D63" s="19">
        <v>300</v>
      </c>
      <c r="E63" s="28">
        <v>300</v>
      </c>
      <c r="F63" s="28">
        <v>23.75</v>
      </c>
      <c r="G63" s="47">
        <f t="shared" si="9"/>
        <v>23.75</v>
      </c>
      <c r="H63" s="28">
        <v>13.75</v>
      </c>
      <c r="I63" s="19">
        <v>0</v>
      </c>
      <c r="J63" s="19">
        <v>0</v>
      </c>
      <c r="K63" s="19">
        <v>7022.8809107498637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1886.4071554791208</v>
      </c>
      <c r="AC63" s="29">
        <f t="shared" si="7"/>
        <v>0</v>
      </c>
      <c r="AD63" s="29">
        <f t="shared" si="8"/>
        <v>0</v>
      </c>
      <c r="AE63" s="28">
        <v>20</v>
      </c>
      <c r="AF63" s="28">
        <v>690</v>
      </c>
      <c r="AG63" s="28">
        <v>210000</v>
      </c>
      <c r="AH63" s="29">
        <v>6602.4250441769227</v>
      </c>
      <c r="AI63" s="29">
        <v>0</v>
      </c>
      <c r="AJ63" s="30">
        <v>0</v>
      </c>
      <c r="AK63" s="57">
        <f t="shared" si="5"/>
        <v>7.0228809107498638</v>
      </c>
      <c r="AL63" s="57">
        <f t="shared" si="6"/>
        <v>1.5</v>
      </c>
      <c r="AM63" s="60"/>
      <c r="AN63" s="57">
        <v>0.53993902722384046</v>
      </c>
      <c r="AO63" s="57">
        <v>1886.4071554791208</v>
      </c>
      <c r="AP63" s="57"/>
      <c r="AU63" s="15"/>
      <c r="AV63" s="15"/>
      <c r="AW63" s="16"/>
    </row>
    <row r="64" spans="1:56" ht="21" x14ac:dyDescent="0.35">
      <c r="A64" s="28">
        <v>61</v>
      </c>
      <c r="B64" s="67" t="s">
        <v>143</v>
      </c>
      <c r="C64" s="28">
        <v>300</v>
      </c>
      <c r="D64" s="19">
        <v>300</v>
      </c>
      <c r="E64" s="28">
        <v>300</v>
      </c>
      <c r="F64" s="28">
        <v>23.75</v>
      </c>
      <c r="G64" s="47">
        <f t="shared" si="9"/>
        <v>23.75</v>
      </c>
      <c r="H64" s="28">
        <v>13.75</v>
      </c>
      <c r="I64" s="19">
        <v>0</v>
      </c>
      <c r="J64" s="19">
        <v>0</v>
      </c>
      <c r="K64" s="61">
        <v>9340.4316112973193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1315.0191065427823</v>
      </c>
      <c r="AC64" s="29">
        <f t="shared" si="7"/>
        <v>0</v>
      </c>
      <c r="AD64" s="29">
        <f t="shared" si="8"/>
        <v>0</v>
      </c>
      <c r="AE64" s="28">
        <v>20</v>
      </c>
      <c r="AF64" s="28">
        <v>690</v>
      </c>
      <c r="AG64" s="28">
        <v>210000</v>
      </c>
      <c r="AH64" s="29">
        <v>4602.566872899738</v>
      </c>
      <c r="AI64" s="29">
        <v>0</v>
      </c>
      <c r="AJ64" s="30">
        <v>0</v>
      </c>
      <c r="AK64" s="57">
        <f t="shared" si="5"/>
        <v>9.3404316112973191</v>
      </c>
      <c r="AL64" s="57">
        <f t="shared" si="6"/>
        <v>1.5</v>
      </c>
      <c r="AM64" s="60"/>
      <c r="AN64" s="57">
        <v>0.37639283497476766</v>
      </c>
      <c r="AO64" s="57">
        <v>1315.0191065427823</v>
      </c>
      <c r="AP64" s="57"/>
      <c r="AU64" s="15"/>
      <c r="AV64" s="15"/>
      <c r="AW64" s="16"/>
    </row>
    <row r="65" spans="1:49" ht="21" x14ac:dyDescent="0.35">
      <c r="A65" s="28">
        <v>62</v>
      </c>
      <c r="B65" s="67" t="s">
        <v>144</v>
      </c>
      <c r="C65" s="28">
        <v>300</v>
      </c>
      <c r="D65" s="19">
        <v>300</v>
      </c>
      <c r="E65" s="28">
        <v>300</v>
      </c>
      <c r="F65" s="28">
        <v>23.75</v>
      </c>
      <c r="G65" s="47">
        <f t="shared" si="9"/>
        <v>23.75</v>
      </c>
      <c r="H65" s="28">
        <v>13.75</v>
      </c>
      <c r="I65" s="19">
        <v>0</v>
      </c>
      <c r="J65" s="19">
        <v>0</v>
      </c>
      <c r="K65" s="19">
        <v>11728.211120952272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926.89346037240398</v>
      </c>
      <c r="AC65" s="29">
        <f t="shared" si="7"/>
        <v>0</v>
      </c>
      <c r="AD65" s="29">
        <f t="shared" si="8"/>
        <v>0</v>
      </c>
      <c r="AE65" s="28">
        <v>20</v>
      </c>
      <c r="AF65" s="28">
        <v>690</v>
      </c>
      <c r="AG65" s="28">
        <v>210000</v>
      </c>
      <c r="AH65" s="29">
        <v>3244.127111303414</v>
      </c>
      <c r="AI65" s="29">
        <v>0</v>
      </c>
      <c r="AJ65" s="30">
        <v>0</v>
      </c>
      <c r="AK65" s="57">
        <f t="shared" si="5"/>
        <v>11.728211120952272</v>
      </c>
      <c r="AL65" s="57">
        <f t="shared" si="6"/>
        <v>1.5</v>
      </c>
      <c r="AM65" s="60"/>
      <c r="AN65" s="57">
        <v>0.265301131773169</v>
      </c>
      <c r="AO65" s="57">
        <v>926.89346037240398</v>
      </c>
      <c r="AP65" s="57"/>
      <c r="AU65" s="15"/>
      <c r="AV65" s="15"/>
      <c r="AW65" s="16"/>
    </row>
    <row r="66" spans="1:49" ht="21" x14ac:dyDescent="0.35">
      <c r="A66" s="28">
        <v>63</v>
      </c>
      <c r="B66" s="67" t="s">
        <v>145</v>
      </c>
      <c r="C66" s="28">
        <v>300</v>
      </c>
      <c r="D66" s="19">
        <v>300</v>
      </c>
      <c r="E66" s="28">
        <v>300</v>
      </c>
      <c r="F66" s="28">
        <v>23.75</v>
      </c>
      <c r="G66" s="47">
        <f t="shared" si="9"/>
        <v>23.75</v>
      </c>
      <c r="H66" s="28">
        <v>13.75</v>
      </c>
      <c r="I66" s="19">
        <v>0</v>
      </c>
      <c r="J66" s="19">
        <v>0</v>
      </c>
      <c r="K66" s="19">
        <v>14045.761821499727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685.41476926531197</v>
      </c>
      <c r="AC66" s="29">
        <f t="shared" si="7"/>
        <v>0</v>
      </c>
      <c r="AD66" s="29">
        <f t="shared" si="8"/>
        <v>0</v>
      </c>
      <c r="AE66" s="28">
        <v>20</v>
      </c>
      <c r="AF66" s="28">
        <v>690</v>
      </c>
      <c r="AG66" s="28">
        <v>210000</v>
      </c>
      <c r="AH66" s="29">
        <v>2398.9516924285917</v>
      </c>
      <c r="AI66" s="29">
        <v>0</v>
      </c>
      <c r="AJ66" s="30">
        <v>0</v>
      </c>
      <c r="AK66" s="57">
        <f t="shared" si="5"/>
        <v>14.045761821499728</v>
      </c>
      <c r="AL66" s="57">
        <f t="shared" si="6"/>
        <v>1.5</v>
      </c>
      <c r="AM66" s="60"/>
      <c r="AN66" s="57">
        <v>0.19618361957918354</v>
      </c>
      <c r="AO66" s="57">
        <v>685.41476926531197</v>
      </c>
      <c r="AP66" s="57"/>
      <c r="AU66" s="15"/>
      <c r="AV66" s="15"/>
      <c r="AW66" s="16"/>
    </row>
    <row r="67" spans="1:49" ht="21" x14ac:dyDescent="0.35">
      <c r="A67" s="28">
        <v>64</v>
      </c>
      <c r="B67" s="67" t="s">
        <v>146</v>
      </c>
      <c r="C67" s="28">
        <v>300</v>
      </c>
      <c r="D67" s="19">
        <v>300</v>
      </c>
      <c r="E67" s="28">
        <v>300</v>
      </c>
      <c r="F67" s="28">
        <v>23.75</v>
      </c>
      <c r="G67" s="47">
        <f t="shared" si="9"/>
        <v>23.75</v>
      </c>
      <c r="H67" s="28">
        <v>13.75</v>
      </c>
      <c r="I67" s="19">
        <v>0</v>
      </c>
      <c r="J67" s="19">
        <v>0</v>
      </c>
      <c r="K67" s="61">
        <v>17557.202276874657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462.80324339875875</v>
      </c>
      <c r="AC67" s="29">
        <f t="shared" si="7"/>
        <v>0</v>
      </c>
      <c r="AD67" s="29">
        <f t="shared" si="8"/>
        <v>0</v>
      </c>
      <c r="AE67" s="28">
        <v>20</v>
      </c>
      <c r="AF67" s="28">
        <v>690</v>
      </c>
      <c r="AG67" s="28">
        <v>210000</v>
      </c>
      <c r="AH67" s="29">
        <v>1619.8113518956557</v>
      </c>
      <c r="AI67" s="29">
        <v>0</v>
      </c>
      <c r="AJ67" s="30">
        <v>0</v>
      </c>
      <c r="AK67" s="57">
        <f t="shared" si="5"/>
        <v>17.557202276874659</v>
      </c>
      <c r="AL67" s="57">
        <f t="shared" si="6"/>
        <v>1.5</v>
      </c>
      <c r="AM67" s="60"/>
      <c r="AN67" s="57">
        <v>0.13246638315114781</v>
      </c>
      <c r="AO67" s="57">
        <v>462.80324339875875</v>
      </c>
      <c r="AP67" s="57"/>
      <c r="AU67" s="15"/>
      <c r="AV67" s="15"/>
      <c r="AW67" s="16"/>
    </row>
    <row r="68" spans="1:49" ht="21" x14ac:dyDescent="0.35">
      <c r="A68" s="28">
        <v>65</v>
      </c>
      <c r="B68" s="67" t="s">
        <v>147</v>
      </c>
      <c r="C68" s="28">
        <v>300</v>
      </c>
      <c r="D68" s="19">
        <v>300</v>
      </c>
      <c r="E68" s="28">
        <v>300</v>
      </c>
      <c r="F68" s="28">
        <v>19.95</v>
      </c>
      <c r="G68" s="47">
        <f t="shared" si="9"/>
        <v>19.95</v>
      </c>
      <c r="H68" s="28">
        <v>11.55</v>
      </c>
      <c r="I68" s="19">
        <v>0</v>
      </c>
      <c r="J68" s="19">
        <v>0</v>
      </c>
      <c r="K68" s="61">
        <v>2133.0966088319756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2801.9295645885359</v>
      </c>
      <c r="AC68" s="29">
        <f t="shared" si="7"/>
        <v>0</v>
      </c>
      <c r="AD68" s="29">
        <f t="shared" si="8"/>
        <v>0</v>
      </c>
      <c r="AE68" s="28">
        <v>20</v>
      </c>
      <c r="AF68" s="28">
        <v>690</v>
      </c>
      <c r="AG68" s="28">
        <v>210000</v>
      </c>
      <c r="AH68" s="29">
        <v>9806.7534760598755</v>
      </c>
      <c r="AI68" s="29">
        <v>0</v>
      </c>
      <c r="AJ68" s="30">
        <v>0</v>
      </c>
      <c r="AK68" s="57">
        <f t="shared" si="5"/>
        <v>2.1330966088319756</v>
      </c>
      <c r="AL68" s="57">
        <f t="shared" si="6"/>
        <v>1.5</v>
      </c>
      <c r="AM68" s="60"/>
      <c r="AN68" s="57">
        <v>0.94914779479631584</v>
      </c>
      <c r="AO68" s="57">
        <v>2801.9295645885359</v>
      </c>
      <c r="AP68" s="57"/>
    </row>
    <row r="69" spans="1:49" ht="21" x14ac:dyDescent="0.35">
      <c r="A69" s="28">
        <v>66</v>
      </c>
      <c r="B69" s="67" t="s">
        <v>148</v>
      </c>
      <c r="C69" s="28">
        <v>300</v>
      </c>
      <c r="D69" s="19">
        <v>300</v>
      </c>
      <c r="E69" s="28">
        <v>300</v>
      </c>
      <c r="F69" s="28">
        <v>19.95</v>
      </c>
      <c r="G69" s="47">
        <f t="shared" si="9"/>
        <v>19.95</v>
      </c>
      <c r="H69" s="28">
        <v>11.55</v>
      </c>
      <c r="I69" s="19">
        <v>0</v>
      </c>
      <c r="J69" s="19">
        <v>0</v>
      </c>
      <c r="K69" s="61">
        <v>3555.1610147199594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0">W69</f>
        <v>1</v>
      </c>
      <c r="Z69" s="19">
        <f t="shared" ref="Z69:Z99" si="11">IF(X69=90,0,(1-Y69)/(TAN(X69/180*PI())+1))</f>
        <v>0</v>
      </c>
      <c r="AA69" s="19">
        <f t="shared" ref="AA69:AA99" si="12">IF(X69=90,1-W69,Z69*TAN(X69/180*PI()))</f>
        <v>0</v>
      </c>
      <c r="AB69" s="29">
        <f t="shared" ref="AB69:AB99" si="13">AH69/3.5</f>
        <v>2488.5497320041536</v>
      </c>
      <c r="AC69" s="29">
        <f t="shared" ref="AC69:AC99" si="14">Z69*AI69/3.5</f>
        <v>0</v>
      </c>
      <c r="AD69" s="29">
        <f t="shared" ref="AD69:AD99" si="15">AA69*AJ69/3.5</f>
        <v>0</v>
      </c>
      <c r="AE69" s="28">
        <v>20</v>
      </c>
      <c r="AF69" s="28">
        <v>690</v>
      </c>
      <c r="AG69" s="28">
        <v>210000</v>
      </c>
      <c r="AH69" s="29">
        <v>8709.9240620145374</v>
      </c>
      <c r="AI69" s="29">
        <v>0</v>
      </c>
      <c r="AJ69" s="30">
        <v>0</v>
      </c>
      <c r="AK69" s="57">
        <f t="shared" ref="AK69:AK99" si="16">K69/1000</f>
        <v>3.5551610147199595</v>
      </c>
      <c r="AL69" s="57">
        <f t="shared" ref="AL69:AL99" si="17">C69/200</f>
        <v>1.5</v>
      </c>
      <c r="AM69" s="60"/>
      <c r="AN69" s="57">
        <v>0.842991030261521</v>
      </c>
      <c r="AO69" s="57">
        <v>2488.5497320041536</v>
      </c>
      <c r="AP69" s="57"/>
    </row>
    <row r="70" spans="1:49" ht="21" x14ac:dyDescent="0.35">
      <c r="A70" s="28">
        <v>67</v>
      </c>
      <c r="B70" s="67" t="s">
        <v>149</v>
      </c>
      <c r="C70" s="28">
        <v>300</v>
      </c>
      <c r="D70" s="19">
        <v>300</v>
      </c>
      <c r="E70" s="28">
        <v>300</v>
      </c>
      <c r="F70" s="28">
        <v>19.95</v>
      </c>
      <c r="G70" s="47">
        <f t="shared" si="9"/>
        <v>19.95</v>
      </c>
      <c r="H70" s="28">
        <v>11.55</v>
      </c>
      <c r="I70" s="19">
        <v>0</v>
      </c>
      <c r="J70" s="19">
        <v>0</v>
      </c>
      <c r="K70" s="61">
        <v>5332.7415220799394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0"/>
        <v>1</v>
      </c>
      <c r="Z70" s="19">
        <f t="shared" si="11"/>
        <v>0</v>
      </c>
      <c r="AA70" s="19">
        <f t="shared" si="12"/>
        <v>0</v>
      </c>
      <c r="AB70" s="29">
        <f t="shared" si="13"/>
        <v>2047.3517777764632</v>
      </c>
      <c r="AC70" s="29">
        <f t="shared" si="14"/>
        <v>0</v>
      </c>
      <c r="AD70" s="29">
        <f t="shared" si="15"/>
        <v>0</v>
      </c>
      <c r="AE70" s="28">
        <v>20</v>
      </c>
      <c r="AF70" s="28">
        <v>690</v>
      </c>
      <c r="AG70" s="28">
        <v>210000</v>
      </c>
      <c r="AH70" s="29">
        <v>7165.7312222176215</v>
      </c>
      <c r="AI70" s="29">
        <v>0</v>
      </c>
      <c r="AJ70" s="30">
        <v>0</v>
      </c>
      <c r="AK70" s="57">
        <f t="shared" si="16"/>
        <v>5.3327415220799397</v>
      </c>
      <c r="AL70" s="57">
        <f t="shared" si="17"/>
        <v>1.5</v>
      </c>
      <c r="AM70" s="60"/>
      <c r="AN70" s="57">
        <v>0.69353614366612815</v>
      </c>
      <c r="AO70" s="57">
        <v>2047.3517777764632</v>
      </c>
      <c r="AP70" s="57"/>
    </row>
    <row r="71" spans="1:49" ht="21" x14ac:dyDescent="0.35">
      <c r="A71" s="28">
        <v>68</v>
      </c>
      <c r="B71" s="67" t="s">
        <v>150</v>
      </c>
      <c r="C71" s="28">
        <v>300</v>
      </c>
      <c r="D71" s="19">
        <v>300</v>
      </c>
      <c r="E71" s="28">
        <v>300</v>
      </c>
      <c r="F71" s="28">
        <v>19.95</v>
      </c>
      <c r="G71" s="47">
        <f t="shared" si="9"/>
        <v>19.95</v>
      </c>
      <c r="H71" s="28">
        <v>11.55</v>
      </c>
      <c r="I71" s="19">
        <v>0</v>
      </c>
      <c r="J71" s="19">
        <v>0</v>
      </c>
      <c r="K71" s="61">
        <v>7110.3220294399189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0"/>
        <v>1</v>
      </c>
      <c r="Z71" s="19">
        <f t="shared" si="11"/>
        <v>0</v>
      </c>
      <c r="AA71" s="19">
        <f t="shared" si="12"/>
        <v>0</v>
      </c>
      <c r="AB71" s="29">
        <f t="shared" si="13"/>
        <v>1593.925763456376</v>
      </c>
      <c r="AC71" s="29">
        <f t="shared" si="14"/>
        <v>0</v>
      </c>
      <c r="AD71" s="29">
        <f t="shared" si="15"/>
        <v>0</v>
      </c>
      <c r="AE71" s="28">
        <v>20</v>
      </c>
      <c r="AF71" s="28">
        <v>690</v>
      </c>
      <c r="AG71" s="28">
        <v>210000</v>
      </c>
      <c r="AH71" s="29">
        <v>5578.7401720973157</v>
      </c>
      <c r="AI71" s="29">
        <v>0</v>
      </c>
      <c r="AJ71" s="30">
        <v>0</v>
      </c>
      <c r="AK71" s="57">
        <f t="shared" si="16"/>
        <v>7.110322029439919</v>
      </c>
      <c r="AL71" s="57">
        <f t="shared" si="17"/>
        <v>1.5</v>
      </c>
      <c r="AM71" s="60"/>
      <c r="AN71" s="57">
        <v>0.53993902722384057</v>
      </c>
      <c r="AO71" s="57">
        <v>1593.925763456376</v>
      </c>
      <c r="AP71" s="57"/>
    </row>
    <row r="72" spans="1:49" ht="21" x14ac:dyDescent="0.35">
      <c r="A72" s="28">
        <v>69</v>
      </c>
      <c r="B72" s="67" t="s">
        <v>151</v>
      </c>
      <c r="C72" s="28">
        <v>300</v>
      </c>
      <c r="D72" s="19">
        <v>300</v>
      </c>
      <c r="E72" s="28">
        <v>300</v>
      </c>
      <c r="F72" s="28">
        <v>19.95</v>
      </c>
      <c r="G72" s="47">
        <f t="shared" si="9"/>
        <v>19.95</v>
      </c>
      <c r="H72" s="28">
        <v>11.55</v>
      </c>
      <c r="I72" s="19">
        <v>0</v>
      </c>
      <c r="J72" s="19">
        <v>0</v>
      </c>
      <c r="K72" s="19">
        <v>9456.7282991550928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0"/>
        <v>1</v>
      </c>
      <c r="Z72" s="19">
        <f t="shared" si="11"/>
        <v>0</v>
      </c>
      <c r="AA72" s="19">
        <f t="shared" si="12"/>
        <v>0</v>
      </c>
      <c r="AB72" s="29">
        <f t="shared" si="13"/>
        <v>1111.1296027837425</v>
      </c>
      <c r="AC72" s="29">
        <f t="shared" si="14"/>
        <v>0</v>
      </c>
      <c r="AD72" s="29">
        <f t="shared" si="15"/>
        <v>0</v>
      </c>
      <c r="AE72" s="28">
        <v>20</v>
      </c>
      <c r="AF72" s="28">
        <v>690</v>
      </c>
      <c r="AG72" s="28">
        <v>210000</v>
      </c>
      <c r="AH72" s="29">
        <v>3888.9536097430987</v>
      </c>
      <c r="AI72" s="29">
        <v>0</v>
      </c>
      <c r="AJ72" s="30">
        <v>0</v>
      </c>
      <c r="AK72" s="57">
        <f t="shared" si="16"/>
        <v>9.4567282991550936</v>
      </c>
      <c r="AL72" s="57">
        <f t="shared" si="17"/>
        <v>1.5</v>
      </c>
      <c r="AM72" s="60"/>
      <c r="AN72" s="57">
        <v>0.37639283497476766</v>
      </c>
      <c r="AO72" s="57">
        <v>1111.1296027837425</v>
      </c>
      <c r="AP72" s="57"/>
    </row>
    <row r="73" spans="1:49" ht="21" x14ac:dyDescent="0.35">
      <c r="A73" s="28">
        <v>70</v>
      </c>
      <c r="B73" s="67" t="s">
        <v>152</v>
      </c>
      <c r="C73" s="28">
        <v>300</v>
      </c>
      <c r="D73" s="19">
        <v>300</v>
      </c>
      <c r="E73" s="28">
        <v>300</v>
      </c>
      <c r="F73" s="28">
        <v>19.95</v>
      </c>
      <c r="G73" s="47">
        <f t="shared" si="9"/>
        <v>19.95</v>
      </c>
      <c r="H73" s="28">
        <v>11.55</v>
      </c>
      <c r="I73" s="19">
        <v>0</v>
      </c>
      <c r="J73" s="19">
        <v>0</v>
      </c>
      <c r="K73" s="61">
        <v>11874.237789164663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0"/>
        <v>1</v>
      </c>
      <c r="Z73" s="19">
        <f t="shared" si="11"/>
        <v>0</v>
      </c>
      <c r="AA73" s="19">
        <f t="shared" si="12"/>
        <v>0</v>
      </c>
      <c r="AB73" s="29">
        <f t="shared" si="13"/>
        <v>783.18159585838055</v>
      </c>
      <c r="AC73" s="29">
        <f t="shared" si="14"/>
        <v>0</v>
      </c>
      <c r="AD73" s="29">
        <f t="shared" si="15"/>
        <v>0</v>
      </c>
      <c r="AE73" s="28">
        <v>20</v>
      </c>
      <c r="AF73" s="28">
        <v>690</v>
      </c>
      <c r="AG73" s="28">
        <v>210000</v>
      </c>
      <c r="AH73" s="29">
        <v>2741.1355855043321</v>
      </c>
      <c r="AI73" s="29">
        <v>0</v>
      </c>
      <c r="AJ73" s="30">
        <v>0</v>
      </c>
      <c r="AK73" s="57">
        <f t="shared" si="16"/>
        <v>11.874237789164663</v>
      </c>
      <c r="AL73" s="57">
        <f t="shared" si="17"/>
        <v>1.5</v>
      </c>
      <c r="AM73" s="60"/>
      <c r="AN73" s="57">
        <v>0.26530113177316905</v>
      </c>
      <c r="AO73" s="57">
        <v>783.18159585838055</v>
      </c>
      <c r="AP73" s="57"/>
    </row>
    <row r="74" spans="1:49" ht="21" x14ac:dyDescent="0.35">
      <c r="A74" s="28">
        <v>71</v>
      </c>
      <c r="B74" s="67" t="s">
        <v>153</v>
      </c>
      <c r="C74" s="28">
        <v>300</v>
      </c>
      <c r="D74" s="19">
        <v>300</v>
      </c>
      <c r="E74" s="28">
        <v>300</v>
      </c>
      <c r="F74" s="28">
        <v>19.95</v>
      </c>
      <c r="G74" s="47">
        <f t="shared" si="9"/>
        <v>19.95</v>
      </c>
      <c r="H74" s="28">
        <v>11.55</v>
      </c>
      <c r="I74" s="19">
        <v>0</v>
      </c>
      <c r="J74" s="19">
        <v>0</v>
      </c>
      <c r="K74" s="19">
        <v>14220.644058879838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0"/>
        <v>1</v>
      </c>
      <c r="Z74" s="19">
        <f t="shared" si="11"/>
        <v>0</v>
      </c>
      <c r="AA74" s="19">
        <f t="shared" si="12"/>
        <v>0</v>
      </c>
      <c r="AB74" s="29">
        <f t="shared" si="13"/>
        <v>579.14340295640397</v>
      </c>
      <c r="AC74" s="29">
        <f t="shared" si="14"/>
        <v>0</v>
      </c>
      <c r="AD74" s="29">
        <f t="shared" si="15"/>
        <v>0</v>
      </c>
      <c r="AE74" s="28">
        <v>20</v>
      </c>
      <c r="AF74" s="28">
        <v>690</v>
      </c>
      <c r="AG74" s="28">
        <v>210000</v>
      </c>
      <c r="AH74" s="29">
        <v>2027.001910347414</v>
      </c>
      <c r="AI74" s="29">
        <v>0</v>
      </c>
      <c r="AJ74" s="30">
        <v>0</v>
      </c>
      <c r="AK74" s="57">
        <f t="shared" si="16"/>
        <v>14.220644058879838</v>
      </c>
      <c r="AL74" s="57">
        <f t="shared" si="17"/>
        <v>1.5</v>
      </c>
      <c r="AM74" s="60"/>
      <c r="AN74" s="57">
        <v>0.19618361957918362</v>
      </c>
      <c r="AO74" s="57">
        <v>579.14340295640397</v>
      </c>
      <c r="AP74" s="57"/>
    </row>
    <row r="75" spans="1:49" ht="21" x14ac:dyDescent="0.35">
      <c r="A75" s="28">
        <v>72</v>
      </c>
      <c r="B75" s="67" t="s">
        <v>154</v>
      </c>
      <c r="C75" s="28">
        <v>300</v>
      </c>
      <c r="D75" s="19">
        <v>300</v>
      </c>
      <c r="E75" s="28">
        <v>300</v>
      </c>
      <c r="F75" s="28">
        <v>19.95</v>
      </c>
      <c r="G75" s="47">
        <f t="shared" si="9"/>
        <v>19.95</v>
      </c>
      <c r="H75" s="28">
        <v>11.55</v>
      </c>
      <c r="I75" s="19">
        <v>0</v>
      </c>
      <c r="J75" s="19">
        <v>0</v>
      </c>
      <c r="K75" s="61">
        <v>17775.805073599797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0"/>
        <v>1</v>
      </c>
      <c r="Z75" s="19">
        <f t="shared" si="11"/>
        <v>0</v>
      </c>
      <c r="AA75" s="19">
        <f t="shared" si="12"/>
        <v>0</v>
      </c>
      <c r="AB75" s="29">
        <f t="shared" si="13"/>
        <v>391.04708170866468</v>
      </c>
      <c r="AC75" s="29">
        <f t="shared" si="14"/>
        <v>0</v>
      </c>
      <c r="AD75" s="29">
        <f t="shared" si="15"/>
        <v>0</v>
      </c>
      <c r="AE75" s="28">
        <v>20</v>
      </c>
      <c r="AF75" s="28">
        <v>690</v>
      </c>
      <c r="AG75" s="28">
        <v>210000</v>
      </c>
      <c r="AH75" s="29">
        <v>1368.6647859803263</v>
      </c>
      <c r="AI75" s="29">
        <v>0</v>
      </c>
      <c r="AJ75" s="30">
        <v>0</v>
      </c>
      <c r="AK75" s="57">
        <f t="shared" si="16"/>
        <v>17.775805073599798</v>
      </c>
      <c r="AL75" s="57">
        <f t="shared" si="17"/>
        <v>1.5</v>
      </c>
      <c r="AM75" s="60"/>
      <c r="AN75" s="57">
        <v>0.13246638315114781</v>
      </c>
      <c r="AO75" s="57">
        <v>391.04708170866468</v>
      </c>
      <c r="AP75" s="57"/>
    </row>
    <row r="76" spans="1:49" ht="21" x14ac:dyDescent="0.35">
      <c r="A76" s="28">
        <v>73</v>
      </c>
      <c r="B76" s="67" t="s">
        <v>155</v>
      </c>
      <c r="C76" s="28">
        <v>300</v>
      </c>
      <c r="D76" s="19">
        <v>300</v>
      </c>
      <c r="E76" s="28">
        <v>300</v>
      </c>
      <c r="F76" s="28">
        <v>15.010000000000002</v>
      </c>
      <c r="G76" s="47">
        <f t="shared" si="9"/>
        <v>15.010000000000002</v>
      </c>
      <c r="H76" s="28">
        <v>8.6900000000000013</v>
      </c>
      <c r="I76" s="19">
        <v>0</v>
      </c>
      <c r="J76" s="19">
        <v>0</v>
      </c>
      <c r="K76" s="19">
        <v>2167.5274145421199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0"/>
        <v>1</v>
      </c>
      <c r="Z76" s="19">
        <f t="shared" si="11"/>
        <v>0</v>
      </c>
      <c r="AA76" s="19">
        <f t="shared" si="12"/>
        <v>0</v>
      </c>
      <c r="AB76" s="29">
        <f t="shared" si="13"/>
        <v>2151.9038974932832</v>
      </c>
      <c r="AC76" s="29">
        <f t="shared" si="14"/>
        <v>0</v>
      </c>
      <c r="AD76" s="29">
        <f t="shared" si="15"/>
        <v>0</v>
      </c>
      <c r="AE76" s="28">
        <v>20</v>
      </c>
      <c r="AF76" s="28">
        <v>690</v>
      </c>
      <c r="AG76" s="28">
        <v>210000</v>
      </c>
      <c r="AH76" s="29">
        <v>7531.6636412264916</v>
      </c>
      <c r="AI76" s="29">
        <v>0</v>
      </c>
      <c r="AJ76" s="30">
        <v>0</v>
      </c>
      <c r="AK76" s="57">
        <f t="shared" si="16"/>
        <v>2.1675274145421199</v>
      </c>
      <c r="AL76" s="57">
        <f t="shared" si="17"/>
        <v>1.5</v>
      </c>
      <c r="AM76" s="60"/>
      <c r="AN76" s="57">
        <v>0.96153393295629164</v>
      </c>
      <c r="AO76" s="57">
        <v>2151.9038974932832</v>
      </c>
      <c r="AP76" s="57"/>
    </row>
    <row r="77" spans="1:49" ht="21" x14ac:dyDescent="0.35">
      <c r="A77" s="28">
        <v>74</v>
      </c>
      <c r="B77" s="67" t="s">
        <v>156</v>
      </c>
      <c r="C77" s="28">
        <v>300</v>
      </c>
      <c r="D77" s="19">
        <v>300</v>
      </c>
      <c r="E77" s="28">
        <v>300</v>
      </c>
      <c r="F77" s="28">
        <v>15.010000000000002</v>
      </c>
      <c r="G77" s="47">
        <f t="shared" si="9"/>
        <v>15.010000000000002</v>
      </c>
      <c r="H77" s="28">
        <v>8.6900000000000013</v>
      </c>
      <c r="I77" s="19">
        <v>0</v>
      </c>
      <c r="J77" s="19">
        <v>0</v>
      </c>
      <c r="K77" s="19">
        <v>3612.5456909035333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0"/>
        <v>1</v>
      </c>
      <c r="Z77" s="19">
        <f t="shared" si="11"/>
        <v>0</v>
      </c>
      <c r="AA77" s="19">
        <f t="shared" si="12"/>
        <v>0</v>
      </c>
      <c r="AB77" s="29">
        <f t="shared" si="13"/>
        <v>1936.7259983970889</v>
      </c>
      <c r="AC77" s="29">
        <f t="shared" si="14"/>
        <v>0</v>
      </c>
      <c r="AD77" s="29">
        <f t="shared" si="15"/>
        <v>0</v>
      </c>
      <c r="AE77" s="28">
        <v>20</v>
      </c>
      <c r="AF77" s="28">
        <v>690</v>
      </c>
      <c r="AG77" s="28">
        <v>210000</v>
      </c>
      <c r="AH77" s="29">
        <v>6778.5409943898112</v>
      </c>
      <c r="AI77" s="29">
        <v>0</v>
      </c>
      <c r="AJ77" s="30">
        <v>0</v>
      </c>
      <c r="AK77" s="57">
        <f t="shared" si="16"/>
        <v>3.6125456909035334</v>
      </c>
      <c r="AL77" s="57">
        <f t="shared" si="17"/>
        <v>1.5</v>
      </c>
      <c r="AM77" s="60"/>
      <c r="AN77" s="57">
        <v>0.86538612085174027</v>
      </c>
      <c r="AO77" s="57">
        <v>1936.7259983970889</v>
      </c>
      <c r="AP77" s="57"/>
    </row>
    <row r="78" spans="1:49" ht="21" x14ac:dyDescent="0.35">
      <c r="A78" s="28">
        <v>75</v>
      </c>
      <c r="B78" s="67" t="s">
        <v>157</v>
      </c>
      <c r="C78" s="28">
        <v>300</v>
      </c>
      <c r="D78" s="19">
        <v>300</v>
      </c>
      <c r="E78" s="28">
        <v>300</v>
      </c>
      <c r="F78" s="28">
        <v>15.010000000000002</v>
      </c>
      <c r="G78" s="47">
        <f t="shared" si="9"/>
        <v>15.010000000000002</v>
      </c>
      <c r="H78" s="28">
        <v>8.6900000000000013</v>
      </c>
      <c r="I78" s="19">
        <v>0</v>
      </c>
      <c r="J78" s="19">
        <v>0</v>
      </c>
      <c r="K78" s="19">
        <v>5418.8185363553002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0"/>
        <v>1</v>
      </c>
      <c r="Z78" s="19">
        <f t="shared" si="11"/>
        <v>0</v>
      </c>
      <c r="AA78" s="19">
        <f t="shared" si="12"/>
        <v>0</v>
      </c>
      <c r="AB78" s="29">
        <f t="shared" si="13"/>
        <v>1636.7956575522583</v>
      </c>
      <c r="AC78" s="29">
        <f t="shared" si="14"/>
        <v>0</v>
      </c>
      <c r="AD78" s="29">
        <f t="shared" si="15"/>
        <v>0</v>
      </c>
      <c r="AE78" s="28">
        <v>20</v>
      </c>
      <c r="AF78" s="28">
        <v>690</v>
      </c>
      <c r="AG78" s="28">
        <v>210000</v>
      </c>
      <c r="AH78" s="29">
        <v>5728.7848014329038</v>
      </c>
      <c r="AI78" s="29">
        <v>0</v>
      </c>
      <c r="AJ78" s="30">
        <v>0</v>
      </c>
      <c r="AK78" s="57">
        <f t="shared" si="16"/>
        <v>5.4188185363553005</v>
      </c>
      <c r="AL78" s="57">
        <f t="shared" si="17"/>
        <v>1.5</v>
      </c>
      <c r="AM78" s="60"/>
      <c r="AN78" s="57">
        <v>0.73136842583227613</v>
      </c>
      <c r="AO78" s="57">
        <v>1636.7956575522583</v>
      </c>
      <c r="AP78" s="57"/>
    </row>
    <row r="79" spans="1:49" ht="21" x14ac:dyDescent="0.35">
      <c r="A79" s="28">
        <v>76</v>
      </c>
      <c r="B79" s="67" t="s">
        <v>158</v>
      </c>
      <c r="C79" s="28">
        <v>300</v>
      </c>
      <c r="D79" s="19">
        <v>300</v>
      </c>
      <c r="E79" s="28">
        <v>300</v>
      </c>
      <c r="F79" s="28">
        <v>15.010000000000002</v>
      </c>
      <c r="G79" s="47">
        <f t="shared" si="9"/>
        <v>15.010000000000002</v>
      </c>
      <c r="H79" s="28">
        <v>8.6900000000000013</v>
      </c>
      <c r="I79" s="19">
        <v>0</v>
      </c>
      <c r="J79" s="19">
        <v>0</v>
      </c>
      <c r="K79" s="19">
        <v>7225.0913818070667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0"/>
        <v>1</v>
      </c>
      <c r="Z79" s="19">
        <f t="shared" si="11"/>
        <v>0</v>
      </c>
      <c r="AA79" s="19">
        <f t="shared" si="12"/>
        <v>0</v>
      </c>
      <c r="AB79" s="29">
        <f t="shared" si="13"/>
        <v>1316.4940997093947</v>
      </c>
      <c r="AC79" s="29">
        <f t="shared" si="14"/>
        <v>0</v>
      </c>
      <c r="AD79" s="29">
        <f t="shared" si="15"/>
        <v>0</v>
      </c>
      <c r="AE79" s="28">
        <v>20</v>
      </c>
      <c r="AF79" s="28">
        <v>690</v>
      </c>
      <c r="AG79" s="28">
        <v>210000</v>
      </c>
      <c r="AH79" s="29">
        <v>4607.7293489828817</v>
      </c>
      <c r="AI79" s="29">
        <v>0</v>
      </c>
      <c r="AJ79" s="30">
        <v>0</v>
      </c>
      <c r="AK79" s="57">
        <f t="shared" si="16"/>
        <v>7.2250913818070668</v>
      </c>
      <c r="AL79" s="57">
        <f t="shared" si="17"/>
        <v>1.5</v>
      </c>
      <c r="AM79" s="60"/>
      <c r="AN79" s="57">
        <v>0.58824827209147135</v>
      </c>
      <c r="AO79" s="57">
        <v>1316.4940997093947</v>
      </c>
      <c r="AP79" s="57"/>
    </row>
    <row r="80" spans="1:49" ht="21" x14ac:dyDescent="0.35">
      <c r="A80" s="28">
        <v>77</v>
      </c>
      <c r="B80" s="67" t="s">
        <v>159</v>
      </c>
      <c r="C80" s="28">
        <v>300</v>
      </c>
      <c r="D80" s="19">
        <v>300</v>
      </c>
      <c r="E80" s="28">
        <v>300</v>
      </c>
      <c r="F80" s="28">
        <v>15.010000000000002</v>
      </c>
      <c r="G80" s="47">
        <f t="shared" si="9"/>
        <v>15.010000000000002</v>
      </c>
      <c r="H80" s="28">
        <v>8.6900000000000013</v>
      </c>
      <c r="I80" s="19">
        <v>0</v>
      </c>
      <c r="J80" s="19">
        <v>0</v>
      </c>
      <c r="K80" s="19">
        <v>9609.3715378033994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0"/>
        <v>1</v>
      </c>
      <c r="Z80" s="19">
        <f t="shared" si="11"/>
        <v>0</v>
      </c>
      <c r="AA80" s="19">
        <f t="shared" si="12"/>
        <v>0</v>
      </c>
      <c r="AB80" s="29">
        <f t="shared" si="13"/>
        <v>947.40573370247148</v>
      </c>
      <c r="AC80" s="29">
        <f t="shared" si="14"/>
        <v>0</v>
      </c>
      <c r="AD80" s="29">
        <f t="shared" si="15"/>
        <v>0</v>
      </c>
      <c r="AE80" s="28">
        <v>20</v>
      </c>
      <c r="AF80" s="28">
        <v>690</v>
      </c>
      <c r="AG80" s="28">
        <v>210000</v>
      </c>
      <c r="AH80" s="29">
        <v>3315.9200679586502</v>
      </c>
      <c r="AI80" s="29">
        <v>0</v>
      </c>
      <c r="AJ80" s="30">
        <v>0</v>
      </c>
      <c r="AK80" s="57">
        <f t="shared" si="16"/>
        <v>9.6093715378033995</v>
      </c>
      <c r="AL80" s="57">
        <f t="shared" si="17"/>
        <v>1.5</v>
      </c>
      <c r="AM80" s="60"/>
      <c r="AN80" s="57">
        <v>0.42332873800425924</v>
      </c>
      <c r="AO80" s="57">
        <v>947.40573370247148</v>
      </c>
      <c r="AP80" s="57"/>
    </row>
    <row r="81" spans="1:42" ht="21" x14ac:dyDescent="0.35">
      <c r="A81" s="28">
        <v>78</v>
      </c>
      <c r="B81" s="67" t="s">
        <v>160</v>
      </c>
      <c r="C81" s="28">
        <v>300</v>
      </c>
      <c r="D81" s="19">
        <v>300</v>
      </c>
      <c r="E81" s="28">
        <v>300</v>
      </c>
      <c r="F81" s="28">
        <v>15.010000000000002</v>
      </c>
      <c r="G81" s="47">
        <f t="shared" si="9"/>
        <v>15.010000000000002</v>
      </c>
      <c r="H81" s="28">
        <v>8.6900000000000013</v>
      </c>
      <c r="I81" s="19">
        <v>0</v>
      </c>
      <c r="J81" s="19">
        <v>0</v>
      </c>
      <c r="K81" s="19">
        <v>12065.9026076178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0"/>
        <v>1</v>
      </c>
      <c r="Z81" s="19">
        <f t="shared" si="11"/>
        <v>0</v>
      </c>
      <c r="AA81" s="19">
        <f t="shared" si="12"/>
        <v>0</v>
      </c>
      <c r="AB81" s="29">
        <f t="shared" si="13"/>
        <v>679.41002086331048</v>
      </c>
      <c r="AC81" s="29">
        <f t="shared" si="14"/>
        <v>0</v>
      </c>
      <c r="AD81" s="29">
        <f t="shared" si="15"/>
        <v>0</v>
      </c>
      <c r="AE81" s="28">
        <v>20</v>
      </c>
      <c r="AF81" s="28">
        <v>690</v>
      </c>
      <c r="AG81" s="28">
        <v>210000</v>
      </c>
      <c r="AH81" s="29">
        <v>2377.9350730215865</v>
      </c>
      <c r="AI81" s="29">
        <v>0</v>
      </c>
      <c r="AJ81" s="30">
        <v>0</v>
      </c>
      <c r="AK81" s="57">
        <f t="shared" si="16"/>
        <v>12.065902607617799</v>
      </c>
      <c r="AL81" s="57">
        <f t="shared" si="17"/>
        <v>1.5</v>
      </c>
      <c r="AM81" s="60"/>
      <c r="AN81" s="57">
        <v>0.30358037373862512</v>
      </c>
      <c r="AO81" s="57">
        <v>679.41002086331048</v>
      </c>
      <c r="AP81" s="57"/>
    </row>
    <row r="82" spans="1:42" ht="21" x14ac:dyDescent="0.35">
      <c r="A82" s="28">
        <v>79</v>
      </c>
      <c r="B82" s="67" t="s">
        <v>161</v>
      </c>
      <c r="C82" s="28">
        <v>300</v>
      </c>
      <c r="D82" s="19">
        <v>300</v>
      </c>
      <c r="E82" s="28">
        <v>300</v>
      </c>
      <c r="F82" s="28">
        <v>15.010000000000002</v>
      </c>
      <c r="G82" s="47">
        <f t="shared" si="9"/>
        <v>15.010000000000002</v>
      </c>
      <c r="H82" s="28">
        <v>8.6900000000000013</v>
      </c>
      <c r="I82" s="19">
        <v>0</v>
      </c>
      <c r="J82" s="19">
        <v>0</v>
      </c>
      <c r="K82" s="19">
        <v>14450.182763614133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0"/>
        <v>1</v>
      </c>
      <c r="Z82" s="19">
        <f t="shared" si="11"/>
        <v>0</v>
      </c>
      <c r="AA82" s="19">
        <f t="shared" si="12"/>
        <v>0</v>
      </c>
      <c r="AB82" s="29">
        <f t="shared" si="13"/>
        <v>506.88233550897706</v>
      </c>
      <c r="AC82" s="29">
        <f t="shared" si="14"/>
        <v>0</v>
      </c>
      <c r="AD82" s="29">
        <f t="shared" si="15"/>
        <v>0</v>
      </c>
      <c r="AE82" s="28">
        <v>20</v>
      </c>
      <c r="AF82" s="28">
        <v>690</v>
      </c>
      <c r="AG82" s="28">
        <v>210000</v>
      </c>
      <c r="AH82" s="29">
        <v>1774.0881742814197</v>
      </c>
      <c r="AI82" s="29">
        <v>0</v>
      </c>
      <c r="AJ82" s="30">
        <v>0</v>
      </c>
      <c r="AK82" s="57">
        <f t="shared" si="16"/>
        <v>14.450182763614134</v>
      </c>
      <c r="AL82" s="57">
        <f t="shared" si="17"/>
        <v>1.5</v>
      </c>
      <c r="AM82" s="60"/>
      <c r="AN82" s="57">
        <v>0.22648993116084939</v>
      </c>
      <c r="AO82" s="57">
        <v>506.88233550897706</v>
      </c>
      <c r="AP82" s="57"/>
    </row>
    <row r="83" spans="1:42" ht="21" x14ac:dyDescent="0.35">
      <c r="A83" s="28">
        <v>80</v>
      </c>
      <c r="B83" s="67" t="s">
        <v>162</v>
      </c>
      <c r="C83" s="28">
        <v>300</v>
      </c>
      <c r="D83" s="19">
        <v>300</v>
      </c>
      <c r="E83" s="28">
        <v>300</v>
      </c>
      <c r="F83" s="28">
        <v>15.010000000000002</v>
      </c>
      <c r="G83" s="47">
        <f t="shared" si="9"/>
        <v>15.010000000000002</v>
      </c>
      <c r="H83" s="28">
        <v>8.6900000000000013</v>
      </c>
      <c r="I83" s="19">
        <v>0</v>
      </c>
      <c r="J83" s="19">
        <v>0</v>
      </c>
      <c r="K83" s="19">
        <v>18062.728454517666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0"/>
        <v>1</v>
      </c>
      <c r="Z83" s="19">
        <f t="shared" si="11"/>
        <v>0</v>
      </c>
      <c r="AA83" s="19">
        <f t="shared" si="12"/>
        <v>0</v>
      </c>
      <c r="AB83" s="29">
        <f t="shared" si="13"/>
        <v>344.70918231817484</v>
      </c>
      <c r="AC83" s="29">
        <f t="shared" si="14"/>
        <v>0</v>
      </c>
      <c r="AD83" s="29">
        <f t="shared" si="15"/>
        <v>0</v>
      </c>
      <c r="AE83" s="28">
        <v>20</v>
      </c>
      <c r="AF83" s="28">
        <v>690</v>
      </c>
      <c r="AG83" s="28">
        <v>210000</v>
      </c>
      <c r="AH83" s="29">
        <v>1206.4821381136119</v>
      </c>
      <c r="AI83" s="29">
        <v>0</v>
      </c>
      <c r="AJ83" s="30">
        <v>0</v>
      </c>
      <c r="AK83" s="57">
        <f t="shared" si="16"/>
        <v>18.062728454517668</v>
      </c>
      <c r="AL83" s="57">
        <f t="shared" si="17"/>
        <v>1.5</v>
      </c>
      <c r="AM83" s="60"/>
      <c r="AN83" s="57">
        <v>0.15402619800384304</v>
      </c>
      <c r="AO83" s="57">
        <v>344.70918231817484</v>
      </c>
      <c r="AP83" s="57"/>
    </row>
    <row r="84" spans="1:42" ht="21" x14ac:dyDescent="0.35">
      <c r="A84" s="28">
        <v>81</v>
      </c>
      <c r="B84" s="67" t="s">
        <v>163</v>
      </c>
      <c r="C84" s="28">
        <v>300</v>
      </c>
      <c r="D84" s="19">
        <v>300</v>
      </c>
      <c r="E84" s="28">
        <v>300</v>
      </c>
      <c r="F84" s="28">
        <v>10.829999999999998</v>
      </c>
      <c r="G84" s="47">
        <f t="shared" si="9"/>
        <v>10.829999999999998</v>
      </c>
      <c r="H84" s="28">
        <v>6.27</v>
      </c>
      <c r="I84" s="19">
        <v>0</v>
      </c>
      <c r="J84" s="19">
        <v>0</v>
      </c>
      <c r="K84" s="19">
        <v>2196.9411687654524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0"/>
        <v>1</v>
      </c>
      <c r="Z84" s="19">
        <f t="shared" si="11"/>
        <v>0</v>
      </c>
      <c r="AA84" s="19">
        <f t="shared" si="12"/>
        <v>0</v>
      </c>
      <c r="AB84" s="29">
        <f t="shared" si="13"/>
        <v>1588.8725983936142</v>
      </c>
      <c r="AC84" s="29">
        <f t="shared" si="14"/>
        <v>0</v>
      </c>
      <c r="AD84" s="29">
        <f t="shared" si="15"/>
        <v>0</v>
      </c>
      <c r="AE84" s="28">
        <v>20</v>
      </c>
      <c r="AF84" s="28">
        <v>690</v>
      </c>
      <c r="AG84" s="28">
        <v>210000</v>
      </c>
      <c r="AH84" s="29">
        <v>5561.0540943776496</v>
      </c>
      <c r="AI84" s="29">
        <v>0</v>
      </c>
      <c r="AJ84" s="30">
        <v>0</v>
      </c>
      <c r="AK84" s="57">
        <f t="shared" si="16"/>
        <v>2.1969411687654525</v>
      </c>
      <c r="AL84" s="57">
        <f t="shared" si="17"/>
        <v>1.5</v>
      </c>
      <c r="AM84" s="60"/>
      <c r="AN84" s="57">
        <v>0.97771577843231083</v>
      </c>
      <c r="AO84" s="57">
        <v>1588.8725983936142</v>
      </c>
      <c r="AP84" s="57"/>
    </row>
    <row r="85" spans="1:42" ht="21" x14ac:dyDescent="0.35">
      <c r="A85" s="28">
        <v>82</v>
      </c>
      <c r="B85" s="67" t="s">
        <v>164</v>
      </c>
      <c r="C85" s="28">
        <v>300</v>
      </c>
      <c r="D85" s="19">
        <v>300</v>
      </c>
      <c r="E85" s="28">
        <v>300</v>
      </c>
      <c r="F85" s="28">
        <v>10.829999999999998</v>
      </c>
      <c r="G85" s="47">
        <f t="shared" si="9"/>
        <v>10.829999999999998</v>
      </c>
      <c r="H85" s="28">
        <v>6.27</v>
      </c>
      <c r="I85" s="19">
        <v>0</v>
      </c>
      <c r="J85" s="19">
        <v>0</v>
      </c>
      <c r="K85" s="19">
        <v>3661.5686146090875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0"/>
        <v>1</v>
      </c>
      <c r="Z85" s="19">
        <f t="shared" si="11"/>
        <v>0</v>
      </c>
      <c r="AA85" s="19">
        <f t="shared" si="12"/>
        <v>0</v>
      </c>
      <c r="AB85" s="29">
        <f t="shared" si="13"/>
        <v>1452.7567098819666</v>
      </c>
      <c r="AC85" s="29">
        <f t="shared" si="14"/>
        <v>0</v>
      </c>
      <c r="AD85" s="29">
        <f t="shared" si="15"/>
        <v>0</v>
      </c>
      <c r="AE85" s="28">
        <v>20</v>
      </c>
      <c r="AF85" s="28">
        <v>690</v>
      </c>
      <c r="AG85" s="28">
        <v>210000</v>
      </c>
      <c r="AH85" s="29">
        <v>5084.6484845868827</v>
      </c>
      <c r="AI85" s="29">
        <v>0</v>
      </c>
      <c r="AJ85" s="30">
        <v>0</v>
      </c>
      <c r="AK85" s="57">
        <f t="shared" si="16"/>
        <v>3.6615686146090876</v>
      </c>
      <c r="AL85" s="57">
        <f t="shared" si="17"/>
        <v>1.5</v>
      </c>
      <c r="AM85" s="60"/>
      <c r="AN85" s="57">
        <v>0.89395660728937532</v>
      </c>
      <c r="AO85" s="57">
        <v>1452.7567098819666</v>
      </c>
      <c r="AP85" s="57"/>
    </row>
    <row r="86" spans="1:42" ht="21" x14ac:dyDescent="0.35">
      <c r="A86" s="28">
        <v>83</v>
      </c>
      <c r="B86" s="67" t="s">
        <v>165</v>
      </c>
      <c r="C86" s="28">
        <v>300</v>
      </c>
      <c r="D86" s="19">
        <v>300</v>
      </c>
      <c r="E86" s="28">
        <v>300</v>
      </c>
      <c r="F86" s="28">
        <v>10.829999999999998</v>
      </c>
      <c r="G86" s="47">
        <f t="shared" si="9"/>
        <v>10.829999999999998</v>
      </c>
      <c r="H86" s="28">
        <v>6.27</v>
      </c>
      <c r="I86" s="19">
        <v>0</v>
      </c>
      <c r="J86" s="19">
        <v>0</v>
      </c>
      <c r="K86" s="19">
        <v>5492.3529219136317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0"/>
        <v>1</v>
      </c>
      <c r="Z86" s="19">
        <f t="shared" si="11"/>
        <v>0</v>
      </c>
      <c r="AA86" s="19">
        <f t="shared" si="12"/>
        <v>0</v>
      </c>
      <c r="AB86" s="29">
        <f t="shared" si="13"/>
        <v>1267.1170078973616</v>
      </c>
      <c r="AC86" s="29">
        <f t="shared" si="14"/>
        <v>0</v>
      </c>
      <c r="AD86" s="29">
        <f t="shared" si="15"/>
        <v>0</v>
      </c>
      <c r="AE86" s="28">
        <v>20</v>
      </c>
      <c r="AF86" s="28">
        <v>690</v>
      </c>
      <c r="AG86" s="28">
        <v>210000</v>
      </c>
      <c r="AH86" s="29">
        <v>4434.9095276407661</v>
      </c>
      <c r="AI86" s="29">
        <v>0</v>
      </c>
      <c r="AJ86" s="30">
        <v>0</v>
      </c>
      <c r="AK86" s="57">
        <f t="shared" si="16"/>
        <v>5.492352921913632</v>
      </c>
      <c r="AL86" s="57">
        <f t="shared" si="17"/>
        <v>1.5</v>
      </c>
      <c r="AM86" s="60"/>
      <c r="AN86" s="57">
        <v>0.77972286323883067</v>
      </c>
      <c r="AO86" s="57">
        <v>1267.1170078973616</v>
      </c>
      <c r="AP86" s="57"/>
    </row>
    <row r="87" spans="1:42" ht="21" x14ac:dyDescent="0.35">
      <c r="A87" s="28">
        <v>84</v>
      </c>
      <c r="B87" s="67" t="s">
        <v>166</v>
      </c>
      <c r="C87" s="28">
        <v>300</v>
      </c>
      <c r="D87" s="19">
        <v>300</v>
      </c>
      <c r="E87" s="28">
        <v>300</v>
      </c>
      <c r="F87" s="28">
        <v>10.829999999999998</v>
      </c>
      <c r="G87" s="47">
        <f t="shared" si="9"/>
        <v>10.829999999999998</v>
      </c>
      <c r="H87" s="28">
        <v>6.27</v>
      </c>
      <c r="I87" s="19">
        <v>0</v>
      </c>
      <c r="J87" s="19">
        <v>0</v>
      </c>
      <c r="K87" s="19">
        <v>7323.137229218175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0"/>
        <v>1</v>
      </c>
      <c r="Z87" s="19">
        <f t="shared" si="11"/>
        <v>0</v>
      </c>
      <c r="AA87" s="19">
        <f t="shared" si="12"/>
        <v>0</v>
      </c>
      <c r="AB87" s="29">
        <f t="shared" si="13"/>
        <v>1063.0956892801519</v>
      </c>
      <c r="AC87" s="29">
        <f t="shared" si="14"/>
        <v>0</v>
      </c>
      <c r="AD87" s="29">
        <f t="shared" si="15"/>
        <v>0</v>
      </c>
      <c r="AE87" s="28">
        <v>20</v>
      </c>
      <c r="AF87" s="28">
        <v>690</v>
      </c>
      <c r="AG87" s="28">
        <v>210000</v>
      </c>
      <c r="AH87" s="29">
        <v>3720.8349124805318</v>
      </c>
      <c r="AI87" s="29">
        <v>0</v>
      </c>
      <c r="AJ87" s="30">
        <v>0</v>
      </c>
      <c r="AK87" s="57">
        <f t="shared" si="16"/>
        <v>7.3231372292181751</v>
      </c>
      <c r="AL87" s="57">
        <f t="shared" si="17"/>
        <v>1.5</v>
      </c>
      <c r="AM87" s="60"/>
      <c r="AN87" s="57">
        <v>0.65417795639715859</v>
      </c>
      <c r="AO87" s="57">
        <v>1063.0956892801519</v>
      </c>
      <c r="AP87" s="57"/>
    </row>
    <row r="88" spans="1:42" ht="21" x14ac:dyDescent="0.35">
      <c r="A88" s="28">
        <v>85</v>
      </c>
      <c r="B88" s="67" t="s">
        <v>167</v>
      </c>
      <c r="C88" s="28">
        <v>300</v>
      </c>
      <c r="D88" s="19">
        <v>300</v>
      </c>
      <c r="E88" s="28">
        <v>300</v>
      </c>
      <c r="F88" s="28">
        <v>10.829999999999998</v>
      </c>
      <c r="G88" s="47">
        <f t="shared" si="9"/>
        <v>10.829999999999998</v>
      </c>
      <c r="H88" s="28">
        <v>6.27</v>
      </c>
      <c r="I88" s="19">
        <v>0</v>
      </c>
      <c r="J88" s="19">
        <v>0</v>
      </c>
      <c r="K88" s="19">
        <v>9739.7725148601749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0"/>
        <v>1</v>
      </c>
      <c r="Z88" s="19">
        <f t="shared" si="11"/>
        <v>0</v>
      </c>
      <c r="AA88" s="19">
        <f t="shared" si="12"/>
        <v>0</v>
      </c>
      <c r="AB88" s="29">
        <f t="shared" si="13"/>
        <v>803.61163265738458</v>
      </c>
      <c r="AC88" s="29">
        <f t="shared" si="14"/>
        <v>0</v>
      </c>
      <c r="AD88" s="29">
        <f t="shared" si="15"/>
        <v>0</v>
      </c>
      <c r="AE88" s="28">
        <v>20</v>
      </c>
      <c r="AF88" s="28">
        <v>690</v>
      </c>
      <c r="AG88" s="28">
        <v>210000</v>
      </c>
      <c r="AH88" s="29">
        <v>2812.640714300846</v>
      </c>
      <c r="AI88" s="29">
        <v>0</v>
      </c>
      <c r="AJ88" s="30">
        <v>0</v>
      </c>
      <c r="AK88" s="57">
        <f t="shared" si="16"/>
        <v>9.7397725148601744</v>
      </c>
      <c r="AL88" s="57">
        <f t="shared" si="17"/>
        <v>1.5</v>
      </c>
      <c r="AM88" s="60"/>
      <c r="AN88" s="57">
        <v>0.49450394812978654</v>
      </c>
      <c r="AO88" s="57">
        <v>803.61163265738458</v>
      </c>
      <c r="AP88" s="57"/>
    </row>
    <row r="89" spans="1:42" ht="21" x14ac:dyDescent="0.35">
      <c r="A89" s="28">
        <v>86</v>
      </c>
      <c r="B89" s="67" t="s">
        <v>168</v>
      </c>
      <c r="C89" s="28">
        <v>300</v>
      </c>
      <c r="D89" s="19">
        <v>300</v>
      </c>
      <c r="E89" s="28">
        <v>300</v>
      </c>
      <c r="F89" s="28">
        <v>10.829999999999998</v>
      </c>
      <c r="G89" s="47">
        <f t="shared" si="9"/>
        <v>10.829999999999998</v>
      </c>
      <c r="H89" s="28">
        <v>6.27</v>
      </c>
      <c r="I89" s="19">
        <v>0</v>
      </c>
      <c r="J89" s="19">
        <v>0</v>
      </c>
      <c r="K89" s="19">
        <v>12229.639172794352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0"/>
        <v>1</v>
      </c>
      <c r="Z89" s="19">
        <f t="shared" si="11"/>
        <v>0</v>
      </c>
      <c r="AA89" s="19">
        <f t="shared" si="12"/>
        <v>0</v>
      </c>
      <c r="AB89" s="29">
        <f t="shared" si="13"/>
        <v>594.01865271980137</v>
      </c>
      <c r="AC89" s="29">
        <f t="shared" si="14"/>
        <v>0</v>
      </c>
      <c r="AD89" s="29">
        <f t="shared" si="15"/>
        <v>0</v>
      </c>
      <c r="AE89" s="28">
        <v>20</v>
      </c>
      <c r="AF89" s="28">
        <v>690</v>
      </c>
      <c r="AG89" s="28">
        <v>210000</v>
      </c>
      <c r="AH89" s="29">
        <v>2079.0652845193049</v>
      </c>
      <c r="AI89" s="29">
        <v>0</v>
      </c>
      <c r="AJ89" s="30">
        <v>0</v>
      </c>
      <c r="AK89" s="57">
        <f t="shared" si="16"/>
        <v>12.229639172794352</v>
      </c>
      <c r="AL89" s="57">
        <f t="shared" si="17"/>
        <v>1.5</v>
      </c>
      <c r="AM89" s="60"/>
      <c r="AN89" s="57">
        <v>0.36553050888689004</v>
      </c>
      <c r="AO89" s="57">
        <v>594.01865271980137</v>
      </c>
      <c r="AP89" s="57"/>
    </row>
    <row r="90" spans="1:42" ht="21" x14ac:dyDescent="0.35">
      <c r="A90" s="28">
        <v>87</v>
      </c>
      <c r="B90" s="67" t="s">
        <v>169</v>
      </c>
      <c r="C90" s="28">
        <v>300</v>
      </c>
      <c r="D90" s="19">
        <v>300</v>
      </c>
      <c r="E90" s="28">
        <v>300</v>
      </c>
      <c r="F90" s="28">
        <v>10.829999999999998</v>
      </c>
      <c r="G90" s="47">
        <f t="shared" si="9"/>
        <v>10.829999999999998</v>
      </c>
      <c r="H90" s="28">
        <v>6.27</v>
      </c>
      <c r="I90" s="19">
        <v>0</v>
      </c>
      <c r="J90" s="19">
        <v>0</v>
      </c>
      <c r="K90" s="19">
        <v>14646.27445843635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0"/>
        <v>1</v>
      </c>
      <c r="Z90" s="19">
        <f t="shared" si="11"/>
        <v>0</v>
      </c>
      <c r="AA90" s="19">
        <f t="shared" si="12"/>
        <v>0</v>
      </c>
      <c r="AB90" s="29">
        <f t="shared" si="13"/>
        <v>450.38814437640411</v>
      </c>
      <c r="AC90" s="29">
        <f t="shared" si="14"/>
        <v>0</v>
      </c>
      <c r="AD90" s="29">
        <f t="shared" si="15"/>
        <v>0</v>
      </c>
      <c r="AE90" s="28">
        <v>20</v>
      </c>
      <c r="AF90" s="28">
        <v>690</v>
      </c>
      <c r="AG90" s="28">
        <v>210000</v>
      </c>
      <c r="AH90" s="29">
        <v>1576.3585053174145</v>
      </c>
      <c r="AI90" s="29">
        <v>0</v>
      </c>
      <c r="AJ90" s="30">
        <v>0</v>
      </c>
      <c r="AK90" s="57">
        <f t="shared" si="16"/>
        <v>14.64627445843635</v>
      </c>
      <c r="AL90" s="57">
        <f t="shared" si="17"/>
        <v>1.5</v>
      </c>
      <c r="AM90" s="60"/>
      <c r="AN90" s="57">
        <v>0.27714720212360971</v>
      </c>
      <c r="AO90" s="57">
        <v>450.38814437640411</v>
      </c>
      <c r="AP90" s="57"/>
    </row>
    <row r="91" spans="1:42" ht="21" x14ac:dyDescent="0.35">
      <c r="A91" s="28">
        <v>88</v>
      </c>
      <c r="B91" s="67" t="s">
        <v>170</v>
      </c>
      <c r="C91" s="28">
        <v>300</v>
      </c>
      <c r="D91" s="19">
        <v>300</v>
      </c>
      <c r="E91" s="28">
        <v>300</v>
      </c>
      <c r="F91" s="28">
        <v>10.829999999999998</v>
      </c>
      <c r="G91" s="47">
        <f t="shared" si="9"/>
        <v>10.829999999999998</v>
      </c>
      <c r="H91" s="28">
        <v>6.27</v>
      </c>
      <c r="I91" s="19">
        <v>0</v>
      </c>
      <c r="J91" s="19">
        <v>0</v>
      </c>
      <c r="K91" s="19">
        <v>18307.843073045438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0"/>
        <v>1</v>
      </c>
      <c r="Z91" s="19">
        <f t="shared" si="11"/>
        <v>0</v>
      </c>
      <c r="AA91" s="19">
        <f t="shared" si="12"/>
        <v>0</v>
      </c>
      <c r="AB91" s="29">
        <f t="shared" si="13"/>
        <v>310.28334111572514</v>
      </c>
      <c r="AC91" s="29">
        <f t="shared" si="14"/>
        <v>0</v>
      </c>
      <c r="AD91" s="29">
        <f t="shared" si="15"/>
        <v>0</v>
      </c>
      <c r="AE91" s="28">
        <v>20</v>
      </c>
      <c r="AF91" s="28">
        <v>690</v>
      </c>
      <c r="AG91" s="28">
        <v>210000</v>
      </c>
      <c r="AH91" s="29">
        <v>1085.9916939050379</v>
      </c>
      <c r="AI91" s="29">
        <v>0</v>
      </c>
      <c r="AJ91" s="30">
        <v>0</v>
      </c>
      <c r="AK91" s="57">
        <f t="shared" si="16"/>
        <v>18.30784307304544</v>
      </c>
      <c r="AL91" s="57">
        <f t="shared" si="17"/>
        <v>1.5</v>
      </c>
      <c r="AM91" s="60"/>
      <c r="AN91" s="57">
        <v>0.19093344469547285</v>
      </c>
      <c r="AO91" s="57">
        <v>310.28334111572514</v>
      </c>
      <c r="AP91" s="57"/>
    </row>
    <row r="92" spans="1:42" ht="21" x14ac:dyDescent="0.35">
      <c r="A92" s="28">
        <v>89</v>
      </c>
      <c r="B92" s="67" t="s">
        <v>171</v>
      </c>
      <c r="C92" s="28">
        <v>300</v>
      </c>
      <c r="D92" s="19">
        <v>300</v>
      </c>
      <c r="E92" s="28">
        <v>300</v>
      </c>
      <c r="F92" s="28">
        <v>7.9799999999999995</v>
      </c>
      <c r="G92" s="47">
        <f t="shared" si="9"/>
        <v>7.9799999999999995</v>
      </c>
      <c r="H92" s="28">
        <v>4.62</v>
      </c>
      <c r="I92" s="19">
        <v>0</v>
      </c>
      <c r="J92" s="19">
        <v>0</v>
      </c>
      <c r="K92" s="19">
        <v>2217.1383325206516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0"/>
        <v>1</v>
      </c>
      <c r="Z92" s="19">
        <f t="shared" si="11"/>
        <v>0</v>
      </c>
      <c r="AA92" s="19">
        <f t="shared" si="12"/>
        <v>0</v>
      </c>
      <c r="AB92" s="29">
        <f t="shared" si="13"/>
        <v>1193.6794026052598</v>
      </c>
      <c r="AC92" s="29">
        <f t="shared" si="14"/>
        <v>0</v>
      </c>
      <c r="AD92" s="29">
        <f t="shared" si="15"/>
        <v>0</v>
      </c>
      <c r="AE92" s="28">
        <v>20</v>
      </c>
      <c r="AF92" s="28">
        <v>690</v>
      </c>
      <c r="AG92" s="28">
        <v>210000</v>
      </c>
      <c r="AH92" s="29">
        <v>4177.8779091184097</v>
      </c>
      <c r="AI92" s="29">
        <v>0</v>
      </c>
      <c r="AJ92" s="30">
        <v>0</v>
      </c>
      <c r="AK92" s="57">
        <f t="shared" si="16"/>
        <v>2.2171383325206517</v>
      </c>
      <c r="AL92" s="57">
        <f t="shared" si="17"/>
        <v>1.5</v>
      </c>
      <c r="AM92" s="60"/>
      <c r="AN92" s="57">
        <v>0.99256273604081313</v>
      </c>
      <c r="AO92" s="57">
        <v>1193.6794026052598</v>
      </c>
      <c r="AP92" s="57"/>
    </row>
    <row r="93" spans="1:42" ht="21" x14ac:dyDescent="0.35">
      <c r="A93" s="28">
        <v>90</v>
      </c>
      <c r="B93" s="67" t="s">
        <v>172</v>
      </c>
      <c r="C93" s="28">
        <v>300</v>
      </c>
      <c r="D93" s="19">
        <v>300</v>
      </c>
      <c r="E93" s="28">
        <v>300</v>
      </c>
      <c r="F93" s="28">
        <v>7.9799999999999995</v>
      </c>
      <c r="G93" s="47">
        <f t="shared" si="9"/>
        <v>7.9799999999999995</v>
      </c>
      <c r="H93" s="28">
        <v>4.62</v>
      </c>
      <c r="I93" s="19">
        <v>0</v>
      </c>
      <c r="J93" s="19">
        <v>0</v>
      </c>
      <c r="K93" s="19">
        <v>3695.2305542010859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0"/>
        <v>1</v>
      </c>
      <c r="Z93" s="19">
        <f t="shared" si="11"/>
        <v>0</v>
      </c>
      <c r="AA93" s="19">
        <f t="shared" si="12"/>
        <v>0</v>
      </c>
      <c r="AB93" s="29">
        <f t="shared" si="13"/>
        <v>1105.8117747384067</v>
      </c>
      <c r="AC93" s="29">
        <f t="shared" si="14"/>
        <v>0</v>
      </c>
      <c r="AD93" s="29">
        <f t="shared" si="15"/>
        <v>0</v>
      </c>
      <c r="AE93" s="28">
        <v>20</v>
      </c>
      <c r="AF93" s="28">
        <v>690</v>
      </c>
      <c r="AG93" s="28">
        <v>210000</v>
      </c>
      <c r="AH93" s="29">
        <v>3870.3412115844235</v>
      </c>
      <c r="AI93" s="29">
        <v>0</v>
      </c>
      <c r="AJ93" s="30">
        <v>0</v>
      </c>
      <c r="AK93" s="57">
        <f t="shared" si="16"/>
        <v>3.6952305542010859</v>
      </c>
      <c r="AL93" s="57">
        <f t="shared" si="17"/>
        <v>1.5</v>
      </c>
      <c r="AM93" s="60"/>
      <c r="AN93" s="57">
        <v>0.91949945545258238</v>
      </c>
      <c r="AO93" s="57">
        <v>1105.8117747384067</v>
      </c>
      <c r="AP93" s="57"/>
    </row>
    <row r="94" spans="1:42" ht="21" x14ac:dyDescent="0.35">
      <c r="A94" s="28">
        <v>91</v>
      </c>
      <c r="B94" s="67" t="s">
        <v>173</v>
      </c>
      <c r="C94" s="28">
        <v>300</v>
      </c>
      <c r="D94" s="19">
        <v>300</v>
      </c>
      <c r="E94" s="28">
        <v>300</v>
      </c>
      <c r="F94" s="28">
        <v>7.9799999999999995</v>
      </c>
      <c r="G94" s="47">
        <f t="shared" si="9"/>
        <v>7.9799999999999995</v>
      </c>
      <c r="H94" s="28">
        <v>4.62</v>
      </c>
      <c r="I94" s="19">
        <v>0</v>
      </c>
      <c r="J94" s="19">
        <v>0</v>
      </c>
      <c r="K94" s="19">
        <v>5542.845831301629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0"/>
        <v>1</v>
      </c>
      <c r="Z94" s="19">
        <f t="shared" si="11"/>
        <v>0</v>
      </c>
      <c r="AA94" s="19">
        <f t="shared" si="12"/>
        <v>0</v>
      </c>
      <c r="AB94" s="29">
        <f t="shared" si="13"/>
        <v>988.99872843774915</v>
      </c>
      <c r="AC94" s="29">
        <f t="shared" si="14"/>
        <v>0</v>
      </c>
      <c r="AD94" s="29">
        <f t="shared" si="15"/>
        <v>0</v>
      </c>
      <c r="AE94" s="28">
        <v>20</v>
      </c>
      <c r="AF94" s="28">
        <v>690</v>
      </c>
      <c r="AG94" s="28">
        <v>210000</v>
      </c>
      <c r="AH94" s="29">
        <v>3461.4955495321219</v>
      </c>
      <c r="AI94" s="29">
        <v>0</v>
      </c>
      <c r="AJ94" s="30">
        <v>0</v>
      </c>
      <c r="AK94" s="57">
        <f t="shared" si="16"/>
        <v>5.5428458313016291</v>
      </c>
      <c r="AL94" s="57">
        <f t="shared" si="17"/>
        <v>1.5</v>
      </c>
      <c r="AM94" s="60"/>
      <c r="AN94" s="57">
        <v>0.82236761537191305</v>
      </c>
      <c r="AO94" s="57">
        <v>988.99872843774915</v>
      </c>
      <c r="AP94" s="57"/>
    </row>
    <row r="95" spans="1:42" ht="21" x14ac:dyDescent="0.35">
      <c r="A95" s="28">
        <v>92</v>
      </c>
      <c r="B95" s="67" t="s">
        <v>174</v>
      </c>
      <c r="C95" s="28">
        <v>300</v>
      </c>
      <c r="D95" s="19">
        <v>300</v>
      </c>
      <c r="E95" s="28">
        <v>300</v>
      </c>
      <c r="F95" s="28">
        <v>7.9799999999999995</v>
      </c>
      <c r="G95" s="47">
        <f t="shared" si="9"/>
        <v>7.9799999999999995</v>
      </c>
      <c r="H95" s="28">
        <v>4.62</v>
      </c>
      <c r="I95" s="19">
        <v>0</v>
      </c>
      <c r="J95" s="19">
        <v>0</v>
      </c>
      <c r="K95" s="19">
        <v>7390.4611084021717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0"/>
        <v>1</v>
      </c>
      <c r="Z95" s="19">
        <f t="shared" si="11"/>
        <v>0</v>
      </c>
      <c r="AA95" s="19">
        <f t="shared" si="12"/>
        <v>0</v>
      </c>
      <c r="AB95" s="29">
        <f t="shared" si="13"/>
        <v>860.10444914994389</v>
      </c>
      <c r="AC95" s="29">
        <f t="shared" si="14"/>
        <v>0</v>
      </c>
      <c r="AD95" s="29">
        <f t="shared" si="15"/>
        <v>0</v>
      </c>
      <c r="AE95" s="28">
        <v>20</v>
      </c>
      <c r="AF95" s="28">
        <v>690</v>
      </c>
      <c r="AG95" s="28">
        <v>210000</v>
      </c>
      <c r="AH95" s="29">
        <v>3010.3655720248034</v>
      </c>
      <c r="AI95" s="29">
        <v>0</v>
      </c>
      <c r="AJ95" s="30">
        <v>0</v>
      </c>
      <c r="AK95" s="57">
        <f t="shared" si="16"/>
        <v>7.3904611084021719</v>
      </c>
      <c r="AL95" s="57">
        <f t="shared" si="17"/>
        <v>1.5</v>
      </c>
      <c r="AM95" s="60"/>
      <c r="AN95" s="57">
        <v>0.71519004471878189</v>
      </c>
      <c r="AO95" s="57">
        <v>860.10444914994389</v>
      </c>
      <c r="AP95" s="57"/>
    </row>
    <row r="96" spans="1:42" ht="21" x14ac:dyDescent="0.35">
      <c r="A96" s="28">
        <v>93</v>
      </c>
      <c r="B96" s="67" t="s">
        <v>175</v>
      </c>
      <c r="C96" s="28">
        <v>300</v>
      </c>
      <c r="D96" s="19">
        <v>300</v>
      </c>
      <c r="E96" s="28">
        <v>300</v>
      </c>
      <c r="F96" s="28">
        <v>7.9799999999999995</v>
      </c>
      <c r="G96" s="47">
        <f t="shared" si="9"/>
        <v>7.9799999999999995</v>
      </c>
      <c r="H96" s="28">
        <v>4.62</v>
      </c>
      <c r="I96" s="19">
        <v>0</v>
      </c>
      <c r="J96" s="19">
        <v>0</v>
      </c>
      <c r="K96" s="19">
        <v>9829.3132741748905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0"/>
        <v>1</v>
      </c>
      <c r="Z96" s="19">
        <f t="shared" si="11"/>
        <v>0</v>
      </c>
      <c r="AA96" s="19">
        <f t="shared" si="12"/>
        <v>0</v>
      </c>
      <c r="AB96" s="29">
        <f t="shared" si="13"/>
        <v>683.85737792921611</v>
      </c>
      <c r="AC96" s="29">
        <f t="shared" si="14"/>
        <v>0</v>
      </c>
      <c r="AD96" s="29">
        <f t="shared" si="15"/>
        <v>0</v>
      </c>
      <c r="AE96" s="28">
        <v>20</v>
      </c>
      <c r="AF96" s="28">
        <v>690</v>
      </c>
      <c r="AG96" s="28">
        <v>210000</v>
      </c>
      <c r="AH96" s="29">
        <v>2393.5008227522562</v>
      </c>
      <c r="AI96" s="29">
        <v>0</v>
      </c>
      <c r="AJ96" s="30">
        <v>0</v>
      </c>
      <c r="AK96" s="57">
        <f t="shared" si="16"/>
        <v>9.8293132741748899</v>
      </c>
      <c r="AL96" s="57">
        <f t="shared" si="17"/>
        <v>1.5</v>
      </c>
      <c r="AM96" s="60"/>
      <c r="AN96" s="57">
        <v>0.5686379011128696</v>
      </c>
      <c r="AO96" s="57">
        <v>683.85737792921611</v>
      </c>
      <c r="AP96" s="57"/>
    </row>
    <row r="97" spans="1:42" ht="21" x14ac:dyDescent="0.35">
      <c r="A97" s="28">
        <v>94</v>
      </c>
      <c r="B97" s="67" t="s">
        <v>176</v>
      </c>
      <c r="C97" s="28">
        <v>300</v>
      </c>
      <c r="D97" s="19">
        <v>300</v>
      </c>
      <c r="E97" s="28">
        <v>300</v>
      </c>
      <c r="F97" s="28">
        <v>7.9799999999999995</v>
      </c>
      <c r="G97" s="47">
        <f t="shared" si="9"/>
        <v>7.9799999999999995</v>
      </c>
      <c r="H97" s="28">
        <v>4.62</v>
      </c>
      <c r="I97" s="19">
        <v>0</v>
      </c>
      <c r="J97" s="19">
        <v>0</v>
      </c>
      <c r="K97" s="19">
        <v>12342.070051031627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0"/>
        <v>1</v>
      </c>
      <c r="Z97" s="19">
        <f t="shared" si="11"/>
        <v>0</v>
      </c>
      <c r="AA97" s="19">
        <f t="shared" si="12"/>
        <v>0</v>
      </c>
      <c r="AB97" s="29">
        <f t="shared" si="13"/>
        <v>524.78917106633116</v>
      </c>
      <c r="AC97" s="29">
        <f t="shared" si="14"/>
        <v>0</v>
      </c>
      <c r="AD97" s="29">
        <f t="shared" si="15"/>
        <v>0</v>
      </c>
      <c r="AE97" s="28">
        <v>20</v>
      </c>
      <c r="AF97" s="28">
        <v>690</v>
      </c>
      <c r="AG97" s="28">
        <v>210000</v>
      </c>
      <c r="AH97" s="29">
        <v>1836.7620987321591</v>
      </c>
      <c r="AI97" s="29">
        <v>0</v>
      </c>
      <c r="AJ97" s="30">
        <v>0</v>
      </c>
      <c r="AK97" s="57">
        <f t="shared" si="16"/>
        <v>12.342070051031627</v>
      </c>
      <c r="AL97" s="57">
        <f t="shared" si="17"/>
        <v>1.5</v>
      </c>
      <c r="AM97" s="60"/>
      <c r="AN97" s="57">
        <v>0.43637024676921626</v>
      </c>
      <c r="AO97" s="57">
        <v>524.78917106633116</v>
      </c>
      <c r="AP97" s="57"/>
    </row>
    <row r="98" spans="1:42" ht="21" x14ac:dyDescent="0.35">
      <c r="A98" s="28">
        <v>95</v>
      </c>
      <c r="B98" s="67" t="s">
        <v>177</v>
      </c>
      <c r="C98" s="28">
        <v>300</v>
      </c>
      <c r="D98" s="19">
        <v>300</v>
      </c>
      <c r="E98" s="28">
        <v>300</v>
      </c>
      <c r="F98" s="28">
        <v>7.9799999999999995</v>
      </c>
      <c r="G98" s="47">
        <f t="shared" si="9"/>
        <v>7.9799999999999995</v>
      </c>
      <c r="H98" s="28">
        <v>4.62</v>
      </c>
      <c r="I98" s="19">
        <v>0</v>
      </c>
      <c r="J98" s="19">
        <v>0</v>
      </c>
      <c r="K98" s="19">
        <v>14780.922216804343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0"/>
        <v>1</v>
      </c>
      <c r="Z98" s="19">
        <f t="shared" si="11"/>
        <v>0</v>
      </c>
      <c r="AA98" s="19">
        <f t="shared" si="12"/>
        <v>0</v>
      </c>
      <c r="AB98" s="29">
        <f t="shared" si="13"/>
        <v>406.60882618459738</v>
      </c>
      <c r="AC98" s="29">
        <f t="shared" si="14"/>
        <v>0</v>
      </c>
      <c r="AD98" s="29">
        <f t="shared" si="15"/>
        <v>0</v>
      </c>
      <c r="AE98" s="28">
        <v>20</v>
      </c>
      <c r="AF98" s="28">
        <v>690</v>
      </c>
      <c r="AG98" s="28">
        <v>210000</v>
      </c>
      <c r="AH98" s="29">
        <v>1423.1308916460907</v>
      </c>
      <c r="AI98" s="29">
        <v>0</v>
      </c>
      <c r="AJ98" s="30">
        <v>0</v>
      </c>
      <c r="AK98" s="57">
        <f t="shared" si="16"/>
        <v>14.780922216804344</v>
      </c>
      <c r="AL98" s="57">
        <f t="shared" si="17"/>
        <v>1.5</v>
      </c>
      <c r="AM98" s="60"/>
      <c r="AN98" s="57">
        <v>0.33810147694203746</v>
      </c>
      <c r="AO98" s="57">
        <v>406.60882618459738</v>
      </c>
      <c r="AP98" s="57"/>
    </row>
    <row r="99" spans="1:42" ht="21.75" thickBot="1" x14ac:dyDescent="0.4">
      <c r="A99" s="28">
        <v>96</v>
      </c>
      <c r="B99" s="68" t="s">
        <v>178</v>
      </c>
      <c r="C99" s="31">
        <v>300</v>
      </c>
      <c r="D99" s="32">
        <v>300</v>
      </c>
      <c r="E99" s="31">
        <v>300</v>
      </c>
      <c r="F99" s="31">
        <v>7.9799999999999995</v>
      </c>
      <c r="G99" s="32">
        <f t="shared" si="9"/>
        <v>7.9799999999999995</v>
      </c>
      <c r="H99" s="31">
        <v>4.62</v>
      </c>
      <c r="I99" s="32">
        <v>0</v>
      </c>
      <c r="J99" s="32">
        <v>0</v>
      </c>
      <c r="K99" s="32">
        <v>18476.152771005429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6">
        <v>3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10"/>
        <v>1</v>
      </c>
      <c r="Z99" s="32">
        <f t="shared" si="11"/>
        <v>0</v>
      </c>
      <c r="AA99" s="32">
        <f t="shared" si="12"/>
        <v>0</v>
      </c>
      <c r="AB99" s="33">
        <f t="shared" si="13"/>
        <v>285.11566136927519</v>
      </c>
      <c r="AC99" s="33">
        <f t="shared" si="14"/>
        <v>0</v>
      </c>
      <c r="AD99" s="33">
        <f t="shared" si="15"/>
        <v>0</v>
      </c>
      <c r="AE99" s="31">
        <v>20</v>
      </c>
      <c r="AF99" s="31">
        <v>690</v>
      </c>
      <c r="AG99" s="31">
        <v>210000</v>
      </c>
      <c r="AH99" s="33">
        <v>997.90481479246318</v>
      </c>
      <c r="AI99" s="33">
        <v>0</v>
      </c>
      <c r="AJ99" s="51">
        <v>0</v>
      </c>
      <c r="AK99" s="57">
        <f t="shared" si="16"/>
        <v>18.476152771005427</v>
      </c>
      <c r="AL99" s="57">
        <f t="shared" si="17"/>
        <v>1.5</v>
      </c>
      <c r="AM99" s="60"/>
      <c r="AN99" s="57">
        <v>0.23707804651661393</v>
      </c>
      <c r="AO99" s="57">
        <v>285.11566136927519</v>
      </c>
      <c r="AP99" s="57"/>
    </row>
    <row r="100" spans="1:42" ht="21" x14ac:dyDescent="0.35">
      <c r="A100" s="96"/>
      <c r="B100" s="97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9"/>
      <c r="AC100" s="99"/>
      <c r="AD100" s="99"/>
      <c r="AE100" s="98"/>
      <c r="AF100" s="98"/>
      <c r="AG100" s="98"/>
      <c r="AH100" s="99"/>
      <c r="AI100" s="99"/>
      <c r="AJ100" s="100"/>
      <c r="AK100" s="101"/>
      <c r="AL100" s="101"/>
      <c r="AM100" s="102"/>
      <c r="AN100" s="101"/>
      <c r="AO100" s="57"/>
      <c r="AP100" s="57"/>
    </row>
    <row r="101" spans="1:42" ht="21" x14ac:dyDescent="0.35">
      <c r="A101" s="28"/>
      <c r="B101" s="67"/>
      <c r="C101" s="28"/>
      <c r="D101" s="19"/>
      <c r="E101" s="28"/>
      <c r="F101" s="28"/>
      <c r="G101" s="19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46"/>
      <c r="AG101" s="28"/>
      <c r="AH101" s="29"/>
      <c r="AI101" s="29"/>
      <c r="AJ101" s="30"/>
      <c r="AK101" s="57"/>
      <c r="AL101" s="57"/>
      <c r="AM101" s="60"/>
      <c r="AN101" s="57"/>
      <c r="AO101" s="57"/>
      <c r="AP101" s="57"/>
    </row>
    <row r="102" spans="1:42" ht="21" x14ac:dyDescent="0.35">
      <c r="A102" s="28"/>
      <c r="B102" s="67"/>
      <c r="C102" s="28"/>
      <c r="D102" s="19"/>
      <c r="E102" s="28"/>
      <c r="F102" s="28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46"/>
      <c r="AG102" s="28"/>
      <c r="AH102" s="29"/>
      <c r="AI102" s="29"/>
      <c r="AJ102" s="30"/>
      <c r="AK102" s="57"/>
      <c r="AL102" s="57"/>
      <c r="AM102" s="60"/>
      <c r="AN102" s="57"/>
      <c r="AO102" s="57"/>
      <c r="AP102" s="57"/>
    </row>
    <row r="103" spans="1:42" ht="21" x14ac:dyDescent="0.35">
      <c r="A103" s="28"/>
      <c r="B103" s="67"/>
      <c r="C103" s="28"/>
      <c r="D103" s="19"/>
      <c r="E103" s="28"/>
      <c r="F103" s="28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46"/>
      <c r="AG103" s="28"/>
      <c r="AH103" s="29"/>
      <c r="AI103" s="29"/>
      <c r="AJ103" s="30"/>
      <c r="AK103" s="57"/>
      <c r="AL103" s="57"/>
      <c r="AM103" s="60"/>
      <c r="AN103" s="57"/>
      <c r="AO103" s="57"/>
      <c r="AP103" s="57"/>
    </row>
    <row r="104" spans="1:42" ht="21" x14ac:dyDescent="0.35">
      <c r="A104" s="28"/>
      <c r="B104" s="67"/>
      <c r="C104" s="28"/>
      <c r="D104" s="19"/>
      <c r="E104" s="28"/>
      <c r="F104" s="28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46"/>
      <c r="AG104" s="28"/>
      <c r="AH104" s="29"/>
      <c r="AI104" s="29"/>
      <c r="AJ104" s="30"/>
      <c r="AK104" s="57"/>
      <c r="AL104" s="57"/>
      <c r="AM104" s="60"/>
      <c r="AN104" s="57"/>
      <c r="AO104" s="57"/>
      <c r="AP104" s="57"/>
    </row>
    <row r="105" spans="1:42" ht="21" x14ac:dyDescent="0.35">
      <c r="A105" s="28"/>
      <c r="B105" s="67"/>
      <c r="C105" s="28"/>
      <c r="D105" s="19"/>
      <c r="E105" s="28"/>
      <c r="F105" s="28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46"/>
      <c r="AG105" s="28"/>
      <c r="AH105" s="29"/>
      <c r="AI105" s="29"/>
      <c r="AJ105" s="30"/>
      <c r="AK105" s="57"/>
      <c r="AL105" s="57"/>
      <c r="AM105" s="60"/>
      <c r="AN105" s="57"/>
      <c r="AO105" s="57"/>
      <c r="AP105" s="57"/>
    </row>
    <row r="106" spans="1:42" ht="21" x14ac:dyDescent="0.35">
      <c r="A106" s="28"/>
      <c r="B106" s="67"/>
      <c r="C106" s="28"/>
      <c r="D106" s="19"/>
      <c r="E106" s="28"/>
      <c r="F106" s="28"/>
      <c r="G106" s="19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46"/>
      <c r="AG106" s="28"/>
      <c r="AH106" s="29"/>
      <c r="AI106" s="29"/>
      <c r="AJ106" s="30"/>
      <c r="AK106" s="57"/>
      <c r="AL106" s="57"/>
      <c r="AM106" s="60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46"/>
      <c r="AG107" s="28"/>
      <c r="AH107" s="29"/>
      <c r="AI107" s="29"/>
      <c r="AJ107" s="30"/>
      <c r="AK107" s="57"/>
      <c r="AL107" s="57"/>
      <c r="AM107" s="60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46"/>
      <c r="AG108" s="28"/>
      <c r="AH108" s="29"/>
      <c r="AI108" s="29"/>
      <c r="AJ108" s="30"/>
      <c r="AK108" s="57"/>
      <c r="AL108" s="57"/>
      <c r="AM108" s="60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46"/>
      <c r="AG109" s="28"/>
      <c r="AH109" s="29"/>
      <c r="AI109" s="29"/>
      <c r="AJ109" s="30"/>
      <c r="AK109" s="57"/>
      <c r="AL109" s="57"/>
      <c r="AM109" s="60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46"/>
      <c r="AG110" s="28"/>
      <c r="AH110" s="29"/>
      <c r="AI110" s="29"/>
      <c r="AJ110" s="30"/>
      <c r="AK110" s="57"/>
      <c r="AL110" s="57"/>
      <c r="AM110" s="60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60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60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60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60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60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60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60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60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60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60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60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60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60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60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60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60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60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60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60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60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60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60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60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60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60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60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60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60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60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60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60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60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60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61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60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60"/>
      <c r="AN145" s="57"/>
      <c r="AO145" s="57"/>
      <c r="AP145" s="57"/>
    </row>
    <row r="146" spans="1:42" ht="21" x14ac:dyDescent="0.35">
      <c r="A146" s="28"/>
      <c r="B146" s="67"/>
      <c r="C146" s="81"/>
      <c r="D146" s="83"/>
      <c r="E146" s="81"/>
      <c r="F146" s="81"/>
      <c r="G146" s="83"/>
      <c r="H146" s="81"/>
      <c r="I146" s="83"/>
      <c r="J146" s="83"/>
      <c r="K146" s="83"/>
      <c r="L146" s="83"/>
      <c r="M146" s="83"/>
      <c r="N146" s="83"/>
      <c r="O146" s="83"/>
      <c r="P146" s="81"/>
      <c r="Q146" s="83"/>
      <c r="R146" s="83"/>
      <c r="S146" s="83"/>
      <c r="T146" s="84"/>
      <c r="U146" s="85"/>
      <c r="V146" s="83"/>
      <c r="W146" s="81"/>
      <c r="X146" s="81"/>
      <c r="Y146" s="83"/>
      <c r="Z146" s="83"/>
      <c r="AA146" s="83"/>
      <c r="AB146" s="86"/>
      <c r="AC146" s="86"/>
      <c r="AD146" s="86"/>
      <c r="AE146" s="81"/>
      <c r="AF146" s="46"/>
      <c r="AG146" s="81"/>
      <c r="AH146" s="86"/>
      <c r="AI146" s="86"/>
      <c r="AJ146" s="87"/>
      <c r="AK146" s="57"/>
      <c r="AL146" s="57"/>
      <c r="AM146" s="60"/>
      <c r="AN146" s="57"/>
      <c r="AO146" s="57"/>
      <c r="AP146" s="57"/>
    </row>
    <row r="147" spans="1:42" ht="21.75" thickBot="1" x14ac:dyDescent="0.4">
      <c r="A147" s="28"/>
      <c r="B147" s="67"/>
      <c r="C147" s="31"/>
      <c r="D147" s="32"/>
      <c r="E147" s="31"/>
      <c r="F147" s="31"/>
      <c r="G147" s="32"/>
      <c r="H147" s="31"/>
      <c r="I147" s="32"/>
      <c r="J147" s="32"/>
      <c r="K147" s="32"/>
      <c r="L147" s="32"/>
      <c r="M147" s="32"/>
      <c r="N147" s="32"/>
      <c r="O147" s="32"/>
      <c r="P147" s="31"/>
      <c r="Q147" s="32"/>
      <c r="R147" s="32"/>
      <c r="S147" s="32"/>
      <c r="T147" s="39"/>
      <c r="U147" s="50"/>
      <c r="V147" s="32"/>
      <c r="W147" s="31"/>
      <c r="X147" s="31"/>
      <c r="Y147" s="32"/>
      <c r="Z147" s="32"/>
      <c r="AA147" s="32"/>
      <c r="AB147" s="33"/>
      <c r="AC147" s="33"/>
      <c r="AD147" s="33"/>
      <c r="AE147" s="31"/>
      <c r="AF147" s="46"/>
      <c r="AG147" s="31"/>
      <c r="AH147" s="33"/>
      <c r="AI147" s="33"/>
      <c r="AJ147" s="51"/>
      <c r="AK147" s="57"/>
      <c r="AL147" s="57"/>
      <c r="AM147" s="60"/>
      <c r="AN147" s="57"/>
      <c r="AO147" s="57"/>
      <c r="AP147" s="57"/>
    </row>
    <row r="148" spans="1:42" ht="21" x14ac:dyDescent="0.35">
      <c r="A148" s="28"/>
      <c r="B148" s="67"/>
      <c r="C148" s="46"/>
      <c r="D148" s="47"/>
      <c r="E148" s="46"/>
      <c r="F148" s="46"/>
      <c r="G148" s="47"/>
      <c r="H148" s="46"/>
      <c r="I148" s="47"/>
      <c r="J148" s="47"/>
      <c r="K148" s="47"/>
      <c r="L148" s="47"/>
      <c r="M148" s="47"/>
      <c r="N148" s="47"/>
      <c r="O148" s="47"/>
      <c r="P148" s="46"/>
      <c r="Q148" s="47"/>
      <c r="R148" s="47"/>
      <c r="S148" s="47"/>
      <c r="T148" s="48"/>
      <c r="U148" s="89"/>
      <c r="V148" s="47"/>
      <c r="W148" s="46"/>
      <c r="X148" s="46"/>
      <c r="Y148" s="47"/>
      <c r="Z148" s="47"/>
      <c r="AA148" s="47"/>
      <c r="AB148" s="49"/>
      <c r="AC148" s="49"/>
      <c r="AD148" s="49"/>
      <c r="AE148" s="46"/>
      <c r="AF148" s="46"/>
      <c r="AG148" s="46"/>
      <c r="AH148" s="49"/>
      <c r="AI148" s="49"/>
      <c r="AJ148" s="90"/>
      <c r="AK148" s="57"/>
      <c r="AL148" s="57"/>
      <c r="AM148" s="60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47"/>
      <c r="H149" s="28"/>
      <c r="I149" s="19"/>
      <c r="J149" s="19"/>
      <c r="K149" s="61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60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47"/>
      <c r="H150" s="28"/>
      <c r="I150" s="19"/>
      <c r="J150" s="19"/>
      <c r="K150" s="61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60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47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60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47"/>
      <c r="H152" s="28"/>
      <c r="I152" s="19"/>
      <c r="J152" s="19"/>
      <c r="K152" s="61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60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47"/>
      <c r="H153" s="28"/>
      <c r="I153" s="19"/>
      <c r="J153" s="19"/>
      <c r="K153" s="61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60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47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60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47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60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47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46"/>
      <c r="AG156" s="28"/>
      <c r="AH156" s="29"/>
      <c r="AI156" s="29"/>
      <c r="AJ156" s="30"/>
      <c r="AK156" s="57"/>
      <c r="AL156" s="57"/>
      <c r="AM156" s="60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47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46"/>
      <c r="AG157" s="28"/>
      <c r="AH157" s="29"/>
      <c r="AI157" s="29"/>
      <c r="AJ157" s="30"/>
      <c r="AK157" s="57"/>
      <c r="AL157" s="57"/>
      <c r="AM157" s="60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47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46"/>
      <c r="AG158" s="28"/>
      <c r="AH158" s="29"/>
      <c r="AI158" s="29"/>
      <c r="AJ158" s="30"/>
      <c r="AK158" s="57"/>
      <c r="AL158" s="57"/>
      <c r="AM158" s="60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60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60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60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60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60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61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60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61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60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61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60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61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60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60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61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60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60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61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60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60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60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60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60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60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60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60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60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60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60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60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60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60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60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60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60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60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60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60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60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60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60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60"/>
      <c r="AN194" s="57"/>
      <c r="AO194" s="57"/>
      <c r="AP194" s="57"/>
    </row>
    <row r="195" spans="1:42" ht="21" x14ac:dyDescent="0.35">
      <c r="A195" s="28"/>
      <c r="B195" s="67"/>
      <c r="C195" s="81"/>
      <c r="D195" s="83"/>
      <c r="E195" s="81"/>
      <c r="F195" s="81"/>
      <c r="G195" s="83"/>
      <c r="H195" s="81"/>
      <c r="I195" s="83"/>
      <c r="J195" s="83"/>
      <c r="K195" s="83"/>
      <c r="L195" s="83"/>
      <c r="M195" s="83"/>
      <c r="N195" s="83"/>
      <c r="O195" s="83"/>
      <c r="P195" s="81"/>
      <c r="Q195" s="83"/>
      <c r="R195" s="83"/>
      <c r="S195" s="83"/>
      <c r="T195" s="84"/>
      <c r="U195" s="85"/>
      <c r="V195" s="83"/>
      <c r="W195" s="81"/>
      <c r="X195" s="81"/>
      <c r="Y195" s="83"/>
      <c r="Z195" s="83"/>
      <c r="AA195" s="83"/>
      <c r="AB195" s="86"/>
      <c r="AC195" s="86"/>
      <c r="AD195" s="86"/>
      <c r="AE195" s="81"/>
      <c r="AF195" s="71"/>
      <c r="AG195" s="81"/>
      <c r="AH195" s="86"/>
      <c r="AI195" s="86"/>
      <c r="AJ195" s="87"/>
      <c r="AK195" s="57"/>
      <c r="AL195" s="57"/>
      <c r="AM195" s="60"/>
      <c r="AN195" s="57"/>
      <c r="AO195" s="57"/>
      <c r="AP195" s="57"/>
    </row>
    <row r="196" spans="1:42" ht="21" x14ac:dyDescent="0.35">
      <c r="A196" s="28"/>
      <c r="B196" s="107"/>
      <c r="C196" s="28"/>
      <c r="D196" s="19"/>
      <c r="E196" s="108"/>
      <c r="F196" s="108"/>
      <c r="G196" s="29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77"/>
      <c r="AC196" s="29"/>
      <c r="AD196" s="29"/>
      <c r="AE196" s="28"/>
      <c r="AF196" s="108"/>
      <c r="AG196" s="28"/>
      <c r="AH196" s="29"/>
      <c r="AI196" s="29"/>
      <c r="AJ196" s="30"/>
      <c r="AK196" s="57"/>
      <c r="AL196" s="57"/>
      <c r="AM196" s="57"/>
      <c r="AN196" s="57"/>
      <c r="AO196" s="57"/>
      <c r="AP196" s="57"/>
    </row>
    <row r="197" spans="1:42" ht="21" x14ac:dyDescent="0.35">
      <c r="A197" s="28"/>
      <c r="B197" s="107"/>
      <c r="C197" s="28"/>
      <c r="D197" s="19"/>
      <c r="E197" s="108"/>
      <c r="F197" s="108"/>
      <c r="G197" s="19"/>
      <c r="H197" s="28"/>
      <c r="I197" s="19"/>
      <c r="J197" s="19"/>
      <c r="K197" s="77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108"/>
      <c r="AG197" s="28"/>
      <c r="AH197" s="29"/>
      <c r="AI197" s="29"/>
      <c r="AJ197" s="30"/>
      <c r="AK197" s="57"/>
      <c r="AL197" s="57"/>
      <c r="AM197" s="57"/>
      <c r="AN197" s="57"/>
      <c r="AO197" s="57"/>
      <c r="AP197" s="57"/>
    </row>
    <row r="198" spans="1:42" ht="21" x14ac:dyDescent="0.35">
      <c r="A198" s="28"/>
      <c r="B198" s="107"/>
      <c r="C198" s="28"/>
      <c r="D198" s="19"/>
      <c r="E198" s="108"/>
      <c r="F198" s="108"/>
      <c r="G198" s="19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108"/>
      <c r="AG198" s="28"/>
      <c r="AH198" s="29"/>
      <c r="AI198" s="29"/>
      <c r="AJ198" s="30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107"/>
      <c r="C199" s="28"/>
      <c r="D199" s="19"/>
      <c r="E199" s="108"/>
      <c r="F199" s="108"/>
      <c r="G199" s="19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10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107"/>
      <c r="C200" s="28"/>
      <c r="D200" s="19"/>
      <c r="E200" s="108"/>
      <c r="F200" s="108"/>
      <c r="G200" s="19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10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107"/>
      <c r="C201" s="28"/>
      <c r="D201" s="19"/>
      <c r="E201" s="108"/>
      <c r="F201" s="108"/>
      <c r="G201" s="19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10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107"/>
      <c r="C202" s="46"/>
      <c r="D202" s="47"/>
      <c r="E202" s="46"/>
      <c r="F202" s="46"/>
      <c r="G202" s="47"/>
      <c r="H202" s="46"/>
      <c r="I202" s="47"/>
      <c r="J202" s="47"/>
      <c r="K202" s="19"/>
      <c r="L202" s="47"/>
      <c r="M202" s="47"/>
      <c r="N202" s="47"/>
      <c r="O202" s="47"/>
      <c r="P202" s="46"/>
      <c r="Q202" s="47"/>
      <c r="R202" s="47"/>
      <c r="S202" s="47"/>
      <c r="T202" s="48"/>
      <c r="U202" s="89"/>
      <c r="V202" s="47"/>
      <c r="W202" s="46"/>
      <c r="X202" s="46"/>
      <c r="Y202" s="47"/>
      <c r="Z202" s="47"/>
      <c r="AA202" s="47"/>
      <c r="AB202" s="49"/>
      <c r="AC202" s="49"/>
      <c r="AD202" s="49"/>
      <c r="AE202" s="46"/>
      <c r="AF202" s="46"/>
      <c r="AG202" s="46"/>
      <c r="AH202" s="49"/>
      <c r="AI202" s="49"/>
      <c r="AJ202" s="9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7"/>
      <c r="C203" s="28"/>
      <c r="D203" s="19"/>
      <c r="E203" s="28"/>
      <c r="F203" s="28"/>
      <c r="G203" s="19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7"/>
      <c r="C204" s="28"/>
      <c r="D204" s="19"/>
      <c r="E204" s="28"/>
      <c r="F204" s="28"/>
      <c r="G204" s="19"/>
      <c r="H204" s="28"/>
      <c r="I204" s="19"/>
      <c r="J204" s="19"/>
      <c r="K204" s="77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7"/>
      <c r="C205" s="28"/>
      <c r="D205" s="19"/>
      <c r="E205" s="28"/>
      <c r="F205" s="28"/>
      <c r="G205" s="19"/>
      <c r="H205" s="28"/>
      <c r="I205" s="19"/>
      <c r="J205" s="19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7"/>
      <c r="C206" s="28"/>
      <c r="D206" s="19"/>
      <c r="E206" s="28"/>
      <c r="F206" s="28"/>
      <c r="G206" s="1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7"/>
      <c r="C207" s="28"/>
      <c r="D207" s="19"/>
      <c r="E207" s="28"/>
      <c r="F207" s="28"/>
      <c r="G207" s="19"/>
      <c r="H207" s="28"/>
      <c r="I207" s="19"/>
      <c r="J207" s="19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7"/>
      <c r="C208" s="28"/>
      <c r="D208" s="19"/>
      <c r="E208" s="28"/>
      <c r="F208" s="2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7"/>
      <c r="C209" s="28"/>
      <c r="D209" s="19"/>
      <c r="E209" s="28"/>
      <c r="F209" s="2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7"/>
      <c r="C210" s="28"/>
      <c r="D210" s="19"/>
      <c r="E210" s="28"/>
      <c r="F210" s="2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7"/>
      <c r="C211" s="28"/>
      <c r="D211" s="19"/>
      <c r="E211" s="28"/>
      <c r="F211" s="2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7"/>
      <c r="C212" s="28"/>
      <c r="D212" s="19"/>
      <c r="E212" s="28"/>
      <c r="F212" s="28"/>
      <c r="G212" s="19"/>
      <c r="H212" s="28"/>
      <c r="I212" s="19"/>
      <c r="J212" s="19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</row>
    <row r="258" spans="1:42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</row>
    <row r="259" spans="1:42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</row>
    <row r="260" spans="1:42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</row>
    <row r="261" spans="1:42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</row>
    <row r="262" spans="1:42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</row>
    <row r="263" spans="1:42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</row>
    <row r="264" spans="1:42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</row>
    <row r="265" spans="1:42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</row>
    <row r="266" spans="1:42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</row>
    <row r="267" spans="1:42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</row>
    <row r="268" spans="1:42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</row>
    <row r="269" spans="1:42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</row>
    <row r="270" spans="1:42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</row>
    <row r="271" spans="1:42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</row>
    <row r="272" spans="1:42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</row>
    <row r="273" spans="1:42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</row>
    <row r="274" spans="1:42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</row>
    <row r="275" spans="1:42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</row>
    <row r="276" spans="1:42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</row>
    <row r="277" spans="1:42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</row>
    <row r="278" spans="1:42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</row>
    <row r="279" spans="1:42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</row>
    <row r="280" spans="1:42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</row>
    <row r="281" spans="1:42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</row>
    <row r="282" spans="1:42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</row>
    <row r="283" spans="1:42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</row>
    <row r="284" spans="1:42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</row>
    <row r="285" spans="1:42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</row>
    <row r="286" spans="1:42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</row>
    <row r="287" spans="1:42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</row>
    <row r="288" spans="1:42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</row>
    <row r="289" spans="1:56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</row>
    <row r="290" spans="1:56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</row>
    <row r="291" spans="1:56" ht="21.75" thickBot="1" x14ac:dyDescent="0.4">
      <c r="A291" s="28"/>
      <c r="B291" s="67"/>
      <c r="C291" s="31"/>
      <c r="D291" s="32"/>
      <c r="E291" s="31"/>
      <c r="F291" s="31"/>
      <c r="G291" s="32"/>
      <c r="H291" s="31"/>
      <c r="I291" s="32"/>
      <c r="J291" s="32"/>
      <c r="K291" s="32"/>
      <c r="L291" s="32"/>
      <c r="M291" s="32"/>
      <c r="N291" s="32"/>
      <c r="O291" s="32"/>
      <c r="P291" s="31"/>
      <c r="Q291" s="32"/>
      <c r="R291" s="32"/>
      <c r="S291" s="32"/>
      <c r="T291" s="39"/>
      <c r="U291" s="50"/>
      <c r="V291" s="19"/>
      <c r="W291" s="28"/>
      <c r="X291" s="28"/>
      <c r="Y291" s="19"/>
      <c r="Z291" s="19"/>
      <c r="AA291" s="19"/>
      <c r="AB291" s="29"/>
      <c r="AC291" s="33"/>
      <c r="AD291" s="33"/>
      <c r="AE291" s="31"/>
      <c r="AF291" s="31"/>
      <c r="AG291" s="31"/>
      <c r="AH291" s="33"/>
      <c r="AI291" s="33"/>
      <c r="AJ291" s="51"/>
      <c r="AK291" s="57"/>
      <c r="AL291" s="57"/>
      <c r="AM291" s="57"/>
      <c r="AN291" s="57"/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295275</xdr:colOff>
                <xdr:row>1</xdr:row>
                <xdr:rowOff>371475</xdr:rowOff>
              </from>
              <to>
                <xdr:col>47</xdr:col>
                <xdr:colOff>247650</xdr:colOff>
                <xdr:row>1</xdr:row>
                <xdr:rowOff>1047750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2026-08-11T16:38:33Z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